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UMANT\Desktop\excel\calculated excel\"/>
    </mc:Choice>
  </mc:AlternateContent>
  <xr:revisionPtr revIDLastSave="0" documentId="13_ncr:1_{17D41318-A00F-47DD-8253-AC369B9271A6}" xr6:coauthVersionLast="47" xr6:coauthVersionMax="47" xr10:uidLastSave="{00000000-0000-0000-0000-000000000000}"/>
  <bookViews>
    <workbookView xWindow="-108" yWindow="-108" windowWidth="23256" windowHeight="12456" activeTab="3" xr2:uid="{B9FCFBE0-AFE8-4C87-9648-5F1FD941A62B}"/>
  </bookViews>
  <sheets>
    <sheet name="retail_sales_data" sheetId="2" r:id="rId1"/>
    <sheet name="Cleaned_data" sheetId="3" r:id="rId2"/>
    <sheet name="Summary_Analysis" sheetId="1" r:id="rId3"/>
    <sheet name="Pivot_Analysis" sheetId="4" r:id="rId4"/>
  </sheets>
  <definedNames>
    <definedName name="ExternalData_1" localSheetId="1" hidden="1">'Cleaned_data'!$A$1:$L$1001</definedName>
    <definedName name="ExternalData_1" localSheetId="0" hidden="1">'retail_sales_data'!$A$1:$L$1001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" l="1"/>
  <c r="B10" i="1"/>
  <c r="B9" i="1"/>
  <c r="B8" i="1"/>
  <c r="B7" i="1"/>
  <c r="B6" i="1"/>
  <c r="B5" i="1"/>
  <c r="B4" i="1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R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Q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M2" i="3"/>
  <c r="N2" i="3" s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N58" i="3" s="1"/>
  <c r="M59" i="3"/>
  <c r="M60" i="3"/>
  <c r="M61" i="3"/>
  <c r="M62" i="3"/>
  <c r="M63" i="3"/>
  <c r="M64" i="3"/>
  <c r="M65" i="3"/>
  <c r="M66" i="3"/>
  <c r="M67" i="3"/>
  <c r="M68" i="3"/>
  <c r="N68" i="3" s="1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N124" i="3" s="1"/>
  <c r="M125" i="3"/>
  <c r="M126" i="3"/>
  <c r="M127" i="3"/>
  <c r="M128" i="3"/>
  <c r="M129" i="3"/>
  <c r="M130" i="3"/>
  <c r="M131" i="3"/>
  <c r="M132" i="3"/>
  <c r="N132" i="3" s="1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N188" i="3" s="1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N260" i="3" s="1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N316" i="3" s="1"/>
  <c r="M317" i="3"/>
  <c r="M318" i="3"/>
  <c r="M319" i="3"/>
  <c r="M320" i="3"/>
  <c r="M321" i="3"/>
  <c r="M322" i="3"/>
  <c r="M323" i="3"/>
  <c r="M324" i="3"/>
  <c r="N324" i="3" s="1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N380" i="3" s="1"/>
  <c r="M381" i="3"/>
  <c r="M382" i="3"/>
  <c r="M383" i="3"/>
  <c r="M384" i="3"/>
  <c r="M385" i="3"/>
  <c r="M386" i="3"/>
  <c r="M387" i="3"/>
  <c r="M388" i="3"/>
  <c r="N388" i="3" s="1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N516" i="3" s="1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N572" i="3" s="1"/>
  <c r="M573" i="3"/>
  <c r="M574" i="3"/>
  <c r="M575" i="3"/>
  <c r="M576" i="3"/>
  <c r="M577" i="3"/>
  <c r="M578" i="3"/>
  <c r="M579" i="3"/>
  <c r="M580" i="3"/>
  <c r="N580" i="3" s="1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N634" i="3" s="1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N674" i="3" s="1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N758" i="3" s="1"/>
  <c r="M759" i="3"/>
  <c r="M760" i="3"/>
  <c r="M761" i="3"/>
  <c r="M762" i="3"/>
  <c r="N762" i="3" s="1"/>
  <c r="M763" i="3"/>
  <c r="M764" i="3"/>
  <c r="M765" i="3"/>
  <c r="M766" i="3"/>
  <c r="N766" i="3" s="1"/>
  <c r="M767" i="3"/>
  <c r="M768" i="3"/>
  <c r="M769" i="3"/>
  <c r="M770" i="3"/>
  <c r="N770" i="3" s="1"/>
  <c r="M771" i="3"/>
  <c r="M772" i="3"/>
  <c r="M773" i="3"/>
  <c r="M774" i="3"/>
  <c r="N774" i="3" s="1"/>
  <c r="M775" i="3"/>
  <c r="M776" i="3"/>
  <c r="M777" i="3"/>
  <c r="M778" i="3"/>
  <c r="N778" i="3" s="1"/>
  <c r="M779" i="3"/>
  <c r="M780" i="3"/>
  <c r="M781" i="3"/>
  <c r="M782" i="3"/>
  <c r="N782" i="3" s="1"/>
  <c r="M783" i="3"/>
  <c r="M784" i="3"/>
  <c r="M785" i="3"/>
  <c r="M786" i="3"/>
  <c r="N786" i="3" s="1"/>
  <c r="M787" i="3"/>
  <c r="M788" i="3"/>
  <c r="M789" i="3"/>
  <c r="M790" i="3"/>
  <c r="N790" i="3" s="1"/>
  <c r="M791" i="3"/>
  <c r="M792" i="3"/>
  <c r="M793" i="3"/>
  <c r="M794" i="3"/>
  <c r="N794" i="3" s="1"/>
  <c r="M795" i="3"/>
  <c r="M796" i="3"/>
  <c r="M797" i="3"/>
  <c r="M798" i="3"/>
  <c r="N798" i="3" s="1"/>
  <c r="M799" i="3"/>
  <c r="M800" i="3"/>
  <c r="M801" i="3"/>
  <c r="M802" i="3"/>
  <c r="N802" i="3" s="1"/>
  <c r="M803" i="3"/>
  <c r="M804" i="3"/>
  <c r="M805" i="3"/>
  <c r="M806" i="3"/>
  <c r="N806" i="3" s="1"/>
  <c r="M807" i="3"/>
  <c r="M808" i="3"/>
  <c r="M809" i="3"/>
  <c r="M810" i="3"/>
  <c r="N810" i="3" s="1"/>
  <c r="M811" i="3"/>
  <c r="M812" i="3"/>
  <c r="M813" i="3"/>
  <c r="M814" i="3"/>
  <c r="N814" i="3" s="1"/>
  <c r="M815" i="3"/>
  <c r="M816" i="3"/>
  <c r="M817" i="3"/>
  <c r="M818" i="3"/>
  <c r="N818" i="3" s="1"/>
  <c r="M819" i="3"/>
  <c r="M820" i="3"/>
  <c r="M821" i="3"/>
  <c r="M822" i="3"/>
  <c r="N822" i="3" s="1"/>
  <c r="M823" i="3"/>
  <c r="M824" i="3"/>
  <c r="M825" i="3"/>
  <c r="M826" i="3"/>
  <c r="N826" i="3" s="1"/>
  <c r="M827" i="3"/>
  <c r="M828" i="3"/>
  <c r="M829" i="3"/>
  <c r="M830" i="3"/>
  <c r="N830" i="3" s="1"/>
  <c r="M831" i="3"/>
  <c r="M832" i="3"/>
  <c r="M833" i="3"/>
  <c r="M834" i="3"/>
  <c r="N834" i="3" s="1"/>
  <c r="M835" i="3"/>
  <c r="M836" i="3"/>
  <c r="M837" i="3"/>
  <c r="M838" i="3"/>
  <c r="N838" i="3" s="1"/>
  <c r="M839" i="3"/>
  <c r="M840" i="3"/>
  <c r="M841" i="3"/>
  <c r="M842" i="3"/>
  <c r="N842" i="3" s="1"/>
  <c r="M843" i="3"/>
  <c r="M844" i="3"/>
  <c r="M845" i="3"/>
  <c r="M846" i="3"/>
  <c r="N846" i="3" s="1"/>
  <c r="M847" i="3"/>
  <c r="M848" i="3"/>
  <c r="M849" i="3"/>
  <c r="M850" i="3"/>
  <c r="N850" i="3" s="1"/>
  <c r="M851" i="3"/>
  <c r="M852" i="3"/>
  <c r="M853" i="3"/>
  <c r="M854" i="3"/>
  <c r="N854" i="3" s="1"/>
  <c r="M855" i="3"/>
  <c r="M856" i="3"/>
  <c r="M857" i="3"/>
  <c r="M858" i="3"/>
  <c r="N858" i="3" s="1"/>
  <c r="M859" i="3"/>
  <c r="M860" i="3"/>
  <c r="M861" i="3"/>
  <c r="M862" i="3"/>
  <c r="N862" i="3" s="1"/>
  <c r="M863" i="3"/>
  <c r="M864" i="3"/>
  <c r="M865" i="3"/>
  <c r="M866" i="3"/>
  <c r="N866" i="3" s="1"/>
  <c r="M867" i="3"/>
  <c r="M868" i="3"/>
  <c r="M869" i="3"/>
  <c r="M870" i="3"/>
  <c r="N870" i="3" s="1"/>
  <c r="M871" i="3"/>
  <c r="M872" i="3"/>
  <c r="M873" i="3"/>
  <c r="M874" i="3"/>
  <c r="N874" i="3" s="1"/>
  <c r="M875" i="3"/>
  <c r="M876" i="3"/>
  <c r="M877" i="3"/>
  <c r="M878" i="3"/>
  <c r="N878" i="3" s="1"/>
  <c r="M879" i="3"/>
  <c r="M880" i="3"/>
  <c r="M881" i="3"/>
  <c r="N881" i="3" s="1"/>
  <c r="M882" i="3"/>
  <c r="N882" i="3" s="1"/>
  <c r="M883" i="3"/>
  <c r="M884" i="3"/>
  <c r="M885" i="3"/>
  <c r="N885" i="3" s="1"/>
  <c r="M886" i="3"/>
  <c r="N886" i="3" s="1"/>
  <c r="M887" i="3"/>
  <c r="M888" i="3"/>
  <c r="M889" i="3"/>
  <c r="N889" i="3" s="1"/>
  <c r="M890" i="3"/>
  <c r="N890" i="3" s="1"/>
  <c r="M891" i="3"/>
  <c r="M892" i="3"/>
  <c r="M893" i="3"/>
  <c r="N893" i="3" s="1"/>
  <c r="M894" i="3"/>
  <c r="N894" i="3" s="1"/>
  <c r="M895" i="3"/>
  <c r="M896" i="3"/>
  <c r="M897" i="3"/>
  <c r="N897" i="3" s="1"/>
  <c r="M898" i="3"/>
  <c r="N898" i="3" s="1"/>
  <c r="M899" i="3"/>
  <c r="M900" i="3"/>
  <c r="M901" i="3"/>
  <c r="N901" i="3" s="1"/>
  <c r="M902" i="3"/>
  <c r="N902" i="3" s="1"/>
  <c r="M903" i="3"/>
  <c r="M904" i="3"/>
  <c r="M905" i="3"/>
  <c r="N905" i="3" s="1"/>
  <c r="M906" i="3"/>
  <c r="N906" i="3" s="1"/>
  <c r="M907" i="3"/>
  <c r="M908" i="3"/>
  <c r="M909" i="3"/>
  <c r="N909" i="3" s="1"/>
  <c r="M910" i="3"/>
  <c r="N910" i="3" s="1"/>
  <c r="M911" i="3"/>
  <c r="M912" i="3"/>
  <c r="M913" i="3"/>
  <c r="N913" i="3" s="1"/>
  <c r="M914" i="3"/>
  <c r="N914" i="3" s="1"/>
  <c r="M915" i="3"/>
  <c r="M916" i="3"/>
  <c r="M917" i="3"/>
  <c r="N917" i="3" s="1"/>
  <c r="M918" i="3"/>
  <c r="N918" i="3" s="1"/>
  <c r="M919" i="3"/>
  <c r="M920" i="3"/>
  <c r="M921" i="3"/>
  <c r="N921" i="3" s="1"/>
  <c r="M922" i="3"/>
  <c r="N922" i="3" s="1"/>
  <c r="M923" i="3"/>
  <c r="M924" i="3"/>
  <c r="M925" i="3"/>
  <c r="N925" i="3" s="1"/>
  <c r="M926" i="3"/>
  <c r="N926" i="3" s="1"/>
  <c r="M927" i="3"/>
  <c r="M928" i="3"/>
  <c r="M929" i="3"/>
  <c r="N929" i="3" s="1"/>
  <c r="M930" i="3"/>
  <c r="N930" i="3" s="1"/>
  <c r="M931" i="3"/>
  <c r="M932" i="3"/>
  <c r="M933" i="3"/>
  <c r="N933" i="3" s="1"/>
  <c r="M934" i="3"/>
  <c r="N934" i="3" s="1"/>
  <c r="M935" i="3"/>
  <c r="M936" i="3"/>
  <c r="N936" i="3" s="1"/>
  <c r="M937" i="3"/>
  <c r="N937" i="3" s="1"/>
  <c r="M938" i="3"/>
  <c r="N938" i="3" s="1"/>
  <c r="M939" i="3"/>
  <c r="M940" i="3"/>
  <c r="M941" i="3"/>
  <c r="N941" i="3" s="1"/>
  <c r="M942" i="3"/>
  <c r="N942" i="3" s="1"/>
  <c r="M943" i="3"/>
  <c r="M944" i="3"/>
  <c r="M945" i="3"/>
  <c r="N945" i="3" s="1"/>
  <c r="M946" i="3"/>
  <c r="N946" i="3" s="1"/>
  <c r="M947" i="3"/>
  <c r="M948" i="3"/>
  <c r="M949" i="3"/>
  <c r="N949" i="3" s="1"/>
  <c r="M950" i="3"/>
  <c r="N950" i="3" s="1"/>
  <c r="M951" i="3"/>
  <c r="M952" i="3"/>
  <c r="M953" i="3"/>
  <c r="N953" i="3" s="1"/>
  <c r="M954" i="3"/>
  <c r="N954" i="3" s="1"/>
  <c r="M955" i="3"/>
  <c r="M956" i="3"/>
  <c r="M957" i="3"/>
  <c r="N957" i="3" s="1"/>
  <c r="M958" i="3"/>
  <c r="N958" i="3" s="1"/>
  <c r="M959" i="3"/>
  <c r="M960" i="3"/>
  <c r="M961" i="3"/>
  <c r="N961" i="3" s="1"/>
  <c r="M962" i="3"/>
  <c r="N962" i="3" s="1"/>
  <c r="M963" i="3"/>
  <c r="M964" i="3"/>
  <c r="M965" i="3"/>
  <c r="N965" i="3" s="1"/>
  <c r="M966" i="3"/>
  <c r="N966" i="3" s="1"/>
  <c r="M967" i="3"/>
  <c r="M968" i="3"/>
  <c r="M969" i="3"/>
  <c r="N969" i="3" s="1"/>
  <c r="M970" i="3"/>
  <c r="N970" i="3" s="1"/>
  <c r="M971" i="3"/>
  <c r="M972" i="3"/>
  <c r="M973" i="3"/>
  <c r="N973" i="3" s="1"/>
  <c r="M974" i="3"/>
  <c r="N974" i="3" s="1"/>
  <c r="M975" i="3"/>
  <c r="M976" i="3"/>
  <c r="M977" i="3"/>
  <c r="N977" i="3" s="1"/>
  <c r="M978" i="3"/>
  <c r="N978" i="3" s="1"/>
  <c r="M979" i="3"/>
  <c r="M980" i="3"/>
  <c r="M981" i="3"/>
  <c r="N981" i="3" s="1"/>
  <c r="M982" i="3"/>
  <c r="N982" i="3" s="1"/>
  <c r="M983" i="3"/>
  <c r="M984" i="3"/>
  <c r="M985" i="3"/>
  <c r="N985" i="3" s="1"/>
  <c r="M986" i="3"/>
  <c r="N986" i="3" s="1"/>
  <c r="M987" i="3"/>
  <c r="M988" i="3"/>
  <c r="M989" i="3"/>
  <c r="N989" i="3" s="1"/>
  <c r="M990" i="3"/>
  <c r="N990" i="3" s="1"/>
  <c r="M991" i="3"/>
  <c r="M992" i="3"/>
  <c r="M993" i="3"/>
  <c r="N993" i="3" s="1"/>
  <c r="M994" i="3"/>
  <c r="N994" i="3" s="1"/>
  <c r="M995" i="3"/>
  <c r="M996" i="3"/>
  <c r="M997" i="3"/>
  <c r="N997" i="3" s="1"/>
  <c r="M998" i="3"/>
  <c r="N998" i="3" s="1"/>
  <c r="M999" i="3"/>
  <c r="M1000" i="3"/>
  <c r="M1001" i="3"/>
  <c r="N1001" i="3" s="1"/>
  <c r="N865" i="3" l="1"/>
  <c r="O865" i="3" s="1"/>
  <c r="N841" i="3"/>
  <c r="O841" i="3" s="1"/>
  <c r="N817" i="3"/>
  <c r="O817" i="3" s="1"/>
  <c r="N769" i="3"/>
  <c r="O769" i="3"/>
  <c r="N992" i="3"/>
  <c r="O992" i="3" s="1"/>
  <c r="N952" i="3"/>
  <c r="O952" i="3"/>
  <c r="N944" i="3"/>
  <c r="O944" i="3" s="1"/>
  <c r="N928" i="3"/>
  <c r="O928" i="3"/>
  <c r="N912" i="3"/>
  <c r="O912" i="3" s="1"/>
  <c r="N888" i="3"/>
  <c r="O888" i="3" s="1"/>
  <c r="N880" i="3"/>
  <c r="O880" i="3" s="1"/>
  <c r="N864" i="3"/>
  <c r="O864" i="3" s="1"/>
  <c r="N840" i="3"/>
  <c r="O840" i="3" s="1"/>
  <c r="N832" i="3"/>
  <c r="O832" i="3" s="1"/>
  <c r="N824" i="3"/>
  <c r="O824" i="3" s="1"/>
  <c r="N808" i="3"/>
  <c r="O808" i="3" s="1"/>
  <c r="N800" i="3"/>
  <c r="O800" i="3" s="1"/>
  <c r="N792" i="3"/>
  <c r="O792" i="3" s="1"/>
  <c r="N784" i="3"/>
  <c r="O784" i="3" s="1"/>
  <c r="N776" i="3"/>
  <c r="O776" i="3" s="1"/>
  <c r="N768" i="3"/>
  <c r="O768" i="3" s="1"/>
  <c r="N760" i="3"/>
  <c r="O760" i="3" s="1"/>
  <c r="N744" i="3"/>
  <c r="O744" i="3" s="1"/>
  <c r="N736" i="3"/>
  <c r="O736" i="3" s="1"/>
  <c r="N720" i="3"/>
  <c r="O720" i="3" s="1"/>
  <c r="N712" i="3"/>
  <c r="O712" i="3" s="1"/>
  <c r="N704" i="3"/>
  <c r="O704" i="3" s="1"/>
  <c r="N696" i="3"/>
  <c r="O696" i="3" s="1"/>
  <c r="N688" i="3"/>
  <c r="O688" i="3" s="1"/>
  <c r="N680" i="3"/>
  <c r="O680" i="3"/>
  <c r="N672" i="3"/>
  <c r="O672" i="3" s="1"/>
  <c r="N664" i="3"/>
  <c r="O664" i="3" s="1"/>
  <c r="N656" i="3"/>
  <c r="O656" i="3" s="1"/>
  <c r="N648" i="3"/>
  <c r="O648" i="3" s="1"/>
  <c r="N640" i="3"/>
  <c r="O640" i="3" s="1"/>
  <c r="N632" i="3"/>
  <c r="O632" i="3" s="1"/>
  <c r="N624" i="3"/>
  <c r="O624" i="3" s="1"/>
  <c r="N616" i="3"/>
  <c r="O616" i="3"/>
  <c r="N608" i="3"/>
  <c r="O608" i="3" s="1"/>
  <c r="N600" i="3"/>
  <c r="O600" i="3" s="1"/>
  <c r="N592" i="3"/>
  <c r="O592" i="3" s="1"/>
  <c r="N584" i="3"/>
  <c r="O584" i="3" s="1"/>
  <c r="N576" i="3"/>
  <c r="O576" i="3" s="1"/>
  <c r="N568" i="3"/>
  <c r="O568" i="3" s="1"/>
  <c r="N560" i="3"/>
  <c r="O560" i="3" s="1"/>
  <c r="N552" i="3"/>
  <c r="O552" i="3" s="1"/>
  <c r="N544" i="3"/>
  <c r="O544" i="3" s="1"/>
  <c r="N536" i="3"/>
  <c r="O536" i="3"/>
  <c r="N528" i="3"/>
  <c r="O528" i="3" s="1"/>
  <c r="N520" i="3"/>
  <c r="O520" i="3" s="1"/>
  <c r="N512" i="3"/>
  <c r="O512" i="3" s="1"/>
  <c r="N504" i="3"/>
  <c r="O504" i="3" s="1"/>
  <c r="N496" i="3"/>
  <c r="O496" i="3" s="1"/>
  <c r="N488" i="3"/>
  <c r="O488" i="3" s="1"/>
  <c r="N480" i="3"/>
  <c r="O480" i="3" s="1"/>
  <c r="N472" i="3"/>
  <c r="O472" i="3" s="1"/>
  <c r="N464" i="3"/>
  <c r="O464" i="3" s="1"/>
  <c r="N456" i="3"/>
  <c r="O456" i="3" s="1"/>
  <c r="N448" i="3"/>
  <c r="O448" i="3" s="1"/>
  <c r="N440" i="3"/>
  <c r="O440" i="3" s="1"/>
  <c r="N432" i="3"/>
  <c r="O432" i="3" s="1"/>
  <c r="N424" i="3"/>
  <c r="O424" i="3" s="1"/>
  <c r="N416" i="3"/>
  <c r="O416" i="3" s="1"/>
  <c r="N408" i="3"/>
  <c r="O408" i="3" s="1"/>
  <c r="N400" i="3"/>
  <c r="O400" i="3" s="1"/>
  <c r="N392" i="3"/>
  <c r="O392" i="3" s="1"/>
  <c r="N384" i="3"/>
  <c r="O384" i="3" s="1"/>
  <c r="N376" i="3"/>
  <c r="O376" i="3" s="1"/>
  <c r="N368" i="3"/>
  <c r="O368" i="3" s="1"/>
  <c r="N360" i="3"/>
  <c r="O360" i="3" s="1"/>
  <c r="N352" i="3"/>
  <c r="O352" i="3" s="1"/>
  <c r="N344" i="3"/>
  <c r="O344" i="3" s="1"/>
  <c r="N336" i="3"/>
  <c r="O336" i="3" s="1"/>
  <c r="N328" i="3"/>
  <c r="O328" i="3" s="1"/>
  <c r="N320" i="3"/>
  <c r="O320" i="3" s="1"/>
  <c r="N312" i="3"/>
  <c r="O312" i="3" s="1"/>
  <c r="N304" i="3"/>
  <c r="O304" i="3" s="1"/>
  <c r="N296" i="3"/>
  <c r="O296" i="3" s="1"/>
  <c r="N288" i="3"/>
  <c r="O288" i="3" s="1"/>
  <c r="N280" i="3"/>
  <c r="O280" i="3" s="1"/>
  <c r="N272" i="3"/>
  <c r="O272" i="3" s="1"/>
  <c r="N264" i="3"/>
  <c r="O264" i="3" s="1"/>
  <c r="N256" i="3"/>
  <c r="O256" i="3" s="1"/>
  <c r="N248" i="3"/>
  <c r="O248" i="3" s="1"/>
  <c r="N240" i="3"/>
  <c r="O240" i="3" s="1"/>
  <c r="N232" i="3"/>
  <c r="O232" i="3" s="1"/>
  <c r="N224" i="3"/>
  <c r="O224" i="3" s="1"/>
  <c r="N216" i="3"/>
  <c r="O216" i="3"/>
  <c r="N208" i="3"/>
  <c r="O208" i="3" s="1"/>
  <c r="N200" i="3"/>
  <c r="O200" i="3" s="1"/>
  <c r="N192" i="3"/>
  <c r="O192" i="3" s="1"/>
  <c r="N184" i="3"/>
  <c r="O184" i="3" s="1"/>
  <c r="N176" i="3"/>
  <c r="O176" i="3" s="1"/>
  <c r="N168" i="3"/>
  <c r="O168" i="3" s="1"/>
  <c r="N160" i="3"/>
  <c r="O160" i="3" s="1"/>
  <c r="N152" i="3"/>
  <c r="O152" i="3"/>
  <c r="N144" i="3"/>
  <c r="O144" i="3" s="1"/>
  <c r="N136" i="3"/>
  <c r="O136" i="3" s="1"/>
  <c r="N128" i="3"/>
  <c r="O128" i="3" s="1"/>
  <c r="N120" i="3"/>
  <c r="O120" i="3" s="1"/>
  <c r="N112" i="3"/>
  <c r="O112" i="3" s="1"/>
  <c r="N104" i="3"/>
  <c r="O104" i="3" s="1"/>
  <c r="N96" i="3"/>
  <c r="O96" i="3" s="1"/>
  <c r="N88" i="3"/>
  <c r="O88" i="3" s="1"/>
  <c r="N80" i="3"/>
  <c r="O80" i="3" s="1"/>
  <c r="N72" i="3"/>
  <c r="O72" i="3" s="1"/>
  <c r="N64" i="3"/>
  <c r="O64" i="3" s="1"/>
  <c r="N56" i="3"/>
  <c r="O56" i="3" s="1"/>
  <c r="N48" i="3"/>
  <c r="O48" i="3" s="1"/>
  <c r="N40" i="3"/>
  <c r="O40" i="3"/>
  <c r="N32" i="3"/>
  <c r="O32" i="3" s="1"/>
  <c r="N24" i="3"/>
  <c r="O24" i="3" s="1"/>
  <c r="N16" i="3"/>
  <c r="O16" i="3" s="1"/>
  <c r="N8" i="3"/>
  <c r="O8" i="3" s="1"/>
  <c r="O993" i="3"/>
  <c r="O977" i="3"/>
  <c r="O961" i="3"/>
  <c r="O945" i="3"/>
  <c r="O929" i="3"/>
  <c r="O913" i="3"/>
  <c r="O897" i="3"/>
  <c r="O881" i="3"/>
  <c r="O850" i="3"/>
  <c r="O818" i="3"/>
  <c r="O786" i="3"/>
  <c r="N857" i="3"/>
  <c r="O857" i="3" s="1"/>
  <c r="N833" i="3"/>
  <c r="O833" i="3" s="1"/>
  <c r="N809" i="3"/>
  <c r="O809" i="3" s="1"/>
  <c r="N761" i="3"/>
  <c r="O761" i="3" s="1"/>
  <c r="N1000" i="3"/>
  <c r="O1000" i="3" s="1"/>
  <c r="N984" i="3"/>
  <c r="O984" i="3" s="1"/>
  <c r="N976" i="3"/>
  <c r="O976" i="3" s="1"/>
  <c r="N960" i="3"/>
  <c r="O960" i="3" s="1"/>
  <c r="O936" i="3"/>
  <c r="N920" i="3"/>
  <c r="O920" i="3" s="1"/>
  <c r="N904" i="3"/>
  <c r="O904" i="3" s="1"/>
  <c r="N896" i="3"/>
  <c r="O896" i="3" s="1"/>
  <c r="N872" i="3"/>
  <c r="O872" i="3" s="1"/>
  <c r="N856" i="3"/>
  <c r="O856" i="3" s="1"/>
  <c r="N999" i="3"/>
  <c r="O999" i="3" s="1"/>
  <c r="N991" i="3"/>
  <c r="O991" i="3" s="1"/>
  <c r="N983" i="3"/>
  <c r="O983" i="3" s="1"/>
  <c r="N975" i="3"/>
  <c r="O975" i="3" s="1"/>
  <c r="N967" i="3"/>
  <c r="O967" i="3" s="1"/>
  <c r="N959" i="3"/>
  <c r="O959" i="3" s="1"/>
  <c r="N951" i="3"/>
  <c r="O951" i="3" s="1"/>
  <c r="N943" i="3"/>
  <c r="O943" i="3" s="1"/>
  <c r="N935" i="3"/>
  <c r="O935" i="3" s="1"/>
  <c r="N927" i="3"/>
  <c r="O927" i="3" s="1"/>
  <c r="N919" i="3"/>
  <c r="O919" i="3" s="1"/>
  <c r="N911" i="3"/>
  <c r="O911" i="3" s="1"/>
  <c r="N903" i="3"/>
  <c r="O903" i="3" s="1"/>
  <c r="N895" i="3"/>
  <c r="O895" i="3" s="1"/>
  <c r="N887" i="3"/>
  <c r="O887" i="3" s="1"/>
  <c r="N879" i="3"/>
  <c r="O879" i="3" s="1"/>
  <c r="N871" i="3"/>
  <c r="O871" i="3" s="1"/>
  <c r="N863" i="3"/>
  <c r="O863" i="3" s="1"/>
  <c r="N855" i="3"/>
  <c r="O855" i="3" s="1"/>
  <c r="N847" i="3"/>
  <c r="O847" i="3" s="1"/>
  <c r="N839" i="3"/>
  <c r="O839" i="3" s="1"/>
  <c r="N831" i="3"/>
  <c r="O831" i="3" s="1"/>
  <c r="N823" i="3"/>
  <c r="O823" i="3" s="1"/>
  <c r="N815" i="3"/>
  <c r="O815" i="3" s="1"/>
  <c r="N807" i="3"/>
  <c r="O807" i="3" s="1"/>
  <c r="N799" i="3"/>
  <c r="O799" i="3" s="1"/>
  <c r="N791" i="3"/>
  <c r="O791" i="3" s="1"/>
  <c r="N783" i="3"/>
  <c r="O783" i="3" s="1"/>
  <c r="N775" i="3"/>
  <c r="O775" i="3" s="1"/>
  <c r="N767" i="3"/>
  <c r="O767" i="3" s="1"/>
  <c r="N759" i="3"/>
  <c r="O759" i="3" s="1"/>
  <c r="N751" i="3"/>
  <c r="O751" i="3" s="1"/>
  <c r="N743" i="3"/>
  <c r="O743" i="3" s="1"/>
  <c r="N735" i="3"/>
  <c r="O735" i="3" s="1"/>
  <c r="N727" i="3"/>
  <c r="O727" i="3" s="1"/>
  <c r="N719" i="3"/>
  <c r="O719" i="3" s="1"/>
  <c r="N711" i="3"/>
  <c r="O711" i="3" s="1"/>
  <c r="N703" i="3"/>
  <c r="O703" i="3" s="1"/>
  <c r="N695" i="3"/>
  <c r="O695" i="3"/>
  <c r="N687" i="3"/>
  <c r="O687" i="3" s="1"/>
  <c r="N679" i="3"/>
  <c r="O679" i="3" s="1"/>
  <c r="N671" i="3"/>
  <c r="O671" i="3" s="1"/>
  <c r="N663" i="3"/>
  <c r="O663" i="3" s="1"/>
  <c r="N655" i="3"/>
  <c r="O655" i="3" s="1"/>
  <c r="N639" i="3"/>
  <c r="O639" i="3" s="1"/>
  <c r="N631" i="3"/>
  <c r="O631" i="3" s="1"/>
  <c r="N623" i="3"/>
  <c r="O623" i="3" s="1"/>
  <c r="N615" i="3"/>
  <c r="O615" i="3" s="1"/>
  <c r="N607" i="3"/>
  <c r="O607" i="3" s="1"/>
  <c r="N599" i="3"/>
  <c r="O599" i="3" s="1"/>
  <c r="N591" i="3"/>
  <c r="O591" i="3"/>
  <c r="N583" i="3"/>
  <c r="O583" i="3" s="1"/>
  <c r="N575" i="3"/>
  <c r="O575" i="3" s="1"/>
  <c r="N567" i="3"/>
  <c r="O567" i="3" s="1"/>
  <c r="N559" i="3"/>
  <c r="O559" i="3" s="1"/>
  <c r="N551" i="3"/>
  <c r="O551" i="3" s="1"/>
  <c r="N543" i="3"/>
  <c r="O543" i="3" s="1"/>
  <c r="N535" i="3"/>
  <c r="O535" i="3" s="1"/>
  <c r="N527" i="3"/>
  <c r="O527" i="3" s="1"/>
  <c r="N519" i="3"/>
  <c r="O519" i="3" s="1"/>
  <c r="N511" i="3"/>
  <c r="O511" i="3" s="1"/>
  <c r="N503" i="3"/>
  <c r="O503" i="3" s="1"/>
  <c r="N495" i="3"/>
  <c r="O495" i="3" s="1"/>
  <c r="N487" i="3"/>
  <c r="O487" i="3" s="1"/>
  <c r="N479" i="3"/>
  <c r="O479" i="3" s="1"/>
  <c r="N471" i="3"/>
  <c r="O471" i="3" s="1"/>
  <c r="N463" i="3"/>
  <c r="O463" i="3" s="1"/>
  <c r="N455" i="3"/>
  <c r="O455" i="3" s="1"/>
  <c r="N447" i="3"/>
  <c r="O447" i="3" s="1"/>
  <c r="N439" i="3"/>
  <c r="O439" i="3" s="1"/>
  <c r="N431" i="3"/>
  <c r="O431" i="3" s="1"/>
  <c r="N423" i="3"/>
  <c r="O423" i="3" s="1"/>
  <c r="N415" i="3"/>
  <c r="O415" i="3" s="1"/>
  <c r="N407" i="3"/>
  <c r="O407" i="3" s="1"/>
  <c r="N399" i="3"/>
  <c r="O399" i="3" s="1"/>
  <c r="N391" i="3"/>
  <c r="O391" i="3" s="1"/>
  <c r="N383" i="3"/>
  <c r="O383" i="3" s="1"/>
  <c r="N375" i="3"/>
  <c r="O375" i="3" s="1"/>
  <c r="N367" i="3"/>
  <c r="O367" i="3" s="1"/>
  <c r="N359" i="3"/>
  <c r="O359" i="3" s="1"/>
  <c r="N351" i="3"/>
  <c r="O351" i="3" s="1"/>
  <c r="N343" i="3"/>
  <c r="O343" i="3" s="1"/>
  <c r="N335" i="3"/>
  <c r="O335" i="3" s="1"/>
  <c r="N327" i="3"/>
  <c r="O327" i="3" s="1"/>
  <c r="N319" i="3"/>
  <c r="O319" i="3" s="1"/>
  <c r="N311" i="3"/>
  <c r="O311" i="3" s="1"/>
  <c r="N303" i="3"/>
  <c r="O303" i="3" s="1"/>
  <c r="N295" i="3"/>
  <c r="O295" i="3" s="1"/>
  <c r="N287" i="3"/>
  <c r="O287" i="3" s="1"/>
  <c r="N279" i="3"/>
  <c r="O279" i="3" s="1"/>
  <c r="N271" i="3"/>
  <c r="O271" i="3" s="1"/>
  <c r="N263" i="3"/>
  <c r="O263" i="3" s="1"/>
  <c r="N255" i="3"/>
  <c r="O255" i="3" s="1"/>
  <c r="N247" i="3"/>
  <c r="O247" i="3" s="1"/>
  <c r="N239" i="3"/>
  <c r="O239" i="3" s="1"/>
  <c r="N231" i="3"/>
  <c r="O231" i="3" s="1"/>
  <c r="N223" i="3"/>
  <c r="O223" i="3" s="1"/>
  <c r="N215" i="3"/>
  <c r="O215" i="3" s="1"/>
  <c r="N207" i="3"/>
  <c r="O207" i="3" s="1"/>
  <c r="N199" i="3"/>
  <c r="O199" i="3" s="1"/>
  <c r="N191" i="3"/>
  <c r="O191" i="3" s="1"/>
  <c r="N183" i="3"/>
  <c r="O183" i="3" s="1"/>
  <c r="N175" i="3"/>
  <c r="O175" i="3" s="1"/>
  <c r="N167" i="3"/>
  <c r="O167" i="3" s="1"/>
  <c r="N159" i="3"/>
  <c r="O159" i="3" s="1"/>
  <c r="N151" i="3"/>
  <c r="O151" i="3" s="1"/>
  <c r="N143" i="3"/>
  <c r="O143" i="3" s="1"/>
  <c r="N135" i="3"/>
  <c r="O135" i="3" s="1"/>
  <c r="N127" i="3"/>
  <c r="O127" i="3" s="1"/>
  <c r="N119" i="3"/>
  <c r="O119" i="3" s="1"/>
  <c r="N111" i="3"/>
  <c r="O111" i="3" s="1"/>
  <c r="N103" i="3"/>
  <c r="O103" i="3" s="1"/>
  <c r="N95" i="3"/>
  <c r="O95" i="3" s="1"/>
  <c r="N87" i="3"/>
  <c r="O87" i="3" s="1"/>
  <c r="N79" i="3"/>
  <c r="O79" i="3" s="1"/>
  <c r="N71" i="3"/>
  <c r="O71" i="3" s="1"/>
  <c r="N63" i="3"/>
  <c r="O63" i="3" s="1"/>
  <c r="N55" i="3"/>
  <c r="O55" i="3" s="1"/>
  <c r="N47" i="3"/>
  <c r="O47" i="3"/>
  <c r="N39" i="3"/>
  <c r="O39" i="3" s="1"/>
  <c r="N31" i="3"/>
  <c r="O31" i="3" s="1"/>
  <c r="N23" i="3"/>
  <c r="O23" i="3" s="1"/>
  <c r="N15" i="3"/>
  <c r="O15" i="3" s="1"/>
  <c r="N7" i="3"/>
  <c r="O7" i="3" s="1"/>
  <c r="N848" i="3"/>
  <c r="O848" i="3" s="1"/>
  <c r="O990" i="3"/>
  <c r="O974" i="3"/>
  <c r="O958" i="3"/>
  <c r="O942" i="3"/>
  <c r="O926" i="3"/>
  <c r="O910" i="3"/>
  <c r="O894" i="3"/>
  <c r="O878" i="3"/>
  <c r="O846" i="3"/>
  <c r="O814" i="3"/>
  <c r="O782" i="3"/>
  <c r="N750" i="3"/>
  <c r="O750" i="3" s="1"/>
  <c r="N742" i="3"/>
  <c r="O742" i="3" s="1"/>
  <c r="N734" i="3"/>
  <c r="O734" i="3" s="1"/>
  <c r="N726" i="3"/>
  <c r="O726" i="3" s="1"/>
  <c r="N718" i="3"/>
  <c r="O718" i="3" s="1"/>
  <c r="N710" i="3"/>
  <c r="O710" i="3" s="1"/>
  <c r="N702" i="3"/>
  <c r="O702" i="3" s="1"/>
  <c r="N694" i="3"/>
  <c r="O694" i="3" s="1"/>
  <c r="N686" i="3"/>
  <c r="O686" i="3" s="1"/>
  <c r="N678" i="3"/>
  <c r="O678" i="3" s="1"/>
  <c r="N670" i="3"/>
  <c r="O670" i="3" s="1"/>
  <c r="N662" i="3"/>
  <c r="O662" i="3" s="1"/>
  <c r="N654" i="3"/>
  <c r="O654" i="3" s="1"/>
  <c r="N646" i="3"/>
  <c r="O646" i="3" s="1"/>
  <c r="N638" i="3"/>
  <c r="O638" i="3" s="1"/>
  <c r="N630" i="3"/>
  <c r="O630" i="3" s="1"/>
  <c r="N622" i="3"/>
  <c r="O622" i="3" s="1"/>
  <c r="N614" i="3"/>
  <c r="O614" i="3" s="1"/>
  <c r="N606" i="3"/>
  <c r="O606" i="3" s="1"/>
  <c r="N598" i="3"/>
  <c r="O598" i="3" s="1"/>
  <c r="N590" i="3"/>
  <c r="O590" i="3" s="1"/>
  <c r="N582" i="3"/>
  <c r="O582" i="3" s="1"/>
  <c r="N574" i="3"/>
  <c r="O574" i="3" s="1"/>
  <c r="N566" i="3"/>
  <c r="O566" i="3" s="1"/>
  <c r="N558" i="3"/>
  <c r="O558" i="3" s="1"/>
  <c r="N550" i="3"/>
  <c r="O550" i="3" s="1"/>
  <c r="N542" i="3"/>
  <c r="O542" i="3" s="1"/>
  <c r="N534" i="3"/>
  <c r="O534" i="3" s="1"/>
  <c r="N526" i="3"/>
  <c r="O526" i="3" s="1"/>
  <c r="N518" i="3"/>
  <c r="O518" i="3" s="1"/>
  <c r="N510" i="3"/>
  <c r="O510" i="3" s="1"/>
  <c r="N502" i="3"/>
  <c r="O502" i="3" s="1"/>
  <c r="N494" i="3"/>
  <c r="O494" i="3" s="1"/>
  <c r="N486" i="3"/>
  <c r="O486" i="3" s="1"/>
  <c r="N478" i="3"/>
  <c r="O478" i="3" s="1"/>
  <c r="N470" i="3"/>
  <c r="O470" i="3" s="1"/>
  <c r="N462" i="3"/>
  <c r="O462" i="3" s="1"/>
  <c r="N454" i="3"/>
  <c r="O454" i="3" s="1"/>
  <c r="N446" i="3"/>
  <c r="O446" i="3" s="1"/>
  <c r="N438" i="3"/>
  <c r="O438" i="3" s="1"/>
  <c r="N430" i="3"/>
  <c r="O430" i="3" s="1"/>
  <c r="N422" i="3"/>
  <c r="O422" i="3" s="1"/>
  <c r="N414" i="3"/>
  <c r="O414" i="3" s="1"/>
  <c r="N406" i="3"/>
  <c r="O406" i="3" s="1"/>
  <c r="N398" i="3"/>
  <c r="O398" i="3" s="1"/>
  <c r="N390" i="3"/>
  <c r="O390" i="3" s="1"/>
  <c r="N382" i="3"/>
  <c r="O382" i="3" s="1"/>
  <c r="N374" i="3"/>
  <c r="O374" i="3" s="1"/>
  <c r="N366" i="3"/>
  <c r="O366" i="3" s="1"/>
  <c r="N358" i="3"/>
  <c r="O358" i="3" s="1"/>
  <c r="N350" i="3"/>
  <c r="O350" i="3" s="1"/>
  <c r="N342" i="3"/>
  <c r="O342" i="3" s="1"/>
  <c r="N334" i="3"/>
  <c r="O334" i="3" s="1"/>
  <c r="N326" i="3"/>
  <c r="O326" i="3" s="1"/>
  <c r="N318" i="3"/>
  <c r="O318" i="3" s="1"/>
  <c r="N310" i="3"/>
  <c r="O310" i="3" s="1"/>
  <c r="N302" i="3"/>
  <c r="O302" i="3" s="1"/>
  <c r="N816" i="3"/>
  <c r="O816" i="3" s="1"/>
  <c r="O989" i="3"/>
  <c r="O973" i="3"/>
  <c r="O957" i="3"/>
  <c r="O941" i="3"/>
  <c r="O925" i="3"/>
  <c r="O909" i="3"/>
  <c r="O893" i="3"/>
  <c r="O874" i="3"/>
  <c r="O842" i="3"/>
  <c r="O810" i="3"/>
  <c r="O778" i="3"/>
  <c r="N877" i="3"/>
  <c r="O877" i="3" s="1"/>
  <c r="N869" i="3"/>
  <c r="O869" i="3" s="1"/>
  <c r="N861" i="3"/>
  <c r="O861" i="3" s="1"/>
  <c r="N853" i="3"/>
  <c r="O853" i="3" s="1"/>
  <c r="N845" i="3"/>
  <c r="O845" i="3" s="1"/>
  <c r="N837" i="3"/>
  <c r="O837" i="3" s="1"/>
  <c r="N829" i="3"/>
  <c r="O829" i="3" s="1"/>
  <c r="N821" i="3"/>
  <c r="O821" i="3" s="1"/>
  <c r="N813" i="3"/>
  <c r="O813" i="3" s="1"/>
  <c r="N805" i="3"/>
  <c r="O805" i="3" s="1"/>
  <c r="N797" i="3"/>
  <c r="O797" i="3" s="1"/>
  <c r="N789" i="3"/>
  <c r="O789" i="3" s="1"/>
  <c r="N781" i="3"/>
  <c r="O781" i="3" s="1"/>
  <c r="N773" i="3"/>
  <c r="O773" i="3" s="1"/>
  <c r="N765" i="3"/>
  <c r="O765" i="3" s="1"/>
  <c r="N757" i="3"/>
  <c r="O757" i="3" s="1"/>
  <c r="N749" i="3"/>
  <c r="O749" i="3" s="1"/>
  <c r="N741" i="3"/>
  <c r="O741" i="3" s="1"/>
  <c r="N733" i="3"/>
  <c r="O733" i="3" s="1"/>
  <c r="N725" i="3"/>
  <c r="O725" i="3" s="1"/>
  <c r="N717" i="3"/>
  <c r="O717" i="3" s="1"/>
  <c r="N709" i="3"/>
  <c r="O709" i="3" s="1"/>
  <c r="N701" i="3"/>
  <c r="O701" i="3" s="1"/>
  <c r="N693" i="3"/>
  <c r="O693" i="3" s="1"/>
  <c r="N685" i="3"/>
  <c r="O685" i="3"/>
  <c r="N677" i="3"/>
  <c r="O677" i="3" s="1"/>
  <c r="N669" i="3"/>
  <c r="O669" i="3" s="1"/>
  <c r="N661" i="3"/>
  <c r="O661" i="3" s="1"/>
  <c r="N653" i="3"/>
  <c r="O653" i="3" s="1"/>
  <c r="N645" i="3"/>
  <c r="O645" i="3" s="1"/>
  <c r="N637" i="3"/>
  <c r="O637" i="3" s="1"/>
  <c r="N629" i="3"/>
  <c r="O629" i="3" s="1"/>
  <c r="N621" i="3"/>
  <c r="O621" i="3" s="1"/>
  <c r="N613" i="3"/>
  <c r="O613" i="3" s="1"/>
  <c r="N605" i="3"/>
  <c r="O605" i="3" s="1"/>
  <c r="N597" i="3"/>
  <c r="O597" i="3" s="1"/>
  <c r="N589" i="3"/>
  <c r="O589" i="3" s="1"/>
  <c r="N581" i="3"/>
  <c r="O581" i="3" s="1"/>
  <c r="N573" i="3"/>
  <c r="O573" i="3" s="1"/>
  <c r="N565" i="3"/>
  <c r="O565" i="3" s="1"/>
  <c r="N557" i="3"/>
  <c r="O557" i="3" s="1"/>
  <c r="N549" i="3"/>
  <c r="O549" i="3" s="1"/>
  <c r="N541" i="3"/>
  <c r="O541" i="3" s="1"/>
  <c r="N533" i="3"/>
  <c r="O533" i="3" s="1"/>
  <c r="N525" i="3"/>
  <c r="O525" i="3" s="1"/>
  <c r="N517" i="3"/>
  <c r="O517" i="3" s="1"/>
  <c r="N509" i="3"/>
  <c r="O509" i="3" s="1"/>
  <c r="N501" i="3"/>
  <c r="O501" i="3" s="1"/>
  <c r="N493" i="3"/>
  <c r="O493" i="3" s="1"/>
  <c r="N485" i="3"/>
  <c r="O485" i="3" s="1"/>
  <c r="N477" i="3"/>
  <c r="O477" i="3" s="1"/>
  <c r="N469" i="3"/>
  <c r="O469" i="3" s="1"/>
  <c r="N461" i="3"/>
  <c r="O461" i="3" s="1"/>
  <c r="N453" i="3"/>
  <c r="O453" i="3" s="1"/>
  <c r="N445" i="3"/>
  <c r="O445" i="3" s="1"/>
  <c r="N437" i="3"/>
  <c r="O437" i="3" s="1"/>
  <c r="N429" i="3"/>
  <c r="O429" i="3" s="1"/>
  <c r="N421" i="3"/>
  <c r="O421" i="3" s="1"/>
  <c r="N413" i="3"/>
  <c r="O413" i="3" s="1"/>
  <c r="N405" i="3"/>
  <c r="O405" i="3" s="1"/>
  <c r="N397" i="3"/>
  <c r="O397" i="3" s="1"/>
  <c r="N389" i="3"/>
  <c r="O389" i="3" s="1"/>
  <c r="N381" i="3"/>
  <c r="O381" i="3" s="1"/>
  <c r="N373" i="3"/>
  <c r="O373" i="3" s="1"/>
  <c r="N365" i="3"/>
  <c r="O365" i="3" s="1"/>
  <c r="N752" i="3"/>
  <c r="O752" i="3" s="1"/>
  <c r="O986" i="3"/>
  <c r="O970" i="3"/>
  <c r="O954" i="3"/>
  <c r="O938" i="3"/>
  <c r="O922" i="3"/>
  <c r="O906" i="3"/>
  <c r="O890" i="3"/>
  <c r="O870" i="3"/>
  <c r="O838" i="3"/>
  <c r="O806" i="3"/>
  <c r="O774" i="3"/>
  <c r="N988" i="3"/>
  <c r="O988" i="3" s="1"/>
  <c r="N972" i="3"/>
  <c r="O972" i="3" s="1"/>
  <c r="N948" i="3"/>
  <c r="O948" i="3" s="1"/>
  <c r="N932" i="3"/>
  <c r="O932" i="3" s="1"/>
  <c r="N924" i="3"/>
  <c r="O924" i="3" s="1"/>
  <c r="N908" i="3"/>
  <c r="O908" i="3" s="1"/>
  <c r="N892" i="3"/>
  <c r="O892" i="3" s="1"/>
  <c r="N876" i="3"/>
  <c r="O876" i="3" s="1"/>
  <c r="N852" i="3"/>
  <c r="O852" i="3" s="1"/>
  <c r="N828" i="3"/>
  <c r="O828" i="3" s="1"/>
  <c r="N812" i="3"/>
  <c r="O812" i="3" s="1"/>
  <c r="N804" i="3"/>
  <c r="O804" i="3" s="1"/>
  <c r="N788" i="3"/>
  <c r="O788" i="3" s="1"/>
  <c r="N772" i="3"/>
  <c r="O772" i="3" s="1"/>
  <c r="N756" i="3"/>
  <c r="O756" i="3" s="1"/>
  <c r="N740" i="3"/>
  <c r="O740" i="3" s="1"/>
  <c r="N724" i="3"/>
  <c r="O724" i="3" s="1"/>
  <c r="N708" i="3"/>
  <c r="O708" i="3" s="1"/>
  <c r="N700" i="3"/>
  <c r="O700" i="3" s="1"/>
  <c r="N692" i="3"/>
  <c r="O692" i="3" s="1"/>
  <c r="N684" i="3"/>
  <c r="O684" i="3" s="1"/>
  <c r="N676" i="3"/>
  <c r="O676" i="3" s="1"/>
  <c r="N660" i="3"/>
  <c r="O660" i="3" s="1"/>
  <c r="N652" i="3"/>
  <c r="O652" i="3" s="1"/>
  <c r="N644" i="3"/>
  <c r="O644" i="3" s="1"/>
  <c r="N636" i="3"/>
  <c r="O636" i="3" s="1"/>
  <c r="N628" i="3"/>
  <c r="O628" i="3" s="1"/>
  <c r="N620" i="3"/>
  <c r="O620" i="3" s="1"/>
  <c r="N612" i="3"/>
  <c r="O612" i="3" s="1"/>
  <c r="N604" i="3"/>
  <c r="O604" i="3" s="1"/>
  <c r="N596" i="3"/>
  <c r="O596" i="3" s="1"/>
  <c r="N588" i="3"/>
  <c r="O588" i="3" s="1"/>
  <c r="O580" i="3"/>
  <c r="O572" i="3"/>
  <c r="N564" i="3"/>
  <c r="O564" i="3" s="1"/>
  <c r="N556" i="3"/>
  <c r="O556" i="3" s="1"/>
  <c r="N548" i="3"/>
  <c r="O548" i="3" s="1"/>
  <c r="N540" i="3"/>
  <c r="O540" i="3" s="1"/>
  <c r="N532" i="3"/>
  <c r="O532" i="3" s="1"/>
  <c r="N524" i="3"/>
  <c r="O524" i="3" s="1"/>
  <c r="O516" i="3"/>
  <c r="N500" i="3"/>
  <c r="O500" i="3"/>
  <c r="N492" i="3"/>
  <c r="O492" i="3" s="1"/>
  <c r="N484" i="3"/>
  <c r="O484" i="3"/>
  <c r="N476" i="3"/>
  <c r="O476" i="3" s="1"/>
  <c r="N468" i="3"/>
  <c r="O468" i="3" s="1"/>
  <c r="N460" i="3"/>
  <c r="O460" i="3" s="1"/>
  <c r="N436" i="3"/>
  <c r="O436" i="3" s="1"/>
  <c r="N428" i="3"/>
  <c r="O428" i="3" s="1"/>
  <c r="N420" i="3"/>
  <c r="O420" i="3" s="1"/>
  <c r="N412" i="3"/>
  <c r="O412" i="3" s="1"/>
  <c r="N404" i="3"/>
  <c r="O404" i="3" s="1"/>
  <c r="N396" i="3"/>
  <c r="O396" i="3" s="1"/>
  <c r="O388" i="3"/>
  <c r="O380" i="3"/>
  <c r="N372" i="3"/>
  <c r="O372" i="3" s="1"/>
  <c r="N364" i="3"/>
  <c r="O364" i="3" s="1"/>
  <c r="N356" i="3"/>
  <c r="O356" i="3" s="1"/>
  <c r="N348" i="3"/>
  <c r="O348" i="3" s="1"/>
  <c r="N340" i="3"/>
  <c r="O340" i="3" s="1"/>
  <c r="N332" i="3"/>
  <c r="O332" i="3" s="1"/>
  <c r="O324" i="3"/>
  <c r="O316" i="3"/>
  <c r="N308" i="3"/>
  <c r="O308" i="3" s="1"/>
  <c r="N300" i="3"/>
  <c r="O300" i="3" s="1"/>
  <c r="N292" i="3"/>
  <c r="O292" i="3" s="1"/>
  <c r="N284" i="3"/>
  <c r="O284" i="3" s="1"/>
  <c r="N276" i="3"/>
  <c r="O276" i="3" s="1"/>
  <c r="N268" i="3"/>
  <c r="O268" i="3" s="1"/>
  <c r="O260" i="3"/>
  <c r="N244" i="3"/>
  <c r="O244" i="3" s="1"/>
  <c r="N236" i="3"/>
  <c r="O236" i="3" s="1"/>
  <c r="N228" i="3"/>
  <c r="O228" i="3" s="1"/>
  <c r="N220" i="3"/>
  <c r="O220" i="3" s="1"/>
  <c r="N212" i="3"/>
  <c r="O212" i="3" s="1"/>
  <c r="N204" i="3"/>
  <c r="O204" i="3" s="1"/>
  <c r="O188" i="3"/>
  <c r="N180" i="3"/>
  <c r="O180" i="3" s="1"/>
  <c r="N172" i="3"/>
  <c r="O172" i="3" s="1"/>
  <c r="N164" i="3"/>
  <c r="O164" i="3" s="1"/>
  <c r="N156" i="3"/>
  <c r="O156" i="3" s="1"/>
  <c r="N148" i="3"/>
  <c r="O148" i="3" s="1"/>
  <c r="N140" i="3"/>
  <c r="O140" i="3" s="1"/>
  <c r="O132" i="3"/>
  <c r="O124" i="3"/>
  <c r="N116" i="3"/>
  <c r="O116" i="3" s="1"/>
  <c r="N108" i="3"/>
  <c r="O108" i="3" s="1"/>
  <c r="N100" i="3"/>
  <c r="O100" i="3" s="1"/>
  <c r="N92" i="3"/>
  <c r="O92" i="3" s="1"/>
  <c r="N84" i="3"/>
  <c r="O84" i="3" s="1"/>
  <c r="N76" i="3"/>
  <c r="O76" i="3" s="1"/>
  <c r="O68" i="3"/>
  <c r="N60" i="3"/>
  <c r="O60" i="3" s="1"/>
  <c r="N52" i="3"/>
  <c r="O52" i="3" s="1"/>
  <c r="N44" i="3"/>
  <c r="O44" i="3" s="1"/>
  <c r="N36" i="3"/>
  <c r="O36" i="3" s="1"/>
  <c r="N28" i="3"/>
  <c r="O28" i="3" s="1"/>
  <c r="N20" i="3"/>
  <c r="O20" i="3" s="1"/>
  <c r="N12" i="3"/>
  <c r="O12" i="3" s="1"/>
  <c r="N4" i="3"/>
  <c r="O4" i="3" s="1"/>
  <c r="N728" i="3"/>
  <c r="O728" i="3" s="1"/>
  <c r="N508" i="3"/>
  <c r="O508" i="3" s="1"/>
  <c r="N252" i="3"/>
  <c r="O252" i="3" s="1"/>
  <c r="O1001" i="3"/>
  <c r="O985" i="3"/>
  <c r="O969" i="3"/>
  <c r="O953" i="3"/>
  <c r="O937" i="3"/>
  <c r="O921" i="3"/>
  <c r="O905" i="3"/>
  <c r="O889" i="3"/>
  <c r="O866" i="3"/>
  <c r="O834" i="3"/>
  <c r="O802" i="3"/>
  <c r="O770" i="3"/>
  <c r="N996" i="3"/>
  <c r="O996" i="3" s="1"/>
  <c r="N980" i="3"/>
  <c r="O980" i="3" s="1"/>
  <c r="N964" i="3"/>
  <c r="O964" i="3" s="1"/>
  <c r="N956" i="3"/>
  <c r="O956" i="3" s="1"/>
  <c r="N940" i="3"/>
  <c r="O940" i="3" s="1"/>
  <c r="N916" i="3"/>
  <c r="O916" i="3" s="1"/>
  <c r="N900" i="3"/>
  <c r="O900" i="3" s="1"/>
  <c r="N884" i="3"/>
  <c r="O884" i="3" s="1"/>
  <c r="N868" i="3"/>
  <c r="O868" i="3" s="1"/>
  <c r="N860" i="3"/>
  <c r="O860" i="3" s="1"/>
  <c r="N844" i="3"/>
  <c r="O844" i="3"/>
  <c r="N836" i="3"/>
  <c r="O836" i="3" s="1"/>
  <c r="N820" i="3"/>
  <c r="O820" i="3" s="1"/>
  <c r="N796" i="3"/>
  <c r="O796" i="3" s="1"/>
  <c r="N780" i="3"/>
  <c r="O780" i="3" s="1"/>
  <c r="N764" i="3"/>
  <c r="O764" i="3" s="1"/>
  <c r="N748" i="3"/>
  <c r="O748" i="3" s="1"/>
  <c r="N732" i="3"/>
  <c r="O732" i="3" s="1"/>
  <c r="N716" i="3"/>
  <c r="O716" i="3" s="1"/>
  <c r="N668" i="3"/>
  <c r="O668" i="3" s="1"/>
  <c r="N995" i="3"/>
  <c r="O995" i="3" s="1"/>
  <c r="N987" i="3"/>
  <c r="O987" i="3" s="1"/>
  <c r="N979" i="3"/>
  <c r="O979" i="3" s="1"/>
  <c r="N971" i="3"/>
  <c r="O971" i="3" s="1"/>
  <c r="N963" i="3"/>
  <c r="O963" i="3" s="1"/>
  <c r="N955" i="3"/>
  <c r="O955" i="3" s="1"/>
  <c r="N947" i="3"/>
  <c r="O947" i="3" s="1"/>
  <c r="N939" i="3"/>
  <c r="O939" i="3" s="1"/>
  <c r="N931" i="3"/>
  <c r="O931" i="3" s="1"/>
  <c r="N923" i="3"/>
  <c r="O923" i="3" s="1"/>
  <c r="N915" i="3"/>
  <c r="O915" i="3" s="1"/>
  <c r="N907" i="3"/>
  <c r="O907" i="3" s="1"/>
  <c r="N899" i="3"/>
  <c r="O899" i="3" s="1"/>
  <c r="N891" i="3"/>
  <c r="O891" i="3" s="1"/>
  <c r="N883" i="3"/>
  <c r="O883" i="3" s="1"/>
  <c r="N875" i="3"/>
  <c r="O875" i="3" s="1"/>
  <c r="N867" i="3"/>
  <c r="O867" i="3" s="1"/>
  <c r="N859" i="3"/>
  <c r="O859" i="3" s="1"/>
  <c r="N851" i="3"/>
  <c r="O851" i="3" s="1"/>
  <c r="N843" i="3"/>
  <c r="O843" i="3" s="1"/>
  <c r="N835" i="3"/>
  <c r="O835" i="3" s="1"/>
  <c r="N827" i="3"/>
  <c r="O827" i="3" s="1"/>
  <c r="N819" i="3"/>
  <c r="O819" i="3" s="1"/>
  <c r="N811" i="3"/>
  <c r="O811" i="3" s="1"/>
  <c r="N803" i="3"/>
  <c r="O803" i="3" s="1"/>
  <c r="N795" i="3"/>
  <c r="O795" i="3" s="1"/>
  <c r="N787" i="3"/>
  <c r="O787" i="3" s="1"/>
  <c r="N779" i="3"/>
  <c r="O779" i="3" s="1"/>
  <c r="N771" i="3"/>
  <c r="O771" i="3" s="1"/>
  <c r="N763" i="3"/>
  <c r="O763" i="3" s="1"/>
  <c r="N755" i="3"/>
  <c r="O755" i="3" s="1"/>
  <c r="N747" i="3"/>
  <c r="O747" i="3" s="1"/>
  <c r="N739" i="3"/>
  <c r="O739" i="3" s="1"/>
  <c r="N731" i="3"/>
  <c r="O731" i="3" s="1"/>
  <c r="N723" i="3"/>
  <c r="O723" i="3" s="1"/>
  <c r="N715" i="3"/>
  <c r="O715" i="3" s="1"/>
  <c r="N707" i="3"/>
  <c r="O707" i="3" s="1"/>
  <c r="N699" i="3"/>
  <c r="O699" i="3" s="1"/>
  <c r="N691" i="3"/>
  <c r="O691" i="3" s="1"/>
  <c r="N683" i="3"/>
  <c r="O683" i="3" s="1"/>
  <c r="N675" i="3"/>
  <c r="O675" i="3" s="1"/>
  <c r="N667" i="3"/>
  <c r="O667" i="3" s="1"/>
  <c r="N659" i="3"/>
  <c r="O659" i="3" s="1"/>
  <c r="N651" i="3"/>
  <c r="O651" i="3" s="1"/>
  <c r="N643" i="3"/>
  <c r="O643" i="3" s="1"/>
  <c r="N635" i="3"/>
  <c r="O635" i="3" s="1"/>
  <c r="N627" i="3"/>
  <c r="O627" i="3" s="1"/>
  <c r="N619" i="3"/>
  <c r="O619" i="3" s="1"/>
  <c r="N611" i="3"/>
  <c r="O611" i="3" s="1"/>
  <c r="N603" i="3"/>
  <c r="O603" i="3" s="1"/>
  <c r="N595" i="3"/>
  <c r="O595" i="3" s="1"/>
  <c r="N587" i="3"/>
  <c r="O587" i="3" s="1"/>
  <c r="N579" i="3"/>
  <c r="O579" i="3" s="1"/>
  <c r="N571" i="3"/>
  <c r="O571" i="3" s="1"/>
  <c r="N563" i="3"/>
  <c r="O563" i="3" s="1"/>
  <c r="N555" i="3"/>
  <c r="O555" i="3" s="1"/>
  <c r="N547" i="3"/>
  <c r="O547" i="3" s="1"/>
  <c r="N539" i="3"/>
  <c r="O539" i="3" s="1"/>
  <c r="N531" i="3"/>
  <c r="O531" i="3" s="1"/>
  <c r="N523" i="3"/>
  <c r="O523" i="3" s="1"/>
  <c r="N515" i="3"/>
  <c r="O515" i="3" s="1"/>
  <c r="N507" i="3"/>
  <c r="O507" i="3" s="1"/>
  <c r="N499" i="3"/>
  <c r="O499" i="3" s="1"/>
  <c r="N491" i="3"/>
  <c r="O491" i="3" s="1"/>
  <c r="N483" i="3"/>
  <c r="O483" i="3" s="1"/>
  <c r="N475" i="3"/>
  <c r="O475" i="3" s="1"/>
  <c r="N467" i="3"/>
  <c r="O467" i="3" s="1"/>
  <c r="N459" i="3"/>
  <c r="O459" i="3" s="1"/>
  <c r="N451" i="3"/>
  <c r="O451" i="3" s="1"/>
  <c r="N443" i="3"/>
  <c r="O443" i="3" s="1"/>
  <c r="N435" i="3"/>
  <c r="O435" i="3" s="1"/>
  <c r="N427" i="3"/>
  <c r="O427" i="3" s="1"/>
  <c r="N419" i="3"/>
  <c r="O419" i="3" s="1"/>
  <c r="N411" i="3"/>
  <c r="O411" i="3" s="1"/>
  <c r="N403" i="3"/>
  <c r="O403" i="3" s="1"/>
  <c r="N395" i="3"/>
  <c r="O395" i="3" s="1"/>
  <c r="N387" i="3"/>
  <c r="O387" i="3" s="1"/>
  <c r="N379" i="3"/>
  <c r="O379" i="3" s="1"/>
  <c r="N371" i="3"/>
  <c r="O371" i="3" s="1"/>
  <c r="N363" i="3"/>
  <c r="O363" i="3" s="1"/>
  <c r="N355" i="3"/>
  <c r="O355" i="3" s="1"/>
  <c r="N347" i="3"/>
  <c r="O347" i="3" s="1"/>
  <c r="N339" i="3"/>
  <c r="O339" i="3" s="1"/>
  <c r="N331" i="3"/>
  <c r="O331" i="3" s="1"/>
  <c r="N323" i="3"/>
  <c r="O323" i="3" s="1"/>
  <c r="N315" i="3"/>
  <c r="O315" i="3" s="1"/>
  <c r="N307" i="3"/>
  <c r="O307" i="3" s="1"/>
  <c r="N299" i="3"/>
  <c r="O299" i="3" s="1"/>
  <c r="N291" i="3"/>
  <c r="O291" i="3" s="1"/>
  <c r="N283" i="3"/>
  <c r="O283" i="3" s="1"/>
  <c r="N275" i="3"/>
  <c r="O275" i="3" s="1"/>
  <c r="N267" i="3"/>
  <c r="O267" i="3" s="1"/>
  <c r="N259" i="3"/>
  <c r="O259" i="3" s="1"/>
  <c r="N251" i="3"/>
  <c r="O251" i="3" s="1"/>
  <c r="N243" i="3"/>
  <c r="O243" i="3" s="1"/>
  <c r="N235" i="3"/>
  <c r="O235" i="3" s="1"/>
  <c r="N227" i="3"/>
  <c r="O227" i="3" s="1"/>
  <c r="N219" i="3"/>
  <c r="O219" i="3" s="1"/>
  <c r="N211" i="3"/>
  <c r="O211" i="3" s="1"/>
  <c r="N203" i="3"/>
  <c r="O203" i="3" s="1"/>
  <c r="N195" i="3"/>
  <c r="O195" i="3" s="1"/>
  <c r="N187" i="3"/>
  <c r="O187" i="3" s="1"/>
  <c r="N179" i="3"/>
  <c r="O179" i="3" s="1"/>
  <c r="N171" i="3"/>
  <c r="O171" i="3" s="1"/>
  <c r="N163" i="3"/>
  <c r="O163" i="3" s="1"/>
  <c r="N155" i="3"/>
  <c r="O155" i="3" s="1"/>
  <c r="N147" i="3"/>
  <c r="O147" i="3" s="1"/>
  <c r="N139" i="3"/>
  <c r="O139" i="3" s="1"/>
  <c r="N131" i="3"/>
  <c r="O131" i="3" s="1"/>
  <c r="N123" i="3"/>
  <c r="O123" i="3" s="1"/>
  <c r="N115" i="3"/>
  <c r="O115" i="3" s="1"/>
  <c r="N107" i="3"/>
  <c r="O107" i="3" s="1"/>
  <c r="N99" i="3"/>
  <c r="O99" i="3"/>
  <c r="N91" i="3"/>
  <c r="O91" i="3" s="1"/>
  <c r="N83" i="3"/>
  <c r="O83" i="3" s="1"/>
  <c r="N75" i="3"/>
  <c r="O75" i="3" s="1"/>
  <c r="N67" i="3"/>
  <c r="O67" i="3" s="1"/>
  <c r="N59" i="3"/>
  <c r="O59" i="3" s="1"/>
  <c r="N51" i="3"/>
  <c r="O51" i="3" s="1"/>
  <c r="N43" i="3"/>
  <c r="O43" i="3" s="1"/>
  <c r="N35" i="3"/>
  <c r="O35" i="3" s="1"/>
  <c r="N27" i="3"/>
  <c r="O27" i="3" s="1"/>
  <c r="N19" i="3"/>
  <c r="O19" i="3" s="1"/>
  <c r="N11" i="3"/>
  <c r="O11" i="3" s="1"/>
  <c r="N3" i="3"/>
  <c r="O3" i="3" s="1"/>
  <c r="N452" i="3"/>
  <c r="O452" i="3" s="1"/>
  <c r="N196" i="3"/>
  <c r="O196" i="3" s="1"/>
  <c r="O998" i="3"/>
  <c r="O982" i="3"/>
  <c r="O966" i="3"/>
  <c r="O950" i="3"/>
  <c r="O934" i="3"/>
  <c r="O918" i="3"/>
  <c r="O902" i="3"/>
  <c r="O886" i="3"/>
  <c r="O862" i="3"/>
  <c r="O830" i="3"/>
  <c r="O798" i="3"/>
  <c r="O766" i="3"/>
  <c r="N754" i="3"/>
  <c r="O754" i="3" s="1"/>
  <c r="N746" i="3"/>
  <c r="O746" i="3" s="1"/>
  <c r="N738" i="3"/>
  <c r="O738" i="3" s="1"/>
  <c r="N730" i="3"/>
  <c r="O730" i="3" s="1"/>
  <c r="N722" i="3"/>
  <c r="O722" i="3" s="1"/>
  <c r="N714" i="3"/>
  <c r="O714" i="3" s="1"/>
  <c r="N706" i="3"/>
  <c r="O706" i="3" s="1"/>
  <c r="N698" i="3"/>
  <c r="O698" i="3" s="1"/>
  <c r="N690" i="3"/>
  <c r="O690" i="3" s="1"/>
  <c r="N682" i="3"/>
  <c r="O682" i="3" s="1"/>
  <c r="O674" i="3"/>
  <c r="N658" i="3"/>
  <c r="O658" i="3" s="1"/>
  <c r="N650" i="3"/>
  <c r="O650" i="3" s="1"/>
  <c r="N642" i="3"/>
  <c r="O642" i="3" s="1"/>
  <c r="O634" i="3"/>
  <c r="N626" i="3"/>
  <c r="O626" i="3" s="1"/>
  <c r="N618" i="3"/>
  <c r="O618" i="3" s="1"/>
  <c r="N610" i="3"/>
  <c r="O610" i="3" s="1"/>
  <c r="N602" i="3"/>
  <c r="O602" i="3" s="1"/>
  <c r="N594" i="3"/>
  <c r="O594" i="3" s="1"/>
  <c r="N586" i="3"/>
  <c r="O586" i="3" s="1"/>
  <c r="N578" i="3"/>
  <c r="O578" i="3" s="1"/>
  <c r="N570" i="3"/>
  <c r="O570" i="3" s="1"/>
  <c r="N562" i="3"/>
  <c r="O562" i="3" s="1"/>
  <c r="N554" i="3"/>
  <c r="O554" i="3" s="1"/>
  <c r="N546" i="3"/>
  <c r="O546" i="3" s="1"/>
  <c r="N538" i="3"/>
  <c r="O538" i="3" s="1"/>
  <c r="N530" i="3"/>
  <c r="O530" i="3" s="1"/>
  <c r="N522" i="3"/>
  <c r="O522" i="3" s="1"/>
  <c r="N514" i="3"/>
  <c r="O514" i="3" s="1"/>
  <c r="N506" i="3"/>
  <c r="O506" i="3" s="1"/>
  <c r="N498" i="3"/>
  <c r="O498" i="3" s="1"/>
  <c r="N490" i="3"/>
  <c r="O490" i="3" s="1"/>
  <c r="N482" i="3"/>
  <c r="O482" i="3" s="1"/>
  <c r="N474" i="3"/>
  <c r="O474" i="3" s="1"/>
  <c r="N466" i="3"/>
  <c r="O466" i="3" s="1"/>
  <c r="N458" i="3"/>
  <c r="O458" i="3" s="1"/>
  <c r="N450" i="3"/>
  <c r="O450" i="3" s="1"/>
  <c r="N442" i="3"/>
  <c r="O442" i="3" s="1"/>
  <c r="N434" i="3"/>
  <c r="O434" i="3" s="1"/>
  <c r="N426" i="3"/>
  <c r="O426" i="3" s="1"/>
  <c r="N418" i="3"/>
  <c r="O418" i="3" s="1"/>
  <c r="N410" i="3"/>
  <c r="O410" i="3" s="1"/>
  <c r="N402" i="3"/>
  <c r="O402" i="3" s="1"/>
  <c r="N394" i="3"/>
  <c r="O394" i="3" s="1"/>
  <c r="N386" i="3"/>
  <c r="O386" i="3" s="1"/>
  <c r="N378" i="3"/>
  <c r="O378" i="3" s="1"/>
  <c r="N370" i="3"/>
  <c r="O370" i="3" s="1"/>
  <c r="N362" i="3"/>
  <c r="O362" i="3" s="1"/>
  <c r="N354" i="3"/>
  <c r="O354" i="3" s="1"/>
  <c r="N346" i="3"/>
  <c r="O346" i="3" s="1"/>
  <c r="N338" i="3"/>
  <c r="O338" i="3" s="1"/>
  <c r="N330" i="3"/>
  <c r="O330" i="3" s="1"/>
  <c r="N322" i="3"/>
  <c r="O322" i="3" s="1"/>
  <c r="N314" i="3"/>
  <c r="O314" i="3" s="1"/>
  <c r="N306" i="3"/>
  <c r="O306" i="3" s="1"/>
  <c r="N298" i="3"/>
  <c r="O298" i="3" s="1"/>
  <c r="N290" i="3"/>
  <c r="O290" i="3" s="1"/>
  <c r="N282" i="3"/>
  <c r="O282" i="3" s="1"/>
  <c r="N274" i="3"/>
  <c r="O274" i="3" s="1"/>
  <c r="N266" i="3"/>
  <c r="O266" i="3" s="1"/>
  <c r="N258" i="3"/>
  <c r="O258" i="3" s="1"/>
  <c r="N666" i="3"/>
  <c r="O666" i="3" s="1"/>
  <c r="N444" i="3"/>
  <c r="O444" i="3" s="1"/>
  <c r="O997" i="3"/>
  <c r="O981" i="3"/>
  <c r="O965" i="3"/>
  <c r="O949" i="3"/>
  <c r="O933" i="3"/>
  <c r="O917" i="3"/>
  <c r="O901" i="3"/>
  <c r="O885" i="3"/>
  <c r="O858" i="3"/>
  <c r="O826" i="3"/>
  <c r="O794" i="3"/>
  <c r="O762" i="3"/>
  <c r="N873" i="3"/>
  <c r="O873" i="3" s="1"/>
  <c r="N849" i="3"/>
  <c r="O849" i="3" s="1"/>
  <c r="N825" i="3"/>
  <c r="O825" i="3" s="1"/>
  <c r="N801" i="3"/>
  <c r="O801" i="3" s="1"/>
  <c r="N793" i="3"/>
  <c r="O793" i="3" s="1"/>
  <c r="N785" i="3"/>
  <c r="O785" i="3" s="1"/>
  <c r="N777" i="3"/>
  <c r="O777" i="3" s="1"/>
  <c r="N753" i="3"/>
  <c r="O753" i="3" s="1"/>
  <c r="N745" i="3"/>
  <c r="O745" i="3" s="1"/>
  <c r="N737" i="3"/>
  <c r="O737" i="3" s="1"/>
  <c r="N729" i="3"/>
  <c r="O729" i="3" s="1"/>
  <c r="N721" i="3"/>
  <c r="O721" i="3" s="1"/>
  <c r="N713" i="3"/>
  <c r="O713" i="3" s="1"/>
  <c r="N705" i="3"/>
  <c r="O705" i="3" s="1"/>
  <c r="N697" i="3"/>
  <c r="O697" i="3" s="1"/>
  <c r="N689" i="3"/>
  <c r="O689" i="3" s="1"/>
  <c r="N681" i="3"/>
  <c r="O681" i="3" s="1"/>
  <c r="N673" i="3"/>
  <c r="O673" i="3" s="1"/>
  <c r="N665" i="3"/>
  <c r="O665" i="3" s="1"/>
  <c r="N657" i="3"/>
  <c r="O657" i="3" s="1"/>
  <c r="N649" i="3"/>
  <c r="O649" i="3" s="1"/>
  <c r="N641" i="3"/>
  <c r="O641" i="3" s="1"/>
  <c r="N633" i="3"/>
  <c r="O633" i="3" s="1"/>
  <c r="N625" i="3"/>
  <c r="O625" i="3" s="1"/>
  <c r="N617" i="3"/>
  <c r="O617" i="3" s="1"/>
  <c r="N609" i="3"/>
  <c r="O609" i="3" s="1"/>
  <c r="N601" i="3"/>
  <c r="O601" i="3" s="1"/>
  <c r="N593" i="3"/>
  <c r="O593" i="3" s="1"/>
  <c r="N585" i="3"/>
  <c r="O585" i="3" s="1"/>
  <c r="N577" i="3"/>
  <c r="O577" i="3" s="1"/>
  <c r="N569" i="3"/>
  <c r="O569" i="3" s="1"/>
  <c r="N561" i="3"/>
  <c r="O561" i="3" s="1"/>
  <c r="N553" i="3"/>
  <c r="O553" i="3" s="1"/>
  <c r="N545" i="3"/>
  <c r="O545" i="3" s="1"/>
  <c r="N537" i="3"/>
  <c r="O537" i="3" s="1"/>
  <c r="N529" i="3"/>
  <c r="O529" i="3" s="1"/>
  <c r="N521" i="3"/>
  <c r="O521" i="3" s="1"/>
  <c r="N513" i="3"/>
  <c r="O513" i="3" s="1"/>
  <c r="N505" i="3"/>
  <c r="O505" i="3" s="1"/>
  <c r="N497" i="3"/>
  <c r="O497" i="3" s="1"/>
  <c r="N489" i="3"/>
  <c r="O489" i="3" s="1"/>
  <c r="N481" i="3"/>
  <c r="O481" i="3" s="1"/>
  <c r="N473" i="3"/>
  <c r="O473" i="3" s="1"/>
  <c r="N465" i="3"/>
  <c r="O465" i="3" s="1"/>
  <c r="N457" i="3"/>
  <c r="O457" i="3" s="1"/>
  <c r="N449" i="3"/>
  <c r="O449" i="3" s="1"/>
  <c r="N441" i="3"/>
  <c r="O441" i="3" s="1"/>
  <c r="N433" i="3"/>
  <c r="O433" i="3" s="1"/>
  <c r="N425" i="3"/>
  <c r="O425" i="3" s="1"/>
  <c r="N417" i="3"/>
  <c r="O417" i="3" s="1"/>
  <c r="N409" i="3"/>
  <c r="O409" i="3" s="1"/>
  <c r="N401" i="3"/>
  <c r="O401" i="3" s="1"/>
  <c r="N393" i="3"/>
  <c r="O393" i="3" s="1"/>
  <c r="N385" i="3"/>
  <c r="O385" i="3" s="1"/>
  <c r="N377" i="3"/>
  <c r="O377" i="3" s="1"/>
  <c r="N369" i="3"/>
  <c r="O369" i="3" s="1"/>
  <c r="N361" i="3"/>
  <c r="O361" i="3" s="1"/>
  <c r="N353" i="3"/>
  <c r="O353" i="3" s="1"/>
  <c r="N345" i="3"/>
  <c r="O345" i="3" s="1"/>
  <c r="N337" i="3"/>
  <c r="O337" i="3" s="1"/>
  <c r="N968" i="3"/>
  <c r="O968" i="3" s="1"/>
  <c r="N647" i="3"/>
  <c r="O647" i="3" s="1"/>
  <c r="O994" i="3"/>
  <c r="O978" i="3"/>
  <c r="O962" i="3"/>
  <c r="O946" i="3"/>
  <c r="O930" i="3"/>
  <c r="O914" i="3"/>
  <c r="O898" i="3"/>
  <c r="O882" i="3"/>
  <c r="O854" i="3"/>
  <c r="O822" i="3"/>
  <c r="O790" i="3"/>
  <c r="O758" i="3"/>
  <c r="N250" i="3"/>
  <c r="O250" i="3" s="1"/>
  <c r="N242" i="3"/>
  <c r="O242" i="3" s="1"/>
  <c r="N234" i="3"/>
  <c r="O234" i="3" s="1"/>
  <c r="N226" i="3"/>
  <c r="O226" i="3" s="1"/>
  <c r="N202" i="3"/>
  <c r="O202" i="3" s="1"/>
  <c r="N194" i="3"/>
  <c r="O194" i="3" s="1"/>
  <c r="N186" i="3"/>
  <c r="O186" i="3" s="1"/>
  <c r="N178" i="3"/>
  <c r="O178" i="3" s="1"/>
  <c r="N170" i="3"/>
  <c r="O170" i="3" s="1"/>
  <c r="N162" i="3"/>
  <c r="O162" i="3" s="1"/>
  <c r="N138" i="3"/>
  <c r="O138" i="3" s="1"/>
  <c r="N130" i="3"/>
  <c r="O130" i="3" s="1"/>
  <c r="N122" i="3"/>
  <c r="O122" i="3" s="1"/>
  <c r="N114" i="3"/>
  <c r="O114" i="3" s="1"/>
  <c r="N106" i="3"/>
  <c r="O106" i="3" s="1"/>
  <c r="N98" i="3"/>
  <c r="O98" i="3" s="1"/>
  <c r="N74" i="3"/>
  <c r="O74" i="3" s="1"/>
  <c r="N66" i="3"/>
  <c r="O66" i="3" s="1"/>
  <c r="O58" i="3"/>
  <c r="N50" i="3"/>
  <c r="O50" i="3" s="1"/>
  <c r="N42" i="3"/>
  <c r="O42" i="3" s="1"/>
  <c r="N34" i="3"/>
  <c r="O34" i="3" s="1"/>
  <c r="N18" i="3"/>
  <c r="O18" i="3" s="1"/>
  <c r="N10" i="3"/>
  <c r="O10" i="3" s="1"/>
  <c r="O2" i="3"/>
  <c r="N154" i="3"/>
  <c r="O154" i="3" s="1"/>
  <c r="N329" i="3"/>
  <c r="O329" i="3" s="1"/>
  <c r="N321" i="3"/>
  <c r="O321" i="3" s="1"/>
  <c r="N313" i="3"/>
  <c r="O313" i="3" s="1"/>
  <c r="N305" i="3"/>
  <c r="O305" i="3" s="1"/>
  <c r="N297" i="3"/>
  <c r="O297" i="3" s="1"/>
  <c r="N289" i="3"/>
  <c r="O289" i="3" s="1"/>
  <c r="N281" i="3"/>
  <c r="O281" i="3" s="1"/>
  <c r="N273" i="3"/>
  <c r="O273" i="3" s="1"/>
  <c r="N265" i="3"/>
  <c r="O265" i="3" s="1"/>
  <c r="N257" i="3"/>
  <c r="O257" i="3" s="1"/>
  <c r="N249" i="3"/>
  <c r="O249" i="3" s="1"/>
  <c r="N241" i="3"/>
  <c r="O241" i="3" s="1"/>
  <c r="N233" i="3"/>
  <c r="O233" i="3" s="1"/>
  <c r="N225" i="3"/>
  <c r="O225" i="3" s="1"/>
  <c r="N217" i="3"/>
  <c r="O217" i="3" s="1"/>
  <c r="N209" i="3"/>
  <c r="O209" i="3" s="1"/>
  <c r="N201" i="3"/>
  <c r="O201" i="3" s="1"/>
  <c r="N193" i="3"/>
  <c r="O193" i="3" s="1"/>
  <c r="N185" i="3"/>
  <c r="O185" i="3" s="1"/>
  <c r="N177" i="3"/>
  <c r="O177" i="3" s="1"/>
  <c r="N169" i="3"/>
  <c r="O169" i="3" s="1"/>
  <c r="N161" i="3"/>
  <c r="O161" i="3" s="1"/>
  <c r="N153" i="3"/>
  <c r="O153" i="3" s="1"/>
  <c r="N145" i="3"/>
  <c r="O145" i="3" s="1"/>
  <c r="N137" i="3"/>
  <c r="O137" i="3" s="1"/>
  <c r="N129" i="3"/>
  <c r="O129" i="3" s="1"/>
  <c r="N121" i="3"/>
  <c r="O121" i="3" s="1"/>
  <c r="N113" i="3"/>
  <c r="O113" i="3" s="1"/>
  <c r="N105" i="3"/>
  <c r="O105" i="3" s="1"/>
  <c r="N97" i="3"/>
  <c r="O97" i="3" s="1"/>
  <c r="N89" i="3"/>
  <c r="O89" i="3" s="1"/>
  <c r="N81" i="3"/>
  <c r="O81" i="3" s="1"/>
  <c r="N73" i="3"/>
  <c r="O73" i="3" s="1"/>
  <c r="N65" i="3"/>
  <c r="O65" i="3" s="1"/>
  <c r="N57" i="3"/>
  <c r="O57" i="3" s="1"/>
  <c r="N49" i="3"/>
  <c r="O49" i="3" s="1"/>
  <c r="N41" i="3"/>
  <c r="O41" i="3" s="1"/>
  <c r="N33" i="3"/>
  <c r="O33" i="3" s="1"/>
  <c r="N25" i="3"/>
  <c r="O25" i="3" s="1"/>
  <c r="N17" i="3"/>
  <c r="O17" i="3" s="1"/>
  <c r="N9" i="3"/>
  <c r="O9" i="3" s="1"/>
  <c r="N146" i="3"/>
  <c r="O146" i="3" s="1"/>
  <c r="N26" i="3"/>
  <c r="O26" i="3" s="1"/>
  <c r="N294" i="3"/>
  <c r="O294" i="3" s="1"/>
  <c r="N286" i="3"/>
  <c r="O286" i="3" s="1"/>
  <c r="N278" i="3"/>
  <c r="O278" i="3" s="1"/>
  <c r="N270" i="3"/>
  <c r="O270" i="3" s="1"/>
  <c r="N262" i="3"/>
  <c r="O262" i="3" s="1"/>
  <c r="N254" i="3"/>
  <c r="O254" i="3" s="1"/>
  <c r="N246" i="3"/>
  <c r="O246" i="3" s="1"/>
  <c r="N238" i="3"/>
  <c r="O238" i="3" s="1"/>
  <c r="N230" i="3"/>
  <c r="O230" i="3" s="1"/>
  <c r="N222" i="3"/>
  <c r="O222" i="3" s="1"/>
  <c r="N214" i="3"/>
  <c r="O214" i="3" s="1"/>
  <c r="N206" i="3"/>
  <c r="O206" i="3" s="1"/>
  <c r="N198" i="3"/>
  <c r="O198" i="3" s="1"/>
  <c r="N190" i="3"/>
  <c r="O190" i="3" s="1"/>
  <c r="N182" i="3"/>
  <c r="O182" i="3" s="1"/>
  <c r="N174" i="3"/>
  <c r="O174" i="3" s="1"/>
  <c r="N166" i="3"/>
  <c r="O166" i="3" s="1"/>
  <c r="N158" i="3"/>
  <c r="O158" i="3" s="1"/>
  <c r="N150" i="3"/>
  <c r="O150" i="3" s="1"/>
  <c r="N142" i="3"/>
  <c r="O142" i="3" s="1"/>
  <c r="N134" i="3"/>
  <c r="O134" i="3" s="1"/>
  <c r="N126" i="3"/>
  <c r="O126" i="3" s="1"/>
  <c r="N118" i="3"/>
  <c r="O118" i="3" s="1"/>
  <c r="N110" i="3"/>
  <c r="O110" i="3" s="1"/>
  <c r="N102" i="3"/>
  <c r="O102" i="3" s="1"/>
  <c r="N94" i="3"/>
  <c r="O94" i="3" s="1"/>
  <c r="N86" i="3"/>
  <c r="O86" i="3" s="1"/>
  <c r="N78" i="3"/>
  <c r="O78" i="3" s="1"/>
  <c r="N70" i="3"/>
  <c r="O70" i="3" s="1"/>
  <c r="N62" i="3"/>
  <c r="O62" i="3" s="1"/>
  <c r="N54" i="3"/>
  <c r="O54" i="3" s="1"/>
  <c r="N46" i="3"/>
  <c r="O46" i="3" s="1"/>
  <c r="N38" i="3"/>
  <c r="O38" i="3" s="1"/>
  <c r="N30" i="3"/>
  <c r="O30" i="3" s="1"/>
  <c r="N22" i="3"/>
  <c r="O22" i="3" s="1"/>
  <c r="N14" i="3"/>
  <c r="O14" i="3" s="1"/>
  <c r="N6" i="3"/>
  <c r="O6" i="3" s="1"/>
  <c r="N218" i="3"/>
  <c r="O218" i="3" s="1"/>
  <c r="N90" i="3"/>
  <c r="O90" i="3" s="1"/>
  <c r="N357" i="3"/>
  <c r="O357" i="3" s="1"/>
  <c r="N349" i="3"/>
  <c r="O349" i="3" s="1"/>
  <c r="N341" i="3"/>
  <c r="O341" i="3" s="1"/>
  <c r="N333" i="3"/>
  <c r="O333" i="3" s="1"/>
  <c r="N325" i="3"/>
  <c r="O325" i="3" s="1"/>
  <c r="N317" i="3"/>
  <c r="O317" i="3" s="1"/>
  <c r="N309" i="3"/>
  <c r="O309" i="3" s="1"/>
  <c r="N301" i="3"/>
  <c r="O301" i="3" s="1"/>
  <c r="N293" i="3"/>
  <c r="O293" i="3" s="1"/>
  <c r="N285" i="3"/>
  <c r="O285" i="3" s="1"/>
  <c r="N277" i="3"/>
  <c r="O277" i="3" s="1"/>
  <c r="N269" i="3"/>
  <c r="O269" i="3" s="1"/>
  <c r="N261" i="3"/>
  <c r="O261" i="3" s="1"/>
  <c r="N253" i="3"/>
  <c r="O253" i="3"/>
  <c r="N245" i="3"/>
  <c r="O245" i="3" s="1"/>
  <c r="N237" i="3"/>
  <c r="O237" i="3" s="1"/>
  <c r="N229" i="3"/>
  <c r="O229" i="3" s="1"/>
  <c r="N221" i="3"/>
  <c r="O221" i="3" s="1"/>
  <c r="N213" i="3"/>
  <c r="O213" i="3" s="1"/>
  <c r="N205" i="3"/>
  <c r="O205" i="3" s="1"/>
  <c r="N197" i="3"/>
  <c r="O197" i="3" s="1"/>
  <c r="N189" i="3"/>
  <c r="O189" i="3" s="1"/>
  <c r="N181" i="3"/>
  <c r="O181" i="3" s="1"/>
  <c r="N173" i="3"/>
  <c r="O173" i="3" s="1"/>
  <c r="N165" i="3"/>
  <c r="O165" i="3" s="1"/>
  <c r="N157" i="3"/>
  <c r="O157" i="3" s="1"/>
  <c r="N149" i="3"/>
  <c r="O149" i="3" s="1"/>
  <c r="N141" i="3"/>
  <c r="O141" i="3" s="1"/>
  <c r="N133" i="3"/>
  <c r="O133" i="3" s="1"/>
  <c r="N125" i="3"/>
  <c r="O125" i="3" s="1"/>
  <c r="N117" i="3"/>
  <c r="O117" i="3" s="1"/>
  <c r="N109" i="3"/>
  <c r="O109" i="3" s="1"/>
  <c r="N101" i="3"/>
  <c r="O101" i="3" s="1"/>
  <c r="N93" i="3"/>
  <c r="O93" i="3" s="1"/>
  <c r="N85" i="3"/>
  <c r="O85" i="3" s="1"/>
  <c r="N77" i="3"/>
  <c r="O77" i="3" s="1"/>
  <c r="N69" i="3"/>
  <c r="O69" i="3" s="1"/>
  <c r="N61" i="3"/>
  <c r="O61" i="3" s="1"/>
  <c r="N53" i="3"/>
  <c r="O53" i="3" s="1"/>
  <c r="N45" i="3"/>
  <c r="O45" i="3" s="1"/>
  <c r="N37" i="3"/>
  <c r="O37" i="3"/>
  <c r="N29" i="3"/>
  <c r="O29" i="3" s="1"/>
  <c r="N21" i="3"/>
  <c r="O21" i="3" s="1"/>
  <c r="N13" i="3"/>
  <c r="O13" i="3" s="1"/>
  <c r="N5" i="3"/>
  <c r="O5" i="3" s="1"/>
  <c r="N210" i="3"/>
  <c r="O210" i="3" s="1"/>
  <c r="N82" i="3"/>
  <c r="O82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94A1EC-E577-4D40-87CB-88CFF79DD2F2}" keepAlive="1" name="Query - retail_sales_data" description="Connection to the 'retail_sales_data' query in the workbook." type="5" refreshedVersion="8" background="1" saveData="1">
    <dbPr connection="Provider=Microsoft.Mashup.OleDb.1;Data Source=$Workbook$;Location=retail_sales_data;Extended Properties=&quot;&quot;" command="SELECT * FROM [retail_sales_data]"/>
  </connection>
  <connection id="2" xr16:uid="{88652F60-AF64-4510-B38C-FCFA327B5208}" keepAlive="1" name="Query - retail_sales_data (2)" description="Connection to the 'retail_sales_data (2)' query in the workbook." type="5" refreshedVersion="8" background="1" saveData="1">
    <dbPr connection="Provider=Microsoft.Mashup.OleDb.1;Data Source=$Workbook$;Location=&quot;retail_sales_data (2)&quot;;Extended Properties=&quot;&quot;" command="SELECT * FROM [retail_sales_data (2)]"/>
  </connection>
</connections>
</file>

<file path=xl/sharedStrings.xml><?xml version="1.0" encoding="utf-8"?>
<sst xmlns="http://schemas.openxmlformats.org/spreadsheetml/2006/main" count="16051" uniqueCount="1172">
  <si>
    <t>Order_ID</t>
  </si>
  <si>
    <t>Order_Date</t>
  </si>
  <si>
    <t>Customer_ID</t>
  </si>
  <si>
    <t>Customer_Name</t>
  </si>
  <si>
    <t>Region</t>
  </si>
  <si>
    <t>City</t>
  </si>
  <si>
    <t>Product_Category</t>
  </si>
  <si>
    <t>Product_Name</t>
  </si>
  <si>
    <t>Quantity</t>
  </si>
  <si>
    <t>Unit_Price</t>
  </si>
  <si>
    <t>Discount_Percent</t>
  </si>
  <si>
    <t>Sales_Rep</t>
  </si>
  <si>
    <t>ORD-0001</t>
  </si>
  <si>
    <t>CUST-9965</t>
  </si>
  <si>
    <t>Neha Agarwal</t>
  </si>
  <si>
    <t>Central</t>
  </si>
  <si>
    <t>Nagpur</t>
  </si>
  <si>
    <t>Smartphones</t>
  </si>
  <si>
    <t>Realme GT</t>
  </si>
  <si>
    <t>Priya Patel</t>
  </si>
  <si>
    <t>ORD-0002</t>
  </si>
  <si>
    <t>CUST-5560</t>
  </si>
  <si>
    <t>Swati Nambiar</t>
  </si>
  <si>
    <t>North</t>
  </si>
  <si>
    <t>Delhi</t>
  </si>
  <si>
    <t>Accessories</t>
  </si>
  <si>
    <t>Wireless Mouse</t>
  </si>
  <si>
    <t>Rohan Mehta</t>
  </si>
  <si>
    <t>ORD-0003</t>
  </si>
  <si>
    <t>CUST-4767</t>
  </si>
  <si>
    <t>Sanjay Joshi</t>
  </si>
  <si>
    <t>Lucknow</t>
  </si>
  <si>
    <t>Mechanical Keyboard</t>
  </si>
  <si>
    <t>Sneha Reddy</t>
  </si>
  <si>
    <t>ORD-0004</t>
  </si>
  <si>
    <t>CUST-3922</t>
  </si>
  <si>
    <t>Sakshi Rathore</t>
  </si>
  <si>
    <t>South</t>
  </si>
  <si>
    <t>Chennai</t>
  </si>
  <si>
    <t>Wearables</t>
  </si>
  <si>
    <t>Samsung Galaxy Watch</t>
  </si>
  <si>
    <t>ORD-0005</t>
  </si>
  <si>
    <t>CUST-5409</t>
  </si>
  <si>
    <t>Akash Pillai</t>
  </si>
  <si>
    <t>Chandigarh</t>
  </si>
  <si>
    <t>Tablets</t>
  </si>
  <si>
    <t>Samsung Tab S8</t>
  </si>
  <si>
    <t>Vikram Singh</t>
  </si>
  <si>
    <t>ORD-0006</t>
  </si>
  <si>
    <t>CUST-8923</t>
  </si>
  <si>
    <t>Pooja Desai</t>
  </si>
  <si>
    <t>Jaipur</t>
  </si>
  <si>
    <t>Lenovo Tab P11</t>
  </si>
  <si>
    <t>Anjali Gupta</t>
  </si>
  <si>
    <t>ORD-0007</t>
  </si>
  <si>
    <t>CUST-0354</t>
  </si>
  <si>
    <t>Meera Chawla</t>
  </si>
  <si>
    <t>Fitbit Versa 4</t>
  </si>
  <si>
    <t>ORD-0008</t>
  </si>
  <si>
    <t>CUST-9929</t>
  </si>
  <si>
    <t>Kunal Dixit</t>
  </si>
  <si>
    <t>Hyderabad</t>
  </si>
  <si>
    <t>Amit Kumar</t>
  </si>
  <si>
    <t>ORD-0009</t>
  </si>
  <si>
    <t>CUST-8593</t>
  </si>
  <si>
    <t>Sneha Sharma</t>
  </si>
  <si>
    <t>West</t>
  </si>
  <si>
    <t>Mumbai</t>
  </si>
  <si>
    <t>Mi Band 7</t>
  </si>
  <si>
    <t>ORD-0010</t>
  </si>
  <si>
    <t>CUST-8995</t>
  </si>
  <si>
    <t>Mohit Saxena</t>
  </si>
  <si>
    <t>Surat</t>
  </si>
  <si>
    <t>Kavya Iyer</t>
  </si>
  <si>
    <t>ORD-0011</t>
  </si>
  <si>
    <t>CUST-6295</t>
  </si>
  <si>
    <t>Arjun Nair</t>
  </si>
  <si>
    <t>Xiaomi 13</t>
  </si>
  <si>
    <t>ORD-0012</t>
  </si>
  <si>
    <t>CUST-4945</t>
  </si>
  <si>
    <t>Ananya Bose</t>
  </si>
  <si>
    <t>East</t>
  </si>
  <si>
    <t>Kolkata</t>
  </si>
  <si>
    <t>ORD-0013</t>
  </si>
  <si>
    <t>CUST-7693</t>
  </si>
  <si>
    <t>Sameer Dutta</t>
  </si>
  <si>
    <t>ORD-0014</t>
  </si>
  <si>
    <t>Pune</t>
  </si>
  <si>
    <t>Samsung Galaxy S23</t>
  </si>
  <si>
    <t>ORD-0015</t>
  </si>
  <si>
    <t>CUST-8905</t>
  </si>
  <si>
    <t>Rahul Kapoor</t>
  </si>
  <si>
    <t>Ahmedabad</t>
  </si>
  <si>
    <t>ORD-0016</t>
  </si>
  <si>
    <t>ORD-0017</t>
  </si>
  <si>
    <t>CUST-0018</t>
  </si>
  <si>
    <t>Tanvi Kulkarni</t>
  </si>
  <si>
    <t>Laptops</t>
  </si>
  <si>
    <t>Lenovo ThinkPad</t>
  </si>
  <si>
    <t>ORD-0018</t>
  </si>
  <si>
    <t>ORD-0019</t>
  </si>
  <si>
    <t>Bangalore</t>
  </si>
  <si>
    <t>Apple Watch Series 8</t>
  </si>
  <si>
    <t>Rahul Sharma</t>
  </si>
  <si>
    <t>ORD-0020</t>
  </si>
  <si>
    <t>CUST-4295</t>
  </si>
  <si>
    <t>Manish Arora</t>
  </si>
  <si>
    <t>ORD-0021</t>
  </si>
  <si>
    <t>Webcam</t>
  </si>
  <si>
    <t>ORD-0022</t>
  </si>
  <si>
    <t>Ranchi</t>
  </si>
  <si>
    <t>ORD-0023</t>
  </si>
  <si>
    <t>CUST-2243</t>
  </si>
  <si>
    <t>Divya Shah</t>
  </si>
  <si>
    <t>ORD-0024</t>
  </si>
  <si>
    <t>CUST-4064</t>
  </si>
  <si>
    <t>Nisha Ghosh</t>
  </si>
  <si>
    <t>Bhubaneswar</t>
  </si>
  <si>
    <t>ORD-0025</t>
  </si>
  <si>
    <t>Raipur</t>
  </si>
  <si>
    <t>ORD-0026</t>
  </si>
  <si>
    <t>ORD-0027</t>
  </si>
  <si>
    <t>CUST-2917</t>
  </si>
  <si>
    <t>Ishita Bansal</t>
  </si>
  <si>
    <t>USB-C Cable</t>
  </si>
  <si>
    <t>ORD-0028</t>
  </si>
  <si>
    <t>CUST-5369</t>
  </si>
  <si>
    <t>Aditya Rao</t>
  </si>
  <si>
    <t>Indore</t>
  </si>
  <si>
    <t>ORD-0029</t>
  </si>
  <si>
    <t>CUST-7724</t>
  </si>
  <si>
    <t>Bhopal</t>
  </si>
  <si>
    <t>ORD-0030</t>
  </si>
  <si>
    <t>ASUS VivoBook</t>
  </si>
  <si>
    <t>ORD-0031</t>
  </si>
  <si>
    <t>CUST-8962</t>
  </si>
  <si>
    <t>Priya Singh</t>
  </si>
  <si>
    <t>ORD-0032</t>
  </si>
  <si>
    <t>ORD-0033</t>
  </si>
  <si>
    <t>ORD-0034</t>
  </si>
  <si>
    <t>ORD-0035</t>
  </si>
  <si>
    <t>Kochi</t>
  </si>
  <si>
    <t>ORD-0036</t>
  </si>
  <si>
    <t>CUST-1540</t>
  </si>
  <si>
    <t>Simran Kaur</t>
  </si>
  <si>
    <t>ORD-0037</t>
  </si>
  <si>
    <t>ORD-0038</t>
  </si>
  <si>
    <t>CUST-7808</t>
  </si>
  <si>
    <t>Varun Chopra</t>
  </si>
  <si>
    <t>ORD-0039</t>
  </si>
  <si>
    <t>ORD-0040</t>
  </si>
  <si>
    <t>CUST-0895</t>
  </si>
  <si>
    <t>Nikhil Jain</t>
  </si>
  <si>
    <t>ORD-0041</t>
  </si>
  <si>
    <t>Acer Aspire</t>
  </si>
  <si>
    <t>ORD-0042</t>
  </si>
  <si>
    <t>Amazon Fire HD</t>
  </si>
  <si>
    <t>ORD-0043</t>
  </si>
  <si>
    <t>CUST-6126</t>
  </si>
  <si>
    <t>Siddharth Tiwari</t>
  </si>
  <si>
    <t>Patna</t>
  </si>
  <si>
    <t>ORD-0044</t>
  </si>
  <si>
    <t>ORD-0045</t>
  </si>
  <si>
    <t>CUST-5247</t>
  </si>
  <si>
    <t>ORD-0046</t>
  </si>
  <si>
    <t>CUST-4761</t>
  </si>
  <si>
    <t>Rajesh Kumar</t>
  </si>
  <si>
    <t>ORD-0047</t>
  </si>
  <si>
    <t>OnePlus Nord</t>
  </si>
  <si>
    <t>ORD-0048</t>
  </si>
  <si>
    <t>ORD-0049</t>
  </si>
  <si>
    <t>HP Pavilion</t>
  </si>
  <si>
    <t>ORD-0050</t>
  </si>
  <si>
    <t>ORD-0051</t>
  </si>
  <si>
    <t>Dell Inspiron</t>
  </si>
  <si>
    <t>ORD-0052</t>
  </si>
  <si>
    <t>CUST-4816</t>
  </si>
  <si>
    <t>Amit Patel</t>
  </si>
  <si>
    <t>ORD-0053</t>
  </si>
  <si>
    <t>ORD-0054</t>
  </si>
  <si>
    <t>CUST-9969</t>
  </si>
  <si>
    <t>Ritika Menon</t>
  </si>
  <si>
    <t>ORD-0055</t>
  </si>
  <si>
    <t>CUST-8185</t>
  </si>
  <si>
    <t>ORD-0056</t>
  </si>
  <si>
    <t>CUST-6453</t>
  </si>
  <si>
    <t>Karan Verma</t>
  </si>
  <si>
    <t>ORD-0057</t>
  </si>
  <si>
    <t>CUST-2055</t>
  </si>
  <si>
    <t>Shreya Pandey</t>
  </si>
  <si>
    <t>ORD-0058</t>
  </si>
  <si>
    <t>ORD-0059</t>
  </si>
  <si>
    <t>ORD-0060</t>
  </si>
  <si>
    <t>ORD-0061</t>
  </si>
  <si>
    <t>ORD-0062</t>
  </si>
  <si>
    <t>ORD-0063</t>
  </si>
  <si>
    <t>iPhone 14</t>
  </si>
  <si>
    <t>ORD-0064</t>
  </si>
  <si>
    <t>ORD-0065</t>
  </si>
  <si>
    <t>ORD-0066</t>
  </si>
  <si>
    <t>ORD-0067</t>
  </si>
  <si>
    <t>ORD-0068</t>
  </si>
  <si>
    <t>ORD-0069</t>
  </si>
  <si>
    <t>CUST-5060</t>
  </si>
  <si>
    <t>Gaurav Bhatt</t>
  </si>
  <si>
    <t>ORD-0070</t>
  </si>
  <si>
    <t>ORD-0071</t>
  </si>
  <si>
    <t>iPad Air</t>
  </si>
  <si>
    <t>ORD-0072</t>
  </si>
  <si>
    <t>ORD-0073</t>
  </si>
  <si>
    <t>CUST-1200</t>
  </si>
  <si>
    <t>Pallavi Krishnan</t>
  </si>
  <si>
    <t>Laptop Bag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</si>
  <si>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</si>
  <si>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</si>
  <si>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</si>
  <si>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</si>
  <si>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</si>
  <si>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</si>
  <si>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</si>
  <si>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</si>
  <si>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</si>
  <si>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</si>
  <si>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</si>
  <si>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</si>
  <si>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</si>
  <si>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</si>
  <si>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</si>
  <si>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</si>
  <si>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</si>
  <si>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</si>
  <si>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</si>
  <si>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CUST-5055</t>
  </si>
  <si>
    <t>Riya Malhotra</t>
  </si>
  <si>
    <t>ORD-0093</t>
  </si>
  <si>
    <t>ORD-0094</t>
  </si>
  <si>
    <t>CUST-1661</t>
  </si>
  <si>
    <t>Harsh Sinha</t>
  </si>
  <si>
    <t>ORD-0095</t>
  </si>
  <si>
    <t>ORD-0096</t>
  </si>
  <si>
    <t>ORD-0097</t>
  </si>
  <si>
    <t>ORD-0098</t>
  </si>
  <si>
    <t>ORD-0099</t>
  </si>
  <si>
    <t>ORD-0100</t>
  </si>
  <si>
    <t>CUST-6967</t>
  </si>
  <si>
    <t>Aarti Shetty</t>
  </si>
  <si>
    <t>ORD-0101</t>
  </si>
  <si>
    <t>ORD-0102</t>
  </si>
  <si>
    <t>ORD-0103</t>
  </si>
  <si>
    <t>ORD-0104</t>
  </si>
  <si>
    <t>CUST-4414</t>
  </si>
  <si>
    <t>Vikram Reddy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</si>
  <si>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</si>
  <si>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</si>
  <si>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</si>
  <si>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</si>
  <si>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</si>
  <si>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</si>
  <si>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</si>
  <si>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</si>
  <si>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</si>
  <si>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</si>
  <si>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</si>
  <si>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</si>
  <si>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</si>
  <si>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</si>
  <si>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</si>
  <si>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</si>
  <si>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</si>
  <si>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</si>
  <si>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</si>
  <si>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</si>
  <si>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</si>
  <si>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</si>
  <si>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</si>
  <si>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</si>
  <si>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</si>
  <si>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</si>
  <si>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</si>
  <si>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</si>
  <si>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</si>
  <si>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</si>
  <si>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</si>
  <si>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</si>
  <si>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CUST-7270</t>
  </si>
  <si>
    <t>Yash Dhawan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</si>
  <si>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</si>
  <si>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</si>
  <si>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</si>
  <si>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</si>
  <si>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</si>
  <si>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</si>
  <si>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</si>
  <si>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</si>
  <si>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</si>
  <si>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</si>
  <si>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</si>
  <si>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</si>
  <si>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</si>
  <si>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</si>
  <si>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</si>
  <si>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</si>
  <si>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</si>
  <si>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</si>
  <si>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</si>
  <si>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</si>
  <si>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</si>
  <si>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</si>
  <si>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</si>
  <si>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</si>
  <si>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</si>
  <si>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</si>
  <si>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</si>
  <si>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</si>
  <si>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</si>
  <si>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</si>
  <si>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</si>
  <si>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</si>
  <si>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</si>
  <si>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</si>
  <si>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</si>
  <si>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</si>
  <si>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</si>
  <si>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</si>
  <si>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</si>
  <si>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</si>
  <si>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</si>
  <si>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</si>
  <si>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</si>
  <si>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</si>
  <si>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</si>
  <si>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</si>
  <si>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</si>
  <si>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</si>
  <si>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</si>
  <si>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</si>
  <si>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</si>
  <si>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</si>
  <si>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</si>
  <si>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</si>
  <si>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</si>
  <si>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</si>
  <si>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</si>
  <si>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</si>
  <si>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</si>
  <si>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</si>
  <si>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</si>
  <si>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</si>
  <si>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</si>
  <si>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</si>
  <si>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ORD-0201</t>
  </si>
  <si>
    <t>ORD-0202</t>
  </si>
  <si>
    <t>ORD-0203</t>
  </si>
  <si>
    <t>ORD-0204</t>
  </si>
  <si>
    <t>ORD-0205</t>
  </si>
  <si>
    <t>ORD-0206</t>
  </si>
  <si>
    <t>ORD-0207</t>
  </si>
  <si>
    <t>ORD-0208</t>
  </si>
  <si>
    <t>ORD-0209</t>
  </si>
  <si>
    <t>ORD-0210</t>
  </si>
  <si>
    <t>ORD-0211</t>
  </si>
  <si>
    <t>ORD-0212</t>
  </si>
  <si>
    <t>ORD-0213</t>
  </si>
  <si>
    <t>ORD-0214</t>
  </si>
  <si>
    <t>ORD-0215</t>
  </si>
  <si>
    <t>ORD-0216</t>
  </si>
  <si>
    <t>ORD-0217</t>
  </si>
  <si>
    <t>ORD-0218</t>
  </si>
  <si>
    <t>ORD-0219</t>
  </si>
  <si>
    <t>ORD-0220</t>
  </si>
  <si>
    <t>ORD-0221</t>
  </si>
  <si>
    <t>ORD-0222</t>
  </si>
  <si>
    <t>ORD-0223</t>
  </si>
  <si>
    <t>ORD-0224</t>
  </si>
  <si>
    <t>ORD-0225</t>
  </si>
  <si>
    <t>ORD-0226</t>
  </si>
  <si>
    <t>ORD-0227</t>
  </si>
  <si>
    <t>ORD-0228</t>
  </si>
  <si>
    <t>ORD-0229</t>
  </si>
  <si>
    <t>ORD-0230</t>
  </si>
  <si>
    <t>ORD-0231</t>
  </si>
  <si>
    <t>ORD-0232</t>
  </si>
  <si>
    <t>ORD-0233</t>
  </si>
  <si>
    <t>ORD-0234</t>
  </si>
  <si>
    <t>ORD-0235</t>
  </si>
  <si>
    <t>ORD-0236</t>
  </si>
  <si>
    <t>ORD-0237</t>
  </si>
  <si>
    <t>ORD-0238</t>
  </si>
  <si>
    <t>ORD-0239</t>
  </si>
  <si>
    <t>ORD-0240</t>
  </si>
  <si>
    <t>ORD-0241</t>
  </si>
  <si>
    <t>ORD-0242</t>
  </si>
  <si>
    <t>ORD-0243</t>
  </si>
  <si>
    <t>ORD-0244</t>
  </si>
  <si>
    <t>ORD-0245</t>
  </si>
  <si>
    <t>ORD-0246</t>
  </si>
  <si>
    <t>ORD-0247</t>
  </si>
  <si>
    <t>ORD-0248</t>
  </si>
  <si>
    <t>ORD-0249</t>
  </si>
  <si>
    <t>ORD-0250</t>
  </si>
  <si>
    <t>ORD-0251</t>
  </si>
  <si>
    <t>ORD-0252</t>
  </si>
  <si>
    <t>ORD-0253</t>
  </si>
  <si>
    <t>ORD-0254</t>
  </si>
  <si>
    <t>ORD-0255</t>
  </si>
  <si>
    <t>ORD-0256</t>
  </si>
  <si>
    <t>ORD-0257</t>
  </si>
  <si>
    <t>ORD-0258</t>
  </si>
  <si>
    <t>ORD-0259</t>
  </si>
  <si>
    <t>ORD-0260</t>
  </si>
  <si>
    <t>ORD-0261</t>
  </si>
  <si>
    <t>ORD-0262</t>
  </si>
  <si>
    <t>ORD-0263</t>
  </si>
  <si>
    <t>ORD-0264</t>
  </si>
  <si>
    <t>ORD-0265</t>
  </si>
  <si>
    <t>ORD-0266</t>
  </si>
  <si>
    <t>ORD-0267</t>
  </si>
  <si>
    <t>ORD-0268</t>
  </si>
  <si>
    <t>ORD-0269</t>
  </si>
  <si>
    <t>ORD-0270</t>
  </si>
  <si>
    <t>ORD-0271</t>
  </si>
  <si>
    <t>ORD-0272</t>
  </si>
  <si>
    <t>ORD-0273</t>
  </si>
  <si>
    <t>ORD-0274</t>
  </si>
  <si>
    <t>ORD-0275</t>
  </si>
  <si>
    <t>ORD-0276</t>
  </si>
  <si>
    <t>ORD-0277</t>
  </si>
  <si>
    <t>ORD-0278</t>
  </si>
  <si>
    <t>ORD-0279</t>
  </si>
  <si>
    <t>ORD-0280</t>
  </si>
  <si>
    <t>ORD-0281</t>
  </si>
  <si>
    <t>ORD-0282</t>
  </si>
  <si>
    <t>ORD-0283</t>
  </si>
  <si>
    <t>ORD-0284</t>
  </si>
  <si>
    <t>ORD-0285</t>
  </si>
  <si>
    <t>ORD-0286</t>
  </si>
  <si>
    <t>ORD-0287</t>
  </si>
  <si>
    <t>ORD-0288</t>
  </si>
  <si>
    <t>ORD-0289</t>
  </si>
  <si>
    <t>ORD-0290</t>
  </si>
  <si>
    <t>ORD-0291</t>
  </si>
  <si>
    <t>ORD-0292</t>
  </si>
  <si>
    <t>ORD-0293</t>
  </si>
  <si>
    <t>ORD-0294</t>
  </si>
  <si>
    <t>ORD-0295</t>
  </si>
  <si>
    <t>ORD-0296</t>
  </si>
  <si>
    <t>ORD-0297</t>
  </si>
  <si>
    <t>ORD-0298</t>
  </si>
  <si>
    <t>ORD-0299</t>
  </si>
  <si>
    <t>ORD-0300</t>
  </si>
  <si>
    <t>ORD-0301</t>
  </si>
  <si>
    <t>ORD-0302</t>
  </si>
  <si>
    <t>ORD-0303</t>
  </si>
  <si>
    <t>ORD-0304</t>
  </si>
  <si>
    <t>ORD-0305</t>
  </si>
  <si>
    <t>ORD-0306</t>
  </si>
  <si>
    <t>ORD-0307</t>
  </si>
  <si>
    <t>ORD-0308</t>
  </si>
  <si>
    <t>ORD-0309</t>
  </si>
  <si>
    <t>ORD-0310</t>
  </si>
  <si>
    <t>ORD-0311</t>
  </si>
  <si>
    <t>ORD-0312</t>
  </si>
  <si>
    <t>ORD-0313</t>
  </si>
  <si>
    <t>ORD-0314</t>
  </si>
  <si>
    <t>ORD-0315</t>
  </si>
  <si>
    <t>ORD-0316</t>
  </si>
  <si>
    <t>ORD-0317</t>
  </si>
  <si>
    <t>ORD-0318</t>
  </si>
  <si>
    <t>ORD-0319</t>
  </si>
  <si>
    <t>ORD-0320</t>
  </si>
  <si>
    <t>ORD-0321</t>
  </si>
  <si>
    <t>ORD-0322</t>
  </si>
  <si>
    <t>ORD-0323</t>
  </si>
  <si>
    <t>ORD-0324</t>
  </si>
  <si>
    <t>ORD-0325</t>
  </si>
  <si>
    <t>ORD-0326</t>
  </si>
  <si>
    <t>ORD-0327</t>
  </si>
  <si>
    <t>ORD-0328</t>
  </si>
  <si>
    <t>ORD-0329</t>
  </si>
  <si>
    <t>ORD-0330</t>
  </si>
  <si>
    <t>ORD-0331</t>
  </si>
  <si>
    <t>ORD-0332</t>
  </si>
  <si>
    <t>ORD-0333</t>
  </si>
  <si>
    <t>ORD-0334</t>
  </si>
  <si>
    <t>ORD-0335</t>
  </si>
  <si>
    <t>ORD-0336</t>
  </si>
  <si>
    <t>ORD-0337</t>
  </si>
  <si>
    <t>ORD-0338</t>
  </si>
  <si>
    <t>ORD-0339</t>
  </si>
  <si>
    <t>ORD-0340</t>
  </si>
  <si>
    <t>ORD-0341</t>
  </si>
  <si>
    <t>ORD-0342</t>
  </si>
  <si>
    <t>ORD-0343</t>
  </si>
  <si>
    <t>ORD-0344</t>
  </si>
  <si>
    <t>ORD-0345</t>
  </si>
  <si>
    <t>ORD-0346</t>
  </si>
  <si>
    <t>ORD-0347</t>
  </si>
  <si>
    <t>ORD-0348</t>
  </si>
  <si>
    <t>ORD-0349</t>
  </si>
  <si>
    <t>ORD-0350</t>
  </si>
  <si>
    <t>ORD-0351</t>
  </si>
  <si>
    <t>ORD-0352</t>
  </si>
  <si>
    <t>ORD-0353</t>
  </si>
  <si>
    <t>ORD-0354</t>
  </si>
  <si>
    <t>ORD-0355</t>
  </si>
  <si>
    <t>ORD-0356</t>
  </si>
  <si>
    <t>ORD-0357</t>
  </si>
  <si>
    <t>ORD-0358</t>
  </si>
  <si>
    <t>ORD-0359</t>
  </si>
  <si>
    <t>ORD-0360</t>
  </si>
  <si>
    <t>ORD-0361</t>
  </si>
  <si>
    <t>ORD-0362</t>
  </si>
  <si>
    <t>ORD-0363</t>
  </si>
  <si>
    <t>ORD-0364</t>
  </si>
  <si>
    <t>ORD-0365</t>
  </si>
  <si>
    <t>ORD-0366</t>
  </si>
  <si>
    <t>ORD-0367</t>
  </si>
  <si>
    <t>ORD-0368</t>
  </si>
  <si>
    <t>ORD-0369</t>
  </si>
  <si>
    <t>ORD-0370</t>
  </si>
  <si>
    <t>ORD-0371</t>
  </si>
  <si>
    <t>ORD-0372</t>
  </si>
  <si>
    <t>ORD-0373</t>
  </si>
  <si>
    <t>ORD-0374</t>
  </si>
  <si>
    <t>ORD-0375</t>
  </si>
  <si>
    <t>ORD-0376</t>
  </si>
  <si>
    <t>ORD-0377</t>
  </si>
  <si>
    <t>ORD-0378</t>
  </si>
  <si>
    <t>ORD-0379</t>
  </si>
  <si>
    <t>ORD-0380</t>
  </si>
  <si>
    <t>ORD-0381</t>
  </si>
  <si>
    <t>ORD-0382</t>
  </si>
  <si>
    <t>ORD-0383</t>
  </si>
  <si>
    <t>ORD-0384</t>
  </si>
  <si>
    <t>ORD-0385</t>
  </si>
  <si>
    <t>ORD-0386</t>
  </si>
  <si>
    <t>ORD-0387</t>
  </si>
  <si>
    <t>ORD-0388</t>
  </si>
  <si>
    <t>ORD-0389</t>
  </si>
  <si>
    <t>ORD-0390</t>
  </si>
  <si>
    <t>ORD-0391</t>
  </si>
  <si>
    <t>ORD-0392</t>
  </si>
  <si>
    <t>ORD-0393</t>
  </si>
  <si>
    <t>ORD-0394</t>
  </si>
  <si>
    <t>ORD-0395</t>
  </si>
  <si>
    <t>ORD-0396</t>
  </si>
  <si>
    <t>ORD-0397</t>
  </si>
  <si>
    <t>ORD-0398</t>
  </si>
  <si>
    <t>ORD-0399</t>
  </si>
  <si>
    <t>ORD-0400</t>
  </si>
  <si>
    <t>ORD-0401</t>
  </si>
  <si>
    <t>ORD-0402</t>
  </si>
  <si>
    <t>ORD-0403</t>
  </si>
  <si>
    <t>ORD-0404</t>
  </si>
  <si>
    <t>ORD-0405</t>
  </si>
  <si>
    <t>ORD-0406</t>
  </si>
  <si>
    <t>ORD-0407</t>
  </si>
  <si>
    <t>ORD-0408</t>
  </si>
  <si>
    <t>ORD-0409</t>
  </si>
  <si>
    <t>ORD-0410</t>
  </si>
  <si>
    <t>ORD-0411</t>
  </si>
  <si>
    <t>ORD-0412</t>
  </si>
  <si>
    <t>ORD-0413</t>
  </si>
  <si>
    <t>ORD-0414</t>
  </si>
  <si>
    <t>ORD-0415</t>
  </si>
  <si>
    <t>ORD-0416</t>
  </si>
  <si>
    <t>ORD-0417</t>
  </si>
  <si>
    <t>ORD-0418</t>
  </si>
  <si>
    <t>ORD-0419</t>
  </si>
  <si>
    <t>ORD-0420</t>
  </si>
  <si>
    <t>ORD-0421</t>
  </si>
  <si>
    <t>ORD-0422</t>
  </si>
  <si>
    <t>ORD-0423</t>
  </si>
  <si>
    <t>ORD-0424</t>
  </si>
  <si>
    <t>ORD-0425</t>
  </si>
  <si>
    <t>ORD-0426</t>
  </si>
  <si>
    <t>ORD-0427</t>
  </si>
  <si>
    <t>ORD-0428</t>
  </si>
  <si>
    <t>ORD-0429</t>
  </si>
  <si>
    <t>ORD-0430</t>
  </si>
  <si>
    <t>ORD-0431</t>
  </si>
  <si>
    <t>ORD-0432</t>
  </si>
  <si>
    <t>ORD-0433</t>
  </si>
  <si>
    <t>ORD-0434</t>
  </si>
  <si>
    <t>ORD-0435</t>
  </si>
  <si>
    <t>ORD-0436</t>
  </si>
  <si>
    <t>ORD-0437</t>
  </si>
  <si>
    <t>ORD-0438</t>
  </si>
  <si>
    <t>ORD-0439</t>
  </si>
  <si>
    <t>ORD-0440</t>
  </si>
  <si>
    <t>ORD-0441</t>
  </si>
  <si>
    <t>ORD-0442</t>
  </si>
  <si>
    <t>ORD-0443</t>
  </si>
  <si>
    <t>ORD-0444</t>
  </si>
  <si>
    <t>ORD-0445</t>
  </si>
  <si>
    <t>ORD-0446</t>
  </si>
  <si>
    <t>ORD-0447</t>
  </si>
  <si>
    <t>ORD-0448</t>
  </si>
  <si>
    <t>ORD-0449</t>
  </si>
  <si>
    <t>ORD-0450</t>
  </si>
  <si>
    <t>ORD-0451</t>
  </si>
  <si>
    <t>ORD-0452</t>
  </si>
  <si>
    <t>ORD-0453</t>
  </si>
  <si>
    <t>ORD-0454</t>
  </si>
  <si>
    <t>ORD-0455</t>
  </si>
  <si>
    <t>ORD-0456</t>
  </si>
  <si>
    <t>ORD-0457</t>
  </si>
  <si>
    <t>ORD-0458</t>
  </si>
  <si>
    <t>ORD-0459</t>
  </si>
  <si>
    <t>ORD-0460</t>
  </si>
  <si>
    <t>ORD-0461</t>
  </si>
  <si>
    <t>ORD-0462</t>
  </si>
  <si>
    <t>ORD-0463</t>
  </si>
  <si>
    <t>ORD-0464</t>
  </si>
  <si>
    <t>ORD-0465</t>
  </si>
  <si>
    <t>ORD-0466</t>
  </si>
  <si>
    <t>ORD-0467</t>
  </si>
  <si>
    <t>ORD-0468</t>
  </si>
  <si>
    <t>ORD-0469</t>
  </si>
  <si>
    <t>ORD-0470</t>
  </si>
  <si>
    <t>ORD-0471</t>
  </si>
  <si>
    <t>ORD-0472</t>
  </si>
  <si>
    <t>ORD-0473</t>
  </si>
  <si>
    <t>ORD-0474</t>
  </si>
  <si>
    <t>ORD-0475</t>
  </si>
  <si>
    <t>ORD-0476</t>
  </si>
  <si>
    <t>ORD-0477</t>
  </si>
  <si>
    <t>ORD-0478</t>
  </si>
  <si>
    <t>ORD-0479</t>
  </si>
  <si>
    <t>ORD-0480</t>
  </si>
  <si>
    <t>ORD-0481</t>
  </si>
  <si>
    <t>ORD-0482</t>
  </si>
  <si>
    <t>ORD-0483</t>
  </si>
  <si>
    <t>ORD-0484</t>
  </si>
  <si>
    <t>ORD-0485</t>
  </si>
  <si>
    <t>ORD-0486</t>
  </si>
  <si>
    <t>ORD-0487</t>
  </si>
  <si>
    <t>ORD-0488</t>
  </si>
  <si>
    <t>ORD-0489</t>
  </si>
  <si>
    <t>ORD-0490</t>
  </si>
  <si>
    <t>ORD-0491</t>
  </si>
  <si>
    <t>ORD-0492</t>
  </si>
  <si>
    <t>ORD-0493</t>
  </si>
  <si>
    <t>ORD-0494</t>
  </si>
  <si>
    <t>ORD-0495</t>
  </si>
  <si>
    <t>ORD-0496</t>
  </si>
  <si>
    <t>ORD-0497</t>
  </si>
  <si>
    <t>ORD-0498</t>
  </si>
  <si>
    <t>ORD-0499</t>
  </si>
  <si>
    <t>ORD-0500</t>
  </si>
  <si>
    <t>ORD-0501</t>
  </si>
  <si>
    <t>ORD-0502</t>
  </si>
  <si>
    <t>ORD-0503</t>
  </si>
  <si>
    <t>ORD-0504</t>
  </si>
  <si>
    <t>ORD-0505</t>
  </si>
  <si>
    <t>ORD-0506</t>
  </si>
  <si>
    <t>ORD-0507</t>
  </si>
  <si>
    <t>ORD-0508</t>
  </si>
  <si>
    <t>ORD-0509</t>
  </si>
  <si>
    <t>ORD-0510</t>
  </si>
  <si>
    <t>ORD-0511</t>
  </si>
  <si>
    <t>ORD-0512</t>
  </si>
  <si>
    <t>ORD-0513</t>
  </si>
  <si>
    <t>ORD-0514</t>
  </si>
  <si>
    <t>ORD-0515</t>
  </si>
  <si>
    <t>ORD-0516</t>
  </si>
  <si>
    <t>ORD-0517</t>
  </si>
  <si>
    <t>ORD-0518</t>
  </si>
  <si>
    <t>ORD-0519</t>
  </si>
  <si>
    <t>ORD-0520</t>
  </si>
  <si>
    <t>ORD-0521</t>
  </si>
  <si>
    <t>ORD-0522</t>
  </si>
  <si>
    <t>ORD-0523</t>
  </si>
  <si>
    <t>ORD-0524</t>
  </si>
  <si>
    <t>ORD-0525</t>
  </si>
  <si>
    <t>ORD-0526</t>
  </si>
  <si>
    <t>ORD-0527</t>
  </si>
  <si>
    <t>ORD-0528</t>
  </si>
  <si>
    <t>ORD-0529</t>
  </si>
  <si>
    <t>ORD-0530</t>
  </si>
  <si>
    <t>ORD-0531</t>
  </si>
  <si>
    <t>ORD-0532</t>
  </si>
  <si>
    <t>ORD-0533</t>
  </si>
  <si>
    <t>ORD-0534</t>
  </si>
  <si>
    <t>ORD-0535</t>
  </si>
  <si>
    <t>ORD-0536</t>
  </si>
  <si>
    <t>ORD-0537</t>
  </si>
  <si>
    <t>ORD-0538</t>
  </si>
  <si>
    <t>ORD-0539</t>
  </si>
  <si>
    <t>ORD-0540</t>
  </si>
  <si>
    <t>ORD-0541</t>
  </si>
  <si>
    <t>ORD-0542</t>
  </si>
  <si>
    <t>ORD-0543</t>
  </si>
  <si>
    <t>ORD-0544</t>
  </si>
  <si>
    <t>ORD-0545</t>
  </si>
  <si>
    <t>ORD-0546</t>
  </si>
  <si>
    <t>ORD-0547</t>
  </si>
  <si>
    <t>ORD-0548</t>
  </si>
  <si>
    <t>ORD-0549</t>
  </si>
  <si>
    <t>ORD-0550</t>
  </si>
  <si>
    <t>ORD-0551</t>
  </si>
  <si>
    <t>ORD-0552</t>
  </si>
  <si>
    <t>ORD-0553</t>
  </si>
  <si>
    <t>ORD-0554</t>
  </si>
  <si>
    <t>ORD-0555</t>
  </si>
  <si>
    <t>ORD-0556</t>
  </si>
  <si>
    <t>ORD-0557</t>
  </si>
  <si>
    <t>ORD-0558</t>
  </si>
  <si>
    <t>ORD-0559</t>
  </si>
  <si>
    <t>ORD-0560</t>
  </si>
  <si>
    <t>ORD-0561</t>
  </si>
  <si>
    <t>ORD-0562</t>
  </si>
  <si>
    <t>ORD-0563</t>
  </si>
  <si>
    <t>ORD-0564</t>
  </si>
  <si>
    <t>ORD-0565</t>
  </si>
  <si>
    <t>ORD-0566</t>
  </si>
  <si>
    <t>ORD-0567</t>
  </si>
  <si>
    <t>ORD-0568</t>
  </si>
  <si>
    <t>ORD-0569</t>
  </si>
  <si>
    <t>ORD-0570</t>
  </si>
  <si>
    <t>ORD-0571</t>
  </si>
  <si>
    <t>ORD-0572</t>
  </si>
  <si>
    <t>ORD-0573</t>
  </si>
  <si>
    <t>ORD-0574</t>
  </si>
  <si>
    <t>ORD-0575</t>
  </si>
  <si>
    <t>ORD-0576</t>
  </si>
  <si>
    <t>ORD-0577</t>
  </si>
  <si>
    <t>ORD-0578</t>
  </si>
  <si>
    <t>ORD-0579</t>
  </si>
  <si>
    <t>ORD-0580</t>
  </si>
  <si>
    <t>ORD-0581</t>
  </si>
  <si>
    <t>ORD-0582</t>
  </si>
  <si>
    <t>ORD-0583</t>
  </si>
  <si>
    <t>ORD-0584</t>
  </si>
  <si>
    <t>ORD-0585</t>
  </si>
  <si>
    <t>ORD-0586</t>
  </si>
  <si>
    <t>ORD-0587</t>
  </si>
  <si>
    <t>ORD-0588</t>
  </si>
  <si>
    <t>ORD-0589</t>
  </si>
  <si>
    <t>ORD-0590</t>
  </si>
  <si>
    <t>ORD-0591</t>
  </si>
  <si>
    <t>ORD-0592</t>
  </si>
  <si>
    <t>ORD-0593</t>
  </si>
  <si>
    <t>ORD-0594</t>
  </si>
  <si>
    <t>ORD-0595</t>
  </si>
  <si>
    <t>ORD-0596</t>
  </si>
  <si>
    <t>ORD-0597</t>
  </si>
  <si>
    <t>ORD-0598</t>
  </si>
  <si>
    <t>ORD-0599</t>
  </si>
  <si>
    <t>ORD-0600</t>
  </si>
  <si>
    <t>ORD-0601</t>
  </si>
  <si>
    <t>ORD-0602</t>
  </si>
  <si>
    <t>ORD-0603</t>
  </si>
  <si>
    <t>ORD-0604</t>
  </si>
  <si>
    <t>ORD-0605</t>
  </si>
  <si>
    <t>ORD-0606</t>
  </si>
  <si>
    <t>ORD-0607</t>
  </si>
  <si>
    <t>ORD-0608</t>
  </si>
  <si>
    <t>ORD-0609</t>
  </si>
  <si>
    <t>ORD-0610</t>
  </si>
  <si>
    <t>ORD-0611</t>
  </si>
  <si>
    <t>ORD-0612</t>
  </si>
  <si>
    <t>ORD-0613</t>
  </si>
  <si>
    <t>ORD-0614</t>
  </si>
  <si>
    <t>ORD-0615</t>
  </si>
  <si>
    <t>ORD-0616</t>
  </si>
  <si>
    <t>ORD-0617</t>
  </si>
  <si>
    <t>ORD-0618</t>
  </si>
  <si>
    <t>ORD-0619</t>
  </si>
  <si>
    <t>ORD-0620</t>
  </si>
  <si>
    <t>ORD-0621</t>
  </si>
  <si>
    <t>ORD-0622</t>
  </si>
  <si>
    <t>ORD-0623</t>
  </si>
  <si>
    <t>ORD-0624</t>
  </si>
  <si>
    <t>ORD-0625</t>
  </si>
  <si>
    <t>ORD-0626</t>
  </si>
  <si>
    <t>ORD-0627</t>
  </si>
  <si>
    <t>ORD-0628</t>
  </si>
  <si>
    <t>ORD-0629</t>
  </si>
  <si>
    <t>ORD-0630</t>
  </si>
  <si>
    <t>ORD-0631</t>
  </si>
  <si>
    <t>ORD-0632</t>
  </si>
  <si>
    <t>ORD-0633</t>
  </si>
  <si>
    <t>ORD-0634</t>
  </si>
  <si>
    <t>ORD-0635</t>
  </si>
  <si>
    <t>ORD-0636</t>
  </si>
  <si>
    <t>ORD-0637</t>
  </si>
  <si>
    <t>ORD-0638</t>
  </si>
  <si>
    <t>ORD-0639</t>
  </si>
  <si>
    <t>ORD-0640</t>
  </si>
  <si>
    <t>ORD-0641</t>
  </si>
  <si>
    <t>ORD-0642</t>
  </si>
  <si>
    <t>ORD-0643</t>
  </si>
  <si>
    <t>ORD-0644</t>
  </si>
  <si>
    <t>ORD-0645</t>
  </si>
  <si>
    <t>ORD-0646</t>
  </si>
  <si>
    <t>ORD-0647</t>
  </si>
  <si>
    <t>ORD-0648</t>
  </si>
  <si>
    <t>ORD-0649</t>
  </si>
  <si>
    <t>ORD-0650</t>
  </si>
  <si>
    <t>ORD-0651</t>
  </si>
  <si>
    <t>ORD-0652</t>
  </si>
  <si>
    <t>ORD-0653</t>
  </si>
  <si>
    <t>ORD-0654</t>
  </si>
  <si>
    <t>ORD-0655</t>
  </si>
  <si>
    <t>ORD-0656</t>
  </si>
  <si>
    <t>ORD-0657</t>
  </si>
  <si>
    <t>ORD-0658</t>
  </si>
  <si>
    <t>ORD-0659</t>
  </si>
  <si>
    <t>ORD-0660</t>
  </si>
  <si>
    <t>ORD-0661</t>
  </si>
  <si>
    <t>ORD-0662</t>
  </si>
  <si>
    <t>ORD-0663</t>
  </si>
  <si>
    <t>ORD-0664</t>
  </si>
  <si>
    <t>ORD-0665</t>
  </si>
  <si>
    <t>ORD-0666</t>
  </si>
  <si>
    <t>ORD-0667</t>
  </si>
  <si>
    <t>ORD-0668</t>
  </si>
  <si>
    <t>ORD-0669</t>
  </si>
  <si>
    <t>ORD-0670</t>
  </si>
  <si>
    <t>ORD-0671</t>
  </si>
  <si>
    <t>ORD-0672</t>
  </si>
  <si>
    <t>ORD-0673</t>
  </si>
  <si>
    <t>ORD-0674</t>
  </si>
  <si>
    <t>ORD-0675</t>
  </si>
  <si>
    <t>ORD-0676</t>
  </si>
  <si>
    <t>ORD-0677</t>
  </si>
  <si>
    <t>ORD-0678</t>
  </si>
  <si>
    <t>ORD-0679</t>
  </si>
  <si>
    <t>ORD-0680</t>
  </si>
  <si>
    <t>ORD-0681</t>
  </si>
  <si>
    <t>ORD-0682</t>
  </si>
  <si>
    <t>ORD-0683</t>
  </si>
  <si>
    <t>ORD-0684</t>
  </si>
  <si>
    <t>ORD-0685</t>
  </si>
  <si>
    <t>ORD-0686</t>
  </si>
  <si>
    <t>ORD-0687</t>
  </si>
  <si>
    <t>ORD-0688</t>
  </si>
  <si>
    <t>ORD-0689</t>
  </si>
  <si>
    <t>ORD-0690</t>
  </si>
  <si>
    <t>ORD-0691</t>
  </si>
  <si>
    <t>ORD-0692</t>
  </si>
  <si>
    <t>ORD-0693</t>
  </si>
  <si>
    <t>ORD-0694</t>
  </si>
  <si>
    <t>ORD-0695</t>
  </si>
  <si>
    <t>ORD-0696</t>
  </si>
  <si>
    <t>ORD-0697</t>
  </si>
  <si>
    <t>ORD-0698</t>
  </si>
  <si>
    <t>ORD-0699</t>
  </si>
  <si>
    <t>ORD-0700</t>
  </si>
  <si>
    <t>ORD-0701</t>
  </si>
  <si>
    <t>ORD-0702</t>
  </si>
  <si>
    <t>ORD-0703</t>
  </si>
  <si>
    <t>ORD-0704</t>
  </si>
  <si>
    <t>ORD-0705</t>
  </si>
  <si>
    <t>ORD-0706</t>
  </si>
  <si>
    <t>ORD-0707</t>
  </si>
  <si>
    <t>ORD-0708</t>
  </si>
  <si>
    <t>ORD-0709</t>
  </si>
  <si>
    <t>ORD-0710</t>
  </si>
  <si>
    <t>ORD-0711</t>
  </si>
  <si>
    <t>ORD-0712</t>
  </si>
  <si>
    <t>ORD-0713</t>
  </si>
  <si>
    <t>ORD-0714</t>
  </si>
  <si>
    <t>ORD-0715</t>
  </si>
  <si>
    <t>ORD-0716</t>
  </si>
  <si>
    <t>ORD-0717</t>
  </si>
  <si>
    <t>ORD-0718</t>
  </si>
  <si>
    <t>ORD-0719</t>
  </si>
  <si>
    <t>ORD-0720</t>
  </si>
  <si>
    <t>ORD-0721</t>
  </si>
  <si>
    <t>ORD-0722</t>
  </si>
  <si>
    <t>ORD-0723</t>
  </si>
  <si>
    <t>ORD-0724</t>
  </si>
  <si>
    <t>ORD-0725</t>
  </si>
  <si>
    <t>ORD-0726</t>
  </si>
  <si>
    <t>ORD-0727</t>
  </si>
  <si>
    <t>ORD-0728</t>
  </si>
  <si>
    <t>ORD-0729</t>
  </si>
  <si>
    <t>ORD-0730</t>
  </si>
  <si>
    <t>ORD-0731</t>
  </si>
  <si>
    <t>ORD-0732</t>
  </si>
  <si>
    <t>ORD-0733</t>
  </si>
  <si>
    <t>ORD-0734</t>
  </si>
  <si>
    <t>ORD-0735</t>
  </si>
  <si>
    <t>ORD-0736</t>
  </si>
  <si>
    <t>ORD-0737</t>
  </si>
  <si>
    <t>ORD-0738</t>
  </si>
  <si>
    <t>ORD-0739</t>
  </si>
  <si>
    <t>ORD-0740</t>
  </si>
  <si>
    <t>ORD-0741</t>
  </si>
  <si>
    <t>ORD-0742</t>
  </si>
  <si>
    <t>ORD-0743</t>
  </si>
  <si>
    <t>ORD-0744</t>
  </si>
  <si>
    <t>ORD-0745</t>
  </si>
  <si>
    <t>ORD-0746</t>
  </si>
  <si>
    <t>ORD-0747</t>
  </si>
  <si>
    <t>ORD-0748</t>
  </si>
  <si>
    <t>ORD-0749</t>
  </si>
  <si>
    <t>ORD-0750</t>
  </si>
  <si>
    <t>ORD-0751</t>
  </si>
  <si>
    <t>ORD-0752</t>
  </si>
  <si>
    <t>ORD-0753</t>
  </si>
  <si>
    <t>ORD-0754</t>
  </si>
  <si>
    <t>ORD-0755</t>
  </si>
  <si>
    <t>ORD-0756</t>
  </si>
  <si>
    <t>ORD-0757</t>
  </si>
  <si>
    <t>ORD-0758</t>
  </si>
  <si>
    <t>ORD-0759</t>
  </si>
  <si>
    <t>ORD-0760</t>
  </si>
  <si>
    <t>ORD-0761</t>
  </si>
  <si>
    <t>ORD-0762</t>
  </si>
  <si>
    <t>ORD-0763</t>
  </si>
  <si>
    <t>ORD-0764</t>
  </si>
  <si>
    <t>ORD-0765</t>
  </si>
  <si>
    <t>ORD-0766</t>
  </si>
  <si>
    <t>ORD-0767</t>
  </si>
  <si>
    <t>ORD-0768</t>
  </si>
  <si>
    <t>ORD-0769</t>
  </si>
  <si>
    <t>ORD-0770</t>
  </si>
  <si>
    <t>ORD-0771</t>
  </si>
  <si>
    <t>ORD-0772</t>
  </si>
  <si>
    <t>ORD-0773</t>
  </si>
  <si>
    <t>ORD-0774</t>
  </si>
  <si>
    <t>ORD-0775</t>
  </si>
  <si>
    <t>ORD-0776</t>
  </si>
  <si>
    <t>ORD-0777</t>
  </si>
  <si>
    <t>ORD-0778</t>
  </si>
  <si>
    <t>ORD-0779</t>
  </si>
  <si>
    <t>ORD-0780</t>
  </si>
  <si>
    <t>ORD-0781</t>
  </si>
  <si>
    <t>ORD-0782</t>
  </si>
  <si>
    <t>ORD-0783</t>
  </si>
  <si>
    <t>ORD-0784</t>
  </si>
  <si>
    <t>ORD-0785</t>
  </si>
  <si>
    <t>ORD-0786</t>
  </si>
  <si>
    <t>ORD-0787</t>
  </si>
  <si>
    <t>ORD-0788</t>
  </si>
  <si>
    <t>ORD-0789</t>
  </si>
  <si>
    <t>ORD-0790</t>
  </si>
  <si>
    <t>ORD-0791</t>
  </si>
  <si>
    <t>ORD-0792</t>
  </si>
  <si>
    <t>ORD-0793</t>
  </si>
  <si>
    <t>ORD-0794</t>
  </si>
  <si>
    <t>ORD-0795</t>
  </si>
  <si>
    <t>ORD-0796</t>
  </si>
  <si>
    <t>ORD-0797</t>
  </si>
  <si>
    <t>ORD-0798</t>
  </si>
  <si>
    <t>ORD-0799</t>
  </si>
  <si>
    <t>ORD-0800</t>
  </si>
  <si>
    <t>ORD-0801</t>
  </si>
  <si>
    <t>ORD-0802</t>
  </si>
  <si>
    <t>ORD-0803</t>
  </si>
  <si>
    <t>ORD-0804</t>
  </si>
  <si>
    <t>ORD-0805</t>
  </si>
  <si>
    <t>ORD-0806</t>
  </si>
  <si>
    <t>ORD-0807</t>
  </si>
  <si>
    <t>ORD-0808</t>
  </si>
  <si>
    <t>ORD-0809</t>
  </si>
  <si>
    <t>ORD-0810</t>
  </si>
  <si>
    <t>ORD-0811</t>
  </si>
  <si>
    <t>ORD-0812</t>
  </si>
  <si>
    <t>ORD-0813</t>
  </si>
  <si>
    <t>ORD-0814</t>
  </si>
  <si>
    <t>ORD-0815</t>
  </si>
  <si>
    <t>ORD-0816</t>
  </si>
  <si>
    <t>ORD-0817</t>
  </si>
  <si>
    <t>ORD-0818</t>
  </si>
  <si>
    <t>ORD-0819</t>
  </si>
  <si>
    <t>ORD-0820</t>
  </si>
  <si>
    <t>ORD-0821</t>
  </si>
  <si>
    <t>ORD-0822</t>
  </si>
  <si>
    <t>ORD-0823</t>
  </si>
  <si>
    <t>ORD-0824</t>
  </si>
  <si>
    <t>ORD-0825</t>
  </si>
  <si>
    <t>ORD-0826</t>
  </si>
  <si>
    <t>ORD-0827</t>
  </si>
  <si>
    <t>ORD-0828</t>
  </si>
  <si>
    <t>ORD-0829</t>
  </si>
  <si>
    <t>ORD-0830</t>
  </si>
  <si>
    <t>ORD-0831</t>
  </si>
  <si>
    <t>ORD-0832</t>
  </si>
  <si>
    <t>ORD-0833</t>
  </si>
  <si>
    <t>ORD-0834</t>
  </si>
  <si>
    <t>ORD-0835</t>
  </si>
  <si>
    <t>ORD-0836</t>
  </si>
  <si>
    <t>ORD-0837</t>
  </si>
  <si>
    <t>ORD-0838</t>
  </si>
  <si>
    <t>ORD-0839</t>
  </si>
  <si>
    <t>ORD-0840</t>
  </si>
  <si>
    <t>ORD-0841</t>
  </si>
  <si>
    <t>ORD-0842</t>
  </si>
  <si>
    <t>ORD-0843</t>
  </si>
  <si>
    <t>ORD-0844</t>
  </si>
  <si>
    <t>ORD-0845</t>
  </si>
  <si>
    <t>ORD-0846</t>
  </si>
  <si>
    <t>ORD-0847</t>
  </si>
  <si>
    <t>ORD-0848</t>
  </si>
  <si>
    <t>ORD-0849</t>
  </si>
  <si>
    <t>ORD-0850</t>
  </si>
  <si>
    <t>ORD-0851</t>
  </si>
  <si>
    <t>ORD-0852</t>
  </si>
  <si>
    <t>ORD-0853</t>
  </si>
  <si>
    <t>ORD-0854</t>
  </si>
  <si>
    <t>ORD-0855</t>
  </si>
  <si>
    <t>ORD-0856</t>
  </si>
  <si>
    <t>ORD-0857</t>
  </si>
  <si>
    <t>ORD-0858</t>
  </si>
  <si>
    <t>ORD-0859</t>
  </si>
  <si>
    <t>ORD-0860</t>
  </si>
  <si>
    <t>ORD-0861</t>
  </si>
  <si>
    <t>ORD-0862</t>
  </si>
  <si>
    <t>ORD-0863</t>
  </si>
  <si>
    <t>ORD-0864</t>
  </si>
  <si>
    <t>ORD-0865</t>
  </si>
  <si>
    <t>ORD-0866</t>
  </si>
  <si>
    <t>ORD-0867</t>
  </si>
  <si>
    <t>ORD-0868</t>
  </si>
  <si>
    <t>ORD-0869</t>
  </si>
  <si>
    <t>ORD-0870</t>
  </si>
  <si>
    <t>ORD-0871</t>
  </si>
  <si>
    <t>ORD-0872</t>
  </si>
  <si>
    <t>ORD-0873</t>
  </si>
  <si>
    <t>ORD-0874</t>
  </si>
  <si>
    <t>ORD-0875</t>
  </si>
  <si>
    <t>ORD-0876</t>
  </si>
  <si>
    <t>ORD-0877</t>
  </si>
  <si>
    <t>ORD-0878</t>
  </si>
  <si>
    <t>ORD-0879</t>
  </si>
  <si>
    <t>ORD-0880</t>
  </si>
  <si>
    <t>ORD-0881</t>
  </si>
  <si>
    <t>ORD-0882</t>
  </si>
  <si>
    <t>ORD-0883</t>
  </si>
  <si>
    <t>ORD-0884</t>
  </si>
  <si>
    <t>ORD-0885</t>
  </si>
  <si>
    <t>ORD-0886</t>
  </si>
  <si>
    <t>ORD-0887</t>
  </si>
  <si>
    <t>ORD-0888</t>
  </si>
  <si>
    <t>ORD-0889</t>
  </si>
  <si>
    <t>ORD-0890</t>
  </si>
  <si>
    <t>ORD-0891</t>
  </si>
  <si>
    <t>ORD-0892</t>
  </si>
  <si>
    <t>ORD-0893</t>
  </si>
  <si>
    <t>ORD-0894</t>
  </si>
  <si>
    <t>ORD-0895</t>
  </si>
  <si>
    <t>ORD-0896</t>
  </si>
  <si>
    <t>ORD-0897</t>
  </si>
  <si>
    <t>ORD-0898</t>
  </si>
  <si>
    <t>ORD-0899</t>
  </si>
  <si>
    <t>ORD-0900</t>
  </si>
  <si>
    <t>ORD-0901</t>
  </si>
  <si>
    <t>ORD-0902</t>
  </si>
  <si>
    <t>ORD-0903</t>
  </si>
  <si>
    <t>ORD-0904</t>
  </si>
  <si>
    <t>ORD-0905</t>
  </si>
  <si>
    <t>ORD-0906</t>
  </si>
  <si>
    <t>ORD-0907</t>
  </si>
  <si>
    <t>ORD-0908</t>
  </si>
  <si>
    <t>ORD-0909</t>
  </si>
  <si>
    <t>ORD-0910</t>
  </si>
  <si>
    <t>ORD-0911</t>
  </si>
  <si>
    <t>ORD-0912</t>
  </si>
  <si>
    <t>ORD-0913</t>
  </si>
  <si>
    <t>ORD-0914</t>
  </si>
  <si>
    <t>ORD-0915</t>
  </si>
  <si>
    <t>ORD-0916</t>
  </si>
  <si>
    <t>ORD-0917</t>
  </si>
  <si>
    <t>ORD-0918</t>
  </si>
  <si>
    <t>ORD-0919</t>
  </si>
  <si>
    <t>ORD-0920</t>
  </si>
  <si>
    <t>ORD-0921</t>
  </si>
  <si>
    <t>ORD-0922</t>
  </si>
  <si>
    <t>ORD-0923</t>
  </si>
  <si>
    <t>ORD-0924</t>
  </si>
  <si>
    <t>ORD-0925</t>
  </si>
  <si>
    <t>ORD-0926</t>
  </si>
  <si>
    <t>ORD-0927</t>
  </si>
  <si>
    <t>ORD-0928</t>
  </si>
  <si>
    <t>ORD-0929</t>
  </si>
  <si>
    <t>ORD-0930</t>
  </si>
  <si>
    <t>ORD-0931</t>
  </si>
  <si>
    <t>ORD-0932</t>
  </si>
  <si>
    <t>ORD-0933</t>
  </si>
  <si>
    <t>ORD-0934</t>
  </si>
  <si>
    <t>ORD-0935</t>
  </si>
  <si>
    <t>ORD-0936</t>
  </si>
  <si>
    <t>ORD-0937</t>
  </si>
  <si>
    <t>ORD-0938</t>
  </si>
  <si>
    <t>ORD-0939</t>
  </si>
  <si>
    <t>ORD-0940</t>
  </si>
  <si>
    <t>ORD-0941</t>
  </si>
  <si>
    <t>ORD-0942</t>
  </si>
  <si>
    <t>ORD-0943</t>
  </si>
  <si>
    <t>ORD-0944</t>
  </si>
  <si>
    <t>ORD-0945</t>
  </si>
  <si>
    <t>ORD-0946</t>
  </si>
  <si>
    <t>ORD-0947</t>
  </si>
  <si>
    <t>ORD-0948</t>
  </si>
  <si>
    <t>ORD-0949</t>
  </si>
  <si>
    <t>ORD-0950</t>
  </si>
  <si>
    <t>ORD-0951</t>
  </si>
  <si>
    <t>ORD-0952</t>
  </si>
  <si>
    <t>ORD-0953</t>
  </si>
  <si>
    <t>ORD-0954</t>
  </si>
  <si>
    <t>ORD-0955</t>
  </si>
  <si>
    <t>ORD-0956</t>
  </si>
  <si>
    <t>ORD-0957</t>
  </si>
  <si>
    <t>ORD-0958</t>
  </si>
  <si>
    <t>ORD-0959</t>
  </si>
  <si>
    <t>ORD-0960</t>
  </si>
  <si>
    <t>ORD-0961</t>
  </si>
  <si>
    <t>ORD-0962</t>
  </si>
  <si>
    <t>ORD-0963</t>
  </si>
  <si>
    <t>ORD-0964</t>
  </si>
  <si>
    <t>ORD-0965</t>
  </si>
  <si>
    <t>ORD-0966</t>
  </si>
  <si>
    <t>ORD-0967</t>
  </si>
  <si>
    <t>ORD-0968</t>
  </si>
  <si>
    <t>ORD-0969</t>
  </si>
  <si>
    <t>ORD-0970</t>
  </si>
  <si>
    <t>ORD-0971</t>
  </si>
  <si>
    <t>ORD-0972</t>
  </si>
  <si>
    <t>ORD-0973</t>
  </si>
  <si>
    <t>ORD-0974</t>
  </si>
  <si>
    <t>ORD-0975</t>
  </si>
  <si>
    <t>ORD-0976</t>
  </si>
  <si>
    <t>ORD-0977</t>
  </si>
  <si>
    <t>ORD-0978</t>
  </si>
  <si>
    <t>ORD-0979</t>
  </si>
  <si>
    <t>ORD-0980</t>
  </si>
  <si>
    <t>ORD-0981</t>
  </si>
  <si>
    <t>ORD-0982</t>
  </si>
  <si>
    <t>ORD-0983</t>
  </si>
  <si>
    <t>ORD-0984</t>
  </si>
  <si>
    <t>ORD-0985</t>
  </si>
  <si>
    <t>ORD-0986</t>
  </si>
  <si>
    <t>ORD-0987</t>
  </si>
  <si>
    <t>ORD-0988</t>
  </si>
  <si>
    <t>ORD-0989</t>
  </si>
  <si>
    <t>ORD-0990</t>
  </si>
  <si>
    <t>ORD-0991</t>
  </si>
  <si>
    <t>ORD-0992</t>
  </si>
  <si>
    <t>ORD-0993</t>
  </si>
  <si>
    <t>ORD-0994</t>
  </si>
  <si>
    <t>ORD-0995</t>
  </si>
  <si>
    <t>ORD-0996</t>
  </si>
  <si>
    <t>ORD-0997</t>
  </si>
  <si>
    <t>ORD-0998</t>
  </si>
  <si>
    <t>ORD-0999</t>
  </si>
  <si>
    <t>ORD-1000</t>
  </si>
  <si>
    <t>Total_sales</t>
  </si>
  <si>
    <t>Discount_Amount</t>
  </si>
  <si>
    <t>Net_Sales</t>
  </si>
  <si>
    <t>Month</t>
  </si>
  <si>
    <t>Quarter</t>
  </si>
  <si>
    <t>Day</t>
  </si>
  <si>
    <t>Revenue_Category</t>
  </si>
  <si>
    <t>KEY PERFORMANCE INDICATORS (2023)</t>
  </si>
  <si>
    <t>Metric</t>
  </si>
  <si>
    <t>Value</t>
  </si>
  <si>
    <t>Total Revenue</t>
  </si>
  <si>
    <t>Total Orders</t>
  </si>
  <si>
    <t>Average Order Value</t>
  </si>
  <si>
    <t>Total Discount Given</t>
  </si>
  <si>
    <t>Discount % of Revenue</t>
  </si>
  <si>
    <t>Unique Customers</t>
  </si>
  <si>
    <t>Units Sold</t>
  </si>
  <si>
    <t>Average Discount %</t>
  </si>
  <si>
    <t>Row Labels</t>
  </si>
  <si>
    <t>Grand Total</t>
  </si>
  <si>
    <t>Sum of Net_Sales</t>
  </si>
  <si>
    <t>Count of 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</si>
</sst>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₹&quot;\ * #,##0.00_ ;_ &quot;₹&quot;\ * \-#,##0.00_ ;_ &quot;₹&quot;\ * &quot;-&quot;??_ ;_ @_ "/>
    <numFmt numFmtId="164" formatCode="[$-F800]dddd\,\ mmmm\ dd\,\ yyyy"/>
    <numFmt numFmtId="165" formatCode="_ &quot;₹&quot;\ * #,##0_ ;_ &quot;₹&quot;\ * \-#,##0_ ;_ &quot;₹&quot;\ * &quot;-&quot;??_ ;_ @_ "/>
    <numFmt numFmtId="166" formatCode="_ [$₹-4009]\ * #,##0_ ;_ [$₹-4009]\ * \-#,##0_ ;_ [$₹-4009]\ * &quot;-&quot;??_ ;_ @_ "/>
    <numFmt numFmtId="172" formatCode="&quot;₹&quot;\ #,##0.00"/>
    <numFmt numFmtId="174" formatCode="&quot;₹&quot;\ #,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1" applyNumberFormat="0" applyAlignment="0" applyProtection="0"/>
  </cellStyleXfs>
  <cellXfs count="20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2" fillId="2" borderId="1" xfId="2"/>
    <xf numFmtId="165" fontId="2" fillId="2" borderId="1" xfId="1" applyNumberFormat="1" applyFont="1" applyFill="1" applyBorder="1" applyAlignment="1"/>
    <xf numFmtId="165" fontId="0" fillId="0" borderId="0" xfId="1" applyNumberFormat="1" applyFont="1" applyAlignment="1"/>
    <xf numFmtId="165" fontId="2" fillId="2" borderId="1" xfId="1" applyNumberFormat="1" applyFont="1" applyFill="1" applyBorder="1"/>
    <xf numFmtId="165" fontId="0" fillId="0" borderId="0" xfId="1" applyNumberFormat="1" applyFont="1"/>
    <xf numFmtId="166" fontId="0" fillId="0" borderId="0" xfId="0" applyNumberFormat="1"/>
    <xf numFmtId="0" fontId="3" fillId="0" borderId="0" xfId="0" applyFont="1"/>
    <xf numFmtId="165" fontId="0" fillId="0" borderId="0" xfId="0" applyNumberFormat="1"/>
    <xf numFmtId="2" fontId="0" fillId="0" borderId="0" xfId="0" applyNumberFormat="1"/>
    <xf numFmtId="172" fontId="0" fillId="0" borderId="0" xfId="0" applyNumberFormat="1"/>
    <xf numFmtId="174" fontId="0" fillId="0" borderId="0" xfId="0" applyNumberFormat="1"/>
    <xf numFmtId="1" fontId="0" fillId="0" borderId="0" xfId="0" applyNumberFormat="1"/>
    <xf numFmtId="0" fontId="0" fillId="0" borderId="0" xfId="0" applyFont="1" applyAlignment="1">
      <alignment vertical="center"/>
    </xf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3">
    <cellStyle name="Calculation" xfId="2" builtinId="22"/>
    <cellStyle name="Currency" xfId="1" builtinId="4"/>
    <cellStyle name="Normal" xfId="0" builtinId="0"/>
  </cellStyles>
  <dxfs count="29">
    <dxf>
      <numFmt numFmtId="172" formatCode="&quot;₹&quot;\ #,##0.00"/>
    </dxf>
    <dxf>
      <numFmt numFmtId="172" formatCode="&quot;₹&quot;\ #,##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_ &quot;₹&quot;\ * #,##0_ ;_ &quot;₹&quot;\ * \-#,##0_ ;_ &quot;₹&quot;\ * &quot;-&quot;??_ ;_ @_ "/>
    </dxf>
    <dxf>
      <numFmt numFmtId="165" formatCode="_ &quot;₹&quot;\ * #,##0_ ;_ &quot;₹&quot;\ * \-#,##0_ ;_ &quot;₹&quot;\ * &quot;-&quot;??_ ;_ @_ "/>
    </dxf>
    <dxf>
      <numFmt numFmtId="165" formatCode="_ &quot;₹&quot;\ * #,##0_ ;_ &quot;₹&quot;\ * \-#,##0_ ;_ &quot;₹&quot;\ * &quot;-&quot;??_ ;_ @_ "/>
      <alignment horizontal="general" vertical="bottom" textRotation="0" wrapText="0" indent="0" justifyLastLine="0" shrinkToFit="0" readingOrder="0"/>
    </dxf>
    <dxf>
      <numFmt numFmtId="0" formatCode="General"/>
    </dxf>
    <dxf>
      <numFmt numFmtId="166" formatCode="_ [$₹-4009]\ * #,##0_ ;_ [$₹-4009]\ * \-#,##0_ ;_ [$₹-4009]\ * &quot;-&quot;??_ ;_ 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MANT" refreshedDate="46125.80257083333" createdVersion="8" refreshedVersion="8" minRefreshableVersion="3" recordCount="1000" xr:uid="{DD3A920E-B921-455E-8631-30232E8D96A6}">
  <cacheSource type="worksheet">
    <worksheetSource name="Cleaned_Data"/>
  </cacheSource>
  <cacheFields count="19">
    <cacheField name="Order_ID" numFmtId="0">
      <sharedItems/>
    </cacheField>
    <cacheField name="Order_Date" numFmtId="14">
      <sharedItems containsSemiMixedTypes="0" containsNonDate="0" containsDate="1" containsString="0" minDate="2023-01-01T00:00:00" maxDate="2024-01-01T00:00:00"/>
    </cacheField>
    <cacheField name="Customer_ID" numFmtId="0">
      <sharedItems/>
    </cacheField>
    <cacheField name="Customer_Name" numFmtId="0">
      <sharedItems/>
    </cacheField>
    <cacheField name="Region" numFmtId="0">
      <sharedItems/>
    </cacheField>
    <cacheField name="City" numFmtId="0">
      <sharedItems/>
    </cacheField>
    <cacheField name="Product_Category" numFmtId="0">
      <sharedItems count="5">
        <s v="Smartphones"/>
        <s v="Accessories"/>
        <s v="Wearables"/>
        <s v="Tablets"/>
        <s v="Laptops"/>
      </sharedItems>
    </cacheField>
    <cacheField name="Product_Name" numFmtId="0">
      <sharedItems/>
    </cacheField>
    <cacheField name="Quantity" numFmtId="0">
      <sharedItems containsSemiMixedTypes="0" containsString="0" containsNumber="1" containsInteger="1" minValue="1" maxValue="3"/>
    </cacheField>
    <cacheField name="Unit_Price" numFmtId="166">
      <sharedItems containsSemiMixedTypes="0" containsString="0" containsNumber="1" containsInteger="1" minValue="500" maxValue="80000"/>
    </cacheField>
    <cacheField name="Discount_Percent" numFmtId="0">
      <sharedItems containsSemiMixedTypes="0" containsString="0" containsNumber="1" containsInteger="1" minValue="0" maxValue="25"/>
    </cacheField>
    <cacheField name="Sales_Rep" numFmtId="0">
      <sharedItems/>
    </cacheField>
    <cacheField name="Total_sales" numFmtId="165">
      <sharedItems containsSemiMixedTypes="0" containsString="0" containsNumber="1" containsInteger="1" minValue="500" maxValue="160000"/>
    </cacheField>
    <cacheField name="Discount_Amount" numFmtId="165">
      <sharedItems containsSemiMixedTypes="0" containsString="0" containsNumber="1" containsInteger="1" minValue="0" maxValue="25440"/>
    </cacheField>
    <cacheField name="Net_Sales" numFmtId="165">
      <sharedItems containsSemiMixedTypes="0" containsString="0" containsNumber="1" containsInteger="1" minValue="450" maxValue="160000"/>
    </cacheField>
    <cacheField name="Month" numFmtId="0">
      <sharedItems/>
    </cacheField>
    <cacheField name="Quarter" numFmtId="0">
      <sharedItems/>
    </cacheField>
    <cacheField name="Day" numFmtId="0">
      <sharedItems/>
    </cacheField>
    <cacheField name="Revenue_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-0001"/>
    <d v="2023-01-01T00:00:00"/>
    <s v="CUST-9965"/>
    <s v="Neha Agarwal"/>
    <s v="Central"/>
    <s v="Nagpur"/>
    <x v="0"/>
    <s v="Realme GT"/>
    <n v="1"/>
    <n v="29100"/>
    <n v="10"/>
    <s v="Priya Patel"/>
    <n v="29100"/>
    <n v="2910"/>
    <n v="26190"/>
    <s v="Jan-2023"/>
    <s v="Q1-2023"/>
    <s v="Sun"/>
    <s v="Low"/>
  </r>
  <r>
    <s v="ORD-0002"/>
    <d v="2023-01-01T00:00:00"/>
    <s v="CUST-5560"/>
    <s v="Swati Nambiar"/>
    <s v="North"/>
    <s v="Delhi"/>
    <x v="1"/>
    <s v="Wireless Mouse"/>
    <n v="2"/>
    <n v="1800"/>
    <n v="5"/>
    <s v="Rohan Mehta"/>
    <n v="3600"/>
    <n v="180"/>
    <n v="3420"/>
    <s v="Jan-2023"/>
    <s v="Q1-2023"/>
    <s v="Sun"/>
    <s v="Low"/>
  </r>
  <r>
    <s v="ORD-0003"/>
    <d v="2023-02-01T00:00:00"/>
    <s v="CUST-4767"/>
    <s v="Sanjay Joshi"/>
    <s v="North"/>
    <s v="Lucknow"/>
    <x v="1"/>
    <s v="Mechanical Keyboard"/>
    <n v="1"/>
    <n v="2000"/>
    <n v="10"/>
    <s v="Sneha Reddy"/>
    <n v="2000"/>
    <n v="200"/>
    <n v="1800"/>
    <s v="Feb-2023"/>
    <s v="Q1-2023"/>
    <s v="Wed"/>
    <s v="Low"/>
  </r>
  <r>
    <s v="ORD-0004"/>
    <d v="2023-02-01T00:00:00"/>
    <s v="CUST-3922"/>
    <s v="Sakshi Rathore"/>
    <s v="South"/>
    <s v="Chennai"/>
    <x v="2"/>
    <s v="Samsung Galaxy Watch"/>
    <n v="1"/>
    <n v="27200"/>
    <n v="15"/>
    <s v="Rohan Mehta"/>
    <n v="27200"/>
    <n v="4080"/>
    <n v="23120"/>
    <s v="Feb-2023"/>
    <s v="Q1-2023"/>
    <s v="Wed"/>
    <s v="Low"/>
  </r>
  <r>
    <s v="ORD-0005"/>
    <d v="2023-02-01T00:00:00"/>
    <s v="CUST-5409"/>
    <s v="Akash Pillai"/>
    <s v="North"/>
    <s v="Chandigarh"/>
    <x v="3"/>
    <s v="Samsung Tab S8"/>
    <n v="1"/>
    <n v="33800"/>
    <n v="10"/>
    <s v="Vikram Singh"/>
    <n v="33800"/>
    <n v="3380"/>
    <n v="30420"/>
    <s v="Feb-2023"/>
    <s v="Q1-2023"/>
    <s v="Wed"/>
    <s v="Low"/>
  </r>
  <r>
    <s v="ORD-0006"/>
    <d v="2023-03-01T00:00:00"/>
    <s v="CUST-8923"/>
    <s v="Pooja Desai"/>
    <s v="North"/>
    <s v="Jaipur"/>
    <x v="3"/>
    <s v="Lenovo Tab P11"/>
    <n v="1"/>
    <n v="31100"/>
    <n v="25"/>
    <s v="Anjali Gupta"/>
    <n v="31100"/>
    <n v="7775"/>
    <n v="23325"/>
    <s v="Mar-2023"/>
    <s v="Q1-2023"/>
    <s v="Wed"/>
    <s v="Low"/>
  </r>
  <r>
    <s v="ORD-0007"/>
    <d v="2023-03-01T00:00:00"/>
    <s v="CUST-0354"/>
    <s v="Meera Chawla"/>
    <s v="North"/>
    <s v="Jaipur"/>
    <x v="2"/>
    <s v="Fitbit Versa 4"/>
    <n v="1"/>
    <n v="14800"/>
    <n v="10"/>
    <s v="Anjali Gupta"/>
    <n v="14800"/>
    <n v="1480"/>
    <n v="13320"/>
    <s v="Mar-2023"/>
    <s v="Q1-2023"/>
    <s v="Wed"/>
    <s v="Low"/>
  </r>
  <r>
    <s v="ORD-0008"/>
    <d v="2023-03-01T00:00:00"/>
    <s v="CUST-9929"/>
    <s v="Kunal Dixit"/>
    <s v="South"/>
    <s v="Hyderabad"/>
    <x v="0"/>
    <s v="Realme GT"/>
    <n v="1"/>
    <n v="56600"/>
    <n v="10"/>
    <s v="Amit Kumar"/>
    <n v="56600"/>
    <n v="5660"/>
    <n v="50940"/>
    <s v="Mar-2023"/>
    <s v="Q1-2023"/>
    <s v="Wed"/>
    <s v="Medium"/>
  </r>
  <r>
    <s v="ORD-0009"/>
    <d v="2023-03-01T00:00:00"/>
    <s v="CUST-8593"/>
    <s v="Sneha Sharma"/>
    <s v="West"/>
    <s v="Mumbai"/>
    <x v="2"/>
    <s v="Mi Band 7"/>
    <n v="2"/>
    <n v="10800"/>
    <n v="10"/>
    <s v="Sneha Reddy"/>
    <n v="21600"/>
    <n v="2160"/>
    <n v="19440"/>
    <s v="Mar-2023"/>
    <s v="Q1-2023"/>
    <s v="Wed"/>
    <s v="Low"/>
  </r>
  <r>
    <s v="ORD-0010"/>
    <d v="2023-04-01T00:00:00"/>
    <s v="CUST-8995"/>
    <s v="Mohit Saxena"/>
    <s v="West"/>
    <s v="Surat"/>
    <x v="0"/>
    <s v="Realme GT"/>
    <n v="1"/>
    <n v="35200"/>
    <n v="20"/>
    <s v="Kavya Iyer"/>
    <n v="35200"/>
    <n v="7040"/>
    <n v="28160"/>
    <s v="Apr-2023"/>
    <s v="Q2-2023"/>
    <s v="Sat"/>
    <s v="Low"/>
  </r>
  <r>
    <s v="ORD-0011"/>
    <d v="2023-04-01T00:00:00"/>
    <s v="CUST-6295"/>
    <s v="Arjun Nair"/>
    <s v="Central"/>
    <s v="Nagpur"/>
    <x v="0"/>
    <s v="Xiaomi 13"/>
    <n v="1"/>
    <n v="40100"/>
    <n v="10"/>
    <s v="Vikram Singh"/>
    <n v="40100"/>
    <n v="4010"/>
    <n v="36090"/>
    <s v="Apr-2023"/>
    <s v="Q2-2023"/>
    <s v="Sat"/>
    <s v="Low"/>
  </r>
  <r>
    <s v="ORD-0012"/>
    <d v="2023-05-01T00:00:00"/>
    <s v="CUST-4945"/>
    <s v="Ananya Bose"/>
    <s v="East"/>
    <s v="Kolkata"/>
    <x v="3"/>
    <s v="Lenovo Tab P11"/>
    <n v="1"/>
    <n v="30300"/>
    <n v="0"/>
    <s v="Vikram Singh"/>
    <n v="30300"/>
    <n v="0"/>
    <n v="30300"/>
    <s v="May-2023"/>
    <s v="Q2-2023"/>
    <s v="Mon"/>
    <s v="Low"/>
  </r>
  <r>
    <s v="ORD-0013"/>
    <d v="2023-05-01T00:00:00"/>
    <s v="CUST-7693"/>
    <s v="Sameer Dutta"/>
    <s v="North"/>
    <s v="Jaipur"/>
    <x v="3"/>
    <s v="Samsung Tab S8"/>
    <n v="1"/>
    <n v="32800"/>
    <n v="0"/>
    <s v="Amit Kumar"/>
    <n v="32800"/>
    <n v="0"/>
    <n v="32800"/>
    <s v="May-2023"/>
    <s v="Q2-2023"/>
    <s v="Mon"/>
    <s v="Low"/>
  </r>
  <r>
    <s v="ORD-0014"/>
    <d v="2023-05-01T00:00:00"/>
    <s v="CUST-8923"/>
    <s v="Pooja Desai"/>
    <s v="West"/>
    <s v="Pune"/>
    <x v="0"/>
    <s v="Samsung Galaxy S23"/>
    <n v="1"/>
    <n v="30800"/>
    <n v="0"/>
    <s v="Vikram Singh"/>
    <n v="30800"/>
    <n v="0"/>
    <n v="30800"/>
    <s v="May-2023"/>
    <s v="Q2-2023"/>
    <s v="Mon"/>
    <s v="Low"/>
  </r>
  <r>
    <s v="ORD-0015"/>
    <d v="2023-05-01T00:00:00"/>
    <s v="CUST-8905"/>
    <s v="Rahul Kapoor"/>
    <s v="West"/>
    <s v="Ahmedabad"/>
    <x v="1"/>
    <s v="Mechanical Keyboard"/>
    <n v="2"/>
    <n v="1400"/>
    <n v="10"/>
    <s v="Priya Patel"/>
    <n v="2800"/>
    <n v="280"/>
    <n v="2520"/>
    <s v="May-2023"/>
    <s v="Q2-2023"/>
    <s v="Mon"/>
    <s v="Low"/>
  </r>
  <r>
    <s v="ORD-0016"/>
    <d v="2023-05-01T00:00:00"/>
    <s v="CUST-8995"/>
    <s v="Mohit Saxena"/>
    <s v="West"/>
    <s v="Mumbai"/>
    <x v="3"/>
    <s v="Samsung Tab S8"/>
    <n v="1"/>
    <n v="35400"/>
    <n v="0"/>
    <s v="Priya Patel"/>
    <n v="35400"/>
    <n v="0"/>
    <n v="35400"/>
    <s v="May-2023"/>
    <s v="Q2-2023"/>
    <s v="Mon"/>
    <s v="Low"/>
  </r>
  <r>
    <s v="ORD-0017"/>
    <d v="2023-05-01T00:00:00"/>
    <s v="CUST-0018"/>
    <s v="Tanvi Kulkarni"/>
    <s v="East"/>
    <s v="Kolkata"/>
    <x v="4"/>
    <s v="Lenovo ThinkPad"/>
    <n v="1"/>
    <n v="58500"/>
    <n v="0"/>
    <s v="Amit Kumar"/>
    <n v="58500"/>
    <n v="0"/>
    <n v="58500"/>
    <s v="May-2023"/>
    <s v="Q2-2023"/>
    <s v="Mon"/>
    <s v="Medium"/>
  </r>
  <r>
    <s v="ORD-0018"/>
    <d v="2023-06-01T00:00:00"/>
    <s v="CUST-8905"/>
    <s v="Rahul Kapoor"/>
    <s v="East"/>
    <s v="Kolkata"/>
    <x v="1"/>
    <s v="Wireless Mouse"/>
    <n v="3"/>
    <n v="1800"/>
    <n v="0"/>
    <s v="Rohan Mehta"/>
    <n v="5400"/>
    <n v="0"/>
    <n v="5400"/>
    <s v="Jun-2023"/>
    <s v="Q2-2023"/>
    <s v="Thu"/>
    <s v="Low"/>
  </r>
  <r>
    <s v="ORD-0019"/>
    <d v="2023-06-01T00:00:00"/>
    <s v="CUST-8593"/>
    <s v="Sneha Sharma"/>
    <s v="South"/>
    <s v="Bangalore"/>
    <x v="2"/>
    <s v="Apple Watch Series 8"/>
    <n v="1"/>
    <n v="28800"/>
    <n v="10"/>
    <s v="Rahul Sharma"/>
    <n v="28800"/>
    <n v="2880"/>
    <n v="25920"/>
    <s v="Jun-2023"/>
    <s v="Q2-2023"/>
    <s v="Thu"/>
    <s v="Low"/>
  </r>
  <r>
    <s v="ORD-0020"/>
    <d v="2023-06-01T00:00:00"/>
    <s v="CUST-4295"/>
    <s v="Manish Arora"/>
    <s v="South"/>
    <s v="Chennai"/>
    <x v="3"/>
    <s v="Samsung Tab S8"/>
    <n v="1"/>
    <n v="34600"/>
    <n v="10"/>
    <s v="Sneha Reddy"/>
    <n v="34600"/>
    <n v="3460"/>
    <n v="31140"/>
    <s v="Jun-2023"/>
    <s v="Q2-2023"/>
    <s v="Thu"/>
    <s v="Low"/>
  </r>
  <r>
    <s v="ORD-0021"/>
    <d v="2023-07-01T00:00:00"/>
    <s v="CUST-4295"/>
    <s v="Manish Arora"/>
    <s v="South"/>
    <s v="Chennai"/>
    <x v="1"/>
    <s v="Webcam"/>
    <n v="2"/>
    <n v="1200"/>
    <n v="0"/>
    <s v="Kavya Iyer"/>
    <n v="2400"/>
    <n v="0"/>
    <n v="2400"/>
    <s v="Jul-2023"/>
    <s v="Q3-2023"/>
    <s v="Sat"/>
    <s v="Low"/>
  </r>
  <r>
    <s v="ORD-0022"/>
    <d v="2023-07-01T00:00:00"/>
    <s v="CUST-0354"/>
    <s v="Meera Chawla"/>
    <s v="East"/>
    <s v="Ranchi"/>
    <x v="4"/>
    <s v="Lenovo ThinkPad"/>
    <n v="1"/>
    <n v="56100"/>
    <n v="10"/>
    <s v="Sneha Reddy"/>
    <n v="56100"/>
    <n v="5610"/>
    <n v="50490"/>
    <s v="Jul-2023"/>
    <s v="Q3-2023"/>
    <s v="Sat"/>
    <s v="Medium"/>
  </r>
  <r>
    <s v="ORD-0023"/>
    <d v="2023-07-01T00:00:00"/>
    <s v="CUST-2243"/>
    <s v="Divya Shah"/>
    <s v="South"/>
    <s v="Chennai"/>
    <x v="3"/>
    <s v="Lenovo Tab P11"/>
    <n v="1"/>
    <n v="33400"/>
    <n v="15"/>
    <s v="Rahul Sharma"/>
    <n v="33400"/>
    <n v="5010"/>
    <n v="28390"/>
    <s v="Jul-2023"/>
    <s v="Q3-2023"/>
    <s v="Sat"/>
    <s v="Low"/>
  </r>
  <r>
    <s v="ORD-0024"/>
    <d v="2023-08-01T00:00:00"/>
    <s v="CUST-4064"/>
    <s v="Nisha Ghosh"/>
    <s v="East"/>
    <s v="Bhubaneswar"/>
    <x v="2"/>
    <s v="Apple Watch Series 8"/>
    <n v="1"/>
    <n v="20500"/>
    <n v="10"/>
    <s v="Priya Patel"/>
    <n v="20500"/>
    <n v="2050"/>
    <n v="18450"/>
    <s v="Aug-2023"/>
    <s v="Q3-2023"/>
    <s v="Tue"/>
    <s v="Low"/>
  </r>
  <r>
    <s v="ORD-0025"/>
    <d v="2023-08-01T00:00:00"/>
    <s v="CUST-8923"/>
    <s v="Pooja Desai"/>
    <s v="Central"/>
    <s v="Raipur"/>
    <x v="4"/>
    <s v="Lenovo ThinkPad"/>
    <n v="2"/>
    <n v="67100"/>
    <n v="5"/>
    <s v="Anjali Gupta"/>
    <n v="134200"/>
    <n v="6710"/>
    <n v="127490"/>
    <s v="Aug-2023"/>
    <s v="Q3-2023"/>
    <s v="Tue"/>
    <s v="High"/>
  </r>
  <r>
    <s v="ORD-0026"/>
    <d v="2023-09-01T00:00:00"/>
    <s v="CUST-9929"/>
    <s v="Kunal Dixit"/>
    <s v="South"/>
    <s v="Chennai"/>
    <x v="2"/>
    <s v="Mi Band 7"/>
    <n v="1"/>
    <n v="30200"/>
    <n v="10"/>
    <s v="Amit Kumar"/>
    <n v="30200"/>
    <n v="3020"/>
    <n v="27180"/>
    <s v="Sep-2023"/>
    <s v="Q3-2023"/>
    <s v="Fri"/>
    <s v="Low"/>
  </r>
  <r>
    <s v="ORD-0027"/>
    <d v="2023-09-01T00:00:00"/>
    <s v="CUST-2917"/>
    <s v="Ishita Bansal"/>
    <s v="North"/>
    <s v="Chandigarh"/>
    <x v="1"/>
    <s v="USB-C Cable"/>
    <n v="2"/>
    <n v="2500"/>
    <n v="0"/>
    <s v="Rahul Sharma"/>
    <n v="5000"/>
    <n v="0"/>
    <n v="5000"/>
    <s v="Sep-2023"/>
    <s v="Q3-2023"/>
    <s v="Fri"/>
    <s v="Low"/>
  </r>
  <r>
    <s v="ORD-0028"/>
    <d v="2023-09-01T00:00:00"/>
    <s v="CUST-5369"/>
    <s v="Aditya Rao"/>
    <s v="Central"/>
    <s v="Indore"/>
    <x v="2"/>
    <s v="Apple Watch Series 8"/>
    <n v="1"/>
    <n v="24800"/>
    <n v="10"/>
    <s v="Kavya Iyer"/>
    <n v="24800"/>
    <n v="2480"/>
    <n v="22320"/>
    <s v="Sep-2023"/>
    <s v="Q3-2023"/>
    <s v="Fri"/>
    <s v="Low"/>
  </r>
  <r>
    <s v="ORD-0029"/>
    <d v="2023-09-01T00:00:00"/>
    <s v="CUST-7724"/>
    <s v="Anjali Gupta"/>
    <s v="Central"/>
    <s v="Bhopal"/>
    <x v="2"/>
    <s v="Mi Band 7"/>
    <n v="1"/>
    <n v="33200"/>
    <n v="5"/>
    <s v="Rohan Mehta"/>
    <n v="33200"/>
    <n v="1660"/>
    <n v="31540"/>
    <s v="Sep-2023"/>
    <s v="Q3-2023"/>
    <s v="Fri"/>
    <s v="Low"/>
  </r>
  <r>
    <s v="ORD-0030"/>
    <d v="2023-10-01T00:00:00"/>
    <s v="CUST-2243"/>
    <s v="Divya Shah"/>
    <s v="East"/>
    <s v="Kolkata"/>
    <x v="4"/>
    <s v="ASUS VivoBook"/>
    <n v="1"/>
    <n v="53600"/>
    <n v="15"/>
    <s v="Kavya Iyer"/>
    <n v="53600"/>
    <n v="8040"/>
    <n v="45560"/>
    <s v="Oct-2023"/>
    <s v="Q4-2023"/>
    <s v="Sun"/>
    <s v="Low"/>
  </r>
  <r>
    <s v="ORD-0031"/>
    <d v="2023-10-01T00:00:00"/>
    <s v="CUST-8962"/>
    <s v="Priya Singh"/>
    <s v="Central"/>
    <s v="Bhopal"/>
    <x v="2"/>
    <s v="Apple Watch Series 8"/>
    <n v="1"/>
    <n v="28000"/>
    <n v="0"/>
    <s v="Rahul Sharma"/>
    <n v="28000"/>
    <n v="0"/>
    <n v="28000"/>
    <s v="Oct-2023"/>
    <s v="Q4-2023"/>
    <s v="Sun"/>
    <s v="Low"/>
  </r>
  <r>
    <s v="ORD-0032"/>
    <d v="2023-10-01T00:00:00"/>
    <s v="CUST-4295"/>
    <s v="Manish Arora"/>
    <s v="North"/>
    <s v="Chandigarh"/>
    <x v="1"/>
    <s v="Webcam"/>
    <n v="2"/>
    <n v="2100"/>
    <n v="15"/>
    <s v="Anjali Gupta"/>
    <n v="4200"/>
    <n v="630"/>
    <n v="3570"/>
    <s v="Oct-2023"/>
    <s v="Q4-2023"/>
    <s v="Sun"/>
    <s v="Low"/>
  </r>
  <r>
    <s v="ORD-0033"/>
    <d v="2023-10-01T00:00:00"/>
    <s v="CUST-4945"/>
    <s v="Ananya Bose"/>
    <s v="North"/>
    <s v="Jaipur"/>
    <x v="1"/>
    <s v="Mechanical Keyboard"/>
    <n v="2"/>
    <n v="1800"/>
    <n v="0"/>
    <s v="Kavya Iyer"/>
    <n v="3600"/>
    <n v="0"/>
    <n v="3600"/>
    <s v="Oct-2023"/>
    <s v="Q4-2023"/>
    <s v="Sun"/>
    <s v="Low"/>
  </r>
  <r>
    <s v="ORD-0034"/>
    <d v="2023-10-01T00:00:00"/>
    <s v="CUST-8995"/>
    <s v="Mohit Saxena"/>
    <s v="Central"/>
    <s v="Raipur"/>
    <x v="3"/>
    <s v="Lenovo Tab P11"/>
    <n v="1"/>
    <n v="23900"/>
    <n v="20"/>
    <s v="Anjali Gupta"/>
    <n v="23900"/>
    <n v="4780"/>
    <n v="19120"/>
    <s v="Oct-2023"/>
    <s v="Q4-2023"/>
    <s v="Sun"/>
    <s v="Low"/>
  </r>
  <r>
    <s v="ORD-0035"/>
    <d v="2023-10-01T00:00:00"/>
    <s v="CUST-5369"/>
    <s v="Aditya Rao"/>
    <s v="South"/>
    <s v="Kochi"/>
    <x v="1"/>
    <s v="Wireless Mouse"/>
    <n v="2"/>
    <n v="1700"/>
    <n v="10"/>
    <s v="Vikram Singh"/>
    <n v="3400"/>
    <n v="340"/>
    <n v="3060"/>
    <s v="Oct-2023"/>
    <s v="Q4-2023"/>
    <s v="Sun"/>
    <s v="Low"/>
  </r>
  <r>
    <s v="ORD-0036"/>
    <d v="2023-11-01T00:00:00"/>
    <s v="CUST-1540"/>
    <s v="Simran Kaur"/>
    <s v="North"/>
    <s v="Jaipur"/>
    <x v="1"/>
    <s v="Wireless Mouse"/>
    <n v="2"/>
    <n v="2700"/>
    <n v="25"/>
    <s v="Rahul Sharma"/>
    <n v="5400"/>
    <n v="1350"/>
    <n v="4050"/>
    <s v="Nov-2023"/>
    <s v="Q4-2023"/>
    <s v="Wed"/>
    <s v="Low"/>
  </r>
  <r>
    <s v="ORD-0037"/>
    <d v="2023-11-01T00:00:00"/>
    <s v="CUST-8593"/>
    <s v="Sneha Sharma"/>
    <s v="East"/>
    <s v="Kolkata"/>
    <x v="2"/>
    <s v="Mi Band 7"/>
    <n v="1"/>
    <n v="26100"/>
    <n v="0"/>
    <s v="Anjali Gupta"/>
    <n v="26100"/>
    <n v="0"/>
    <n v="26100"/>
    <s v="Nov-2023"/>
    <s v="Q4-2023"/>
    <s v="Wed"/>
    <s v="Low"/>
  </r>
  <r>
    <s v="ORD-0038"/>
    <d v="2023-12-01T00:00:00"/>
    <s v="CUST-7808"/>
    <s v="Varun Chopra"/>
    <s v="South"/>
    <s v="Hyderabad"/>
    <x v="1"/>
    <s v="Mechanical Keyboard"/>
    <n v="2"/>
    <n v="2000"/>
    <n v="25"/>
    <s v="Amit Kumar"/>
    <n v="4000"/>
    <n v="1000"/>
    <n v="3000"/>
    <s v="Dec-2023"/>
    <s v="Q4-2023"/>
    <s v="Fri"/>
    <s v="Low"/>
  </r>
  <r>
    <s v="ORD-0039"/>
    <d v="2023-12-01T00:00:00"/>
    <s v="CUST-3922"/>
    <s v="Sakshi Rathore"/>
    <s v="East"/>
    <s v="Kolkata"/>
    <x v="0"/>
    <s v="Realme GT"/>
    <n v="1"/>
    <n v="35000"/>
    <n v="10"/>
    <s v="Amit Kumar"/>
    <n v="35000"/>
    <n v="3500"/>
    <n v="31500"/>
    <s v="Dec-2023"/>
    <s v="Q4-2023"/>
    <s v="Fri"/>
    <s v="Low"/>
  </r>
  <r>
    <s v="ORD-0040"/>
    <d v="2023-12-01T00:00:00"/>
    <s v="CUST-0895"/>
    <s v="Nikhil Jain"/>
    <s v="South"/>
    <s v="Hyderabad"/>
    <x v="4"/>
    <s v="ASUS VivoBook"/>
    <n v="1"/>
    <n v="55400"/>
    <n v="5"/>
    <s v="Priya Patel"/>
    <n v="55400"/>
    <n v="2770"/>
    <n v="52630"/>
    <s v="Dec-2023"/>
    <s v="Q4-2023"/>
    <s v="Fri"/>
    <s v="Medium"/>
  </r>
  <r>
    <s v="ORD-0041"/>
    <d v="2023-01-02T00:00:00"/>
    <s v="CUST-0895"/>
    <s v="Nikhil Jain"/>
    <s v="West"/>
    <s v="Surat"/>
    <x v="4"/>
    <s v="Acer Aspire"/>
    <n v="1"/>
    <n v="70400"/>
    <n v="20"/>
    <s v="Anjali Gupta"/>
    <n v="70400"/>
    <n v="14080"/>
    <n v="56320"/>
    <s v="Jan-2023"/>
    <s v="Q1-2023"/>
    <s v="Mon"/>
    <s v="Medium"/>
  </r>
  <r>
    <s v="ORD-0042"/>
    <d v="2023-01-02T00:00:00"/>
    <s v="CUST-7808"/>
    <s v="Varun Chopra"/>
    <s v="South"/>
    <s v="Hyderabad"/>
    <x v="3"/>
    <s v="Amazon Fire HD"/>
    <n v="2"/>
    <n v="44900"/>
    <n v="0"/>
    <s v="Rohan Mehta"/>
    <n v="89800"/>
    <n v="0"/>
    <n v="89800"/>
    <s v="Jan-2023"/>
    <s v="Q1-2023"/>
    <s v="Mon"/>
    <s v="Medium"/>
  </r>
  <r>
    <s v="ORD-0043"/>
    <d v="2023-01-02T00:00:00"/>
    <s v="CUST-6126"/>
    <s v="Siddharth Tiwari"/>
    <s v="East"/>
    <s v="Patna"/>
    <x v="2"/>
    <s v="Mi Band 7"/>
    <n v="2"/>
    <n v="26500"/>
    <n v="0"/>
    <s v="Kavya Iyer"/>
    <n v="53000"/>
    <n v="0"/>
    <n v="53000"/>
    <s v="Jan-2023"/>
    <s v="Q1-2023"/>
    <s v="Mon"/>
    <s v="Medium"/>
  </r>
  <r>
    <s v="ORD-0044"/>
    <d v="2023-02-02T00:00:00"/>
    <s v="CUST-8905"/>
    <s v="Rahul Kapoor"/>
    <s v="East"/>
    <s v="Kolkata"/>
    <x v="2"/>
    <s v="Fitbit Versa 4"/>
    <n v="1"/>
    <n v="29100"/>
    <n v="25"/>
    <s v="Rahul Sharma"/>
    <n v="29100"/>
    <n v="7275"/>
    <n v="21825"/>
    <s v="Feb-2023"/>
    <s v="Q1-2023"/>
    <s v="Thu"/>
    <s v="Low"/>
  </r>
  <r>
    <s v="ORD-0045"/>
    <d v="2023-02-02T00:00:00"/>
    <s v="CUST-5247"/>
    <s v="Kavya Iyer"/>
    <s v="South"/>
    <s v="Kochi"/>
    <x v="3"/>
    <s v="Amazon Fire HD"/>
    <n v="1"/>
    <n v="45600"/>
    <n v="10"/>
    <s v="Amit Kumar"/>
    <n v="45600"/>
    <n v="4560"/>
    <n v="41040"/>
    <s v="Feb-2023"/>
    <s v="Q1-2023"/>
    <s v="Thu"/>
    <s v="Low"/>
  </r>
  <r>
    <s v="ORD-0046"/>
    <d v="2023-03-02T00:00:00"/>
    <s v="CUST-4761"/>
    <s v="Rajesh Kumar"/>
    <s v="South"/>
    <s v="Chennai"/>
    <x v="4"/>
    <s v="Acer Aspire"/>
    <n v="2"/>
    <n v="57700"/>
    <n v="5"/>
    <s v="Kavya Iyer"/>
    <n v="115400"/>
    <n v="5770"/>
    <n v="109630"/>
    <s v="Mar-2023"/>
    <s v="Q1-2023"/>
    <s v="Thu"/>
    <s v="High"/>
  </r>
  <r>
    <s v="ORD-0047"/>
    <d v="2023-04-02T00:00:00"/>
    <s v="CUST-9929"/>
    <s v="Kunal Dixit"/>
    <s v="North"/>
    <s v="Chandigarh"/>
    <x v="0"/>
    <s v="OnePlus Nord"/>
    <n v="1"/>
    <n v="45200"/>
    <n v="5"/>
    <s v="Anjali Gupta"/>
    <n v="45200"/>
    <n v="2260"/>
    <n v="42940"/>
    <s v="Apr-2023"/>
    <s v="Q2-2023"/>
    <s v="Sun"/>
    <s v="Low"/>
  </r>
  <r>
    <s v="ORD-0048"/>
    <d v="2023-04-02T00:00:00"/>
    <s v="CUST-0895"/>
    <s v="Nikhil Jain"/>
    <s v="West"/>
    <s v="Ahmedabad"/>
    <x v="0"/>
    <s v="Xiaomi 13"/>
    <n v="1"/>
    <n v="27100"/>
    <n v="5"/>
    <s v="Vikram Singh"/>
    <n v="27100"/>
    <n v="1355"/>
    <n v="25745"/>
    <s v="Apr-2023"/>
    <s v="Q2-2023"/>
    <s v="Sun"/>
    <s v="Low"/>
  </r>
  <r>
    <s v="ORD-0049"/>
    <d v="2023-04-02T00:00:00"/>
    <s v="CUST-5247"/>
    <s v="Kavya Iyer"/>
    <s v="East"/>
    <s v="Kolkata"/>
    <x v="4"/>
    <s v="HP Pavilion"/>
    <n v="2"/>
    <n v="56100"/>
    <n v="5"/>
    <s v="Amit Kumar"/>
    <n v="112200"/>
    <n v="5610"/>
    <n v="106590"/>
    <s v="Apr-2023"/>
    <s v="Q2-2023"/>
    <s v="Sun"/>
    <s v="High"/>
  </r>
  <r>
    <s v="ORD-0050"/>
    <d v="2023-04-02T00:00:00"/>
    <s v="CUST-4767"/>
    <s v="Sanjay Joshi"/>
    <s v="North"/>
    <s v="Delhi"/>
    <x v="2"/>
    <s v="Fitbit Versa 4"/>
    <n v="1"/>
    <n v="19300"/>
    <n v="5"/>
    <s v="Vikram Singh"/>
    <n v="19300"/>
    <n v="965"/>
    <n v="18335"/>
    <s v="Apr-2023"/>
    <s v="Q2-2023"/>
    <s v="Sun"/>
    <s v="Low"/>
  </r>
  <r>
    <s v="ORD-0051"/>
    <d v="2023-04-02T00:00:00"/>
    <s v="CUST-4064"/>
    <s v="Nisha Ghosh"/>
    <s v="Central"/>
    <s v="Nagpur"/>
    <x v="4"/>
    <s v="Dell Inspiron"/>
    <n v="1"/>
    <n v="62000"/>
    <n v="25"/>
    <s v="Anjali Gupta"/>
    <n v="62000"/>
    <n v="15500"/>
    <n v="46500"/>
    <s v="Apr-2023"/>
    <s v="Q2-2023"/>
    <s v="Sun"/>
    <s v="Low"/>
  </r>
  <r>
    <s v="ORD-0052"/>
    <d v="2023-04-02T00:00:00"/>
    <s v="CUST-4816"/>
    <s v="Amit Patel"/>
    <s v="East"/>
    <s v="Kolkata"/>
    <x v="2"/>
    <s v="Fitbit Versa 4"/>
    <n v="1"/>
    <n v="27000"/>
    <n v="5"/>
    <s v="Rahul Sharma"/>
    <n v="27000"/>
    <n v="1350"/>
    <n v="25650"/>
    <s v="Apr-2023"/>
    <s v="Q2-2023"/>
    <s v="Sun"/>
    <s v="Low"/>
  </r>
  <r>
    <s v="ORD-0053"/>
    <d v="2023-04-02T00:00:00"/>
    <s v="CUST-5560"/>
    <s v="Swati Nambiar"/>
    <s v="West"/>
    <s v="Ahmedabad"/>
    <x v="0"/>
    <s v="OnePlus Nord"/>
    <n v="1"/>
    <n v="30200"/>
    <n v="25"/>
    <s v="Priya Patel"/>
    <n v="30200"/>
    <n v="7550"/>
    <n v="22650"/>
    <s v="Apr-2023"/>
    <s v="Q2-2023"/>
    <s v="Sun"/>
    <s v="Low"/>
  </r>
  <r>
    <s v="ORD-0054"/>
    <d v="2023-04-02T00:00:00"/>
    <s v="CUST-9969"/>
    <s v="Ritika Menon"/>
    <s v="West"/>
    <s v="Pune"/>
    <x v="4"/>
    <s v="Dell Inspiron"/>
    <n v="2"/>
    <n v="65800"/>
    <n v="5"/>
    <s v="Priya Patel"/>
    <n v="131600"/>
    <n v="6580"/>
    <n v="125020"/>
    <s v="Apr-2023"/>
    <s v="Q2-2023"/>
    <s v="Sun"/>
    <s v="High"/>
  </r>
  <r>
    <s v="ORD-0055"/>
    <d v="2023-04-02T00:00:00"/>
    <s v="CUST-8185"/>
    <s v="Rohan Mehta"/>
    <s v="North"/>
    <s v="Jaipur"/>
    <x v="4"/>
    <s v="ASUS VivoBook"/>
    <n v="1"/>
    <n v="64200"/>
    <n v="5"/>
    <s v="Rahul Sharma"/>
    <n v="64200"/>
    <n v="3210"/>
    <n v="60990"/>
    <s v="Apr-2023"/>
    <s v="Q2-2023"/>
    <s v="Sun"/>
    <s v="Medium"/>
  </r>
  <r>
    <s v="ORD-0056"/>
    <d v="2023-04-02T00:00:00"/>
    <s v="CUST-6453"/>
    <s v="Karan Verma"/>
    <s v="South"/>
    <s v="Kochi"/>
    <x v="4"/>
    <s v="Dell Inspiron"/>
    <n v="2"/>
    <n v="60000"/>
    <n v="5"/>
    <s v="Rohan Mehta"/>
    <n v="120000"/>
    <n v="6000"/>
    <n v="114000"/>
    <s v="Apr-2023"/>
    <s v="Q2-2023"/>
    <s v="Sun"/>
    <s v="High"/>
  </r>
  <r>
    <s v="ORD-0057"/>
    <d v="2023-05-02T00:00:00"/>
    <s v="CUST-2055"/>
    <s v="Shreya Pandey"/>
    <s v="Central"/>
    <s v="Nagpur"/>
    <x v="1"/>
    <s v="Webcam"/>
    <n v="3"/>
    <n v="1600"/>
    <n v="25"/>
    <s v="Rahul Sharma"/>
    <n v="4800"/>
    <n v="1200"/>
    <n v="3600"/>
    <s v="May-2023"/>
    <s v="Q2-2023"/>
    <s v="Tue"/>
    <s v="Low"/>
  </r>
  <r>
    <s v="ORD-0058"/>
    <d v="2023-05-02T00:00:00"/>
    <s v="CUST-9965"/>
    <s v="Neha Agarwal"/>
    <s v="East"/>
    <s v="Ranchi"/>
    <x v="2"/>
    <s v="Samsung Galaxy Watch"/>
    <n v="1"/>
    <n v="35000"/>
    <n v="10"/>
    <s v="Kavya Iyer"/>
    <n v="35000"/>
    <n v="3500"/>
    <n v="31500"/>
    <s v="May-2023"/>
    <s v="Q2-2023"/>
    <s v="Tue"/>
    <s v="Low"/>
  </r>
  <r>
    <s v="ORD-0059"/>
    <d v="2023-06-02T00:00:00"/>
    <s v="CUST-0895"/>
    <s v="Nikhil Jain"/>
    <s v="East"/>
    <s v="Bhubaneswar"/>
    <x v="1"/>
    <s v="USB-C Cable"/>
    <n v="1"/>
    <n v="2100"/>
    <n v="15"/>
    <s v="Vikram Singh"/>
    <n v="2100"/>
    <n v="315"/>
    <n v="1785"/>
    <s v="Jun-2023"/>
    <s v="Q2-2023"/>
    <s v="Fri"/>
    <s v="Low"/>
  </r>
  <r>
    <s v="ORD-0060"/>
    <d v="2023-07-02T00:00:00"/>
    <s v="CUST-8962"/>
    <s v="Priya Singh"/>
    <s v="West"/>
    <s v="Mumbai"/>
    <x v="3"/>
    <s v="Lenovo Tab P11"/>
    <n v="1"/>
    <n v="31100"/>
    <n v="0"/>
    <s v="Rohan Mehta"/>
    <n v="31100"/>
    <n v="0"/>
    <n v="31100"/>
    <s v="Jul-2023"/>
    <s v="Q3-2023"/>
    <s v="Sun"/>
    <s v="Low"/>
  </r>
  <r>
    <s v="ORD-0061"/>
    <d v="2023-08-02T00:00:00"/>
    <s v="CUST-4064"/>
    <s v="Nisha Ghosh"/>
    <s v="North"/>
    <s v="Delhi"/>
    <x v="1"/>
    <s v="Webcam"/>
    <n v="1"/>
    <n v="2500"/>
    <n v="0"/>
    <s v="Rohan Mehta"/>
    <n v="2500"/>
    <n v="0"/>
    <n v="2500"/>
    <s v="Aug-2023"/>
    <s v="Q3-2023"/>
    <s v="Wed"/>
    <s v="Low"/>
  </r>
  <r>
    <s v="ORD-0062"/>
    <d v="2023-08-02T00:00:00"/>
    <s v="CUST-0018"/>
    <s v="Tanvi Kulkarni"/>
    <s v="South"/>
    <s v="Chennai"/>
    <x v="1"/>
    <s v="USB-C Cable"/>
    <n v="1"/>
    <n v="2700"/>
    <n v="25"/>
    <s v="Kavya Iyer"/>
    <n v="2700"/>
    <n v="675"/>
    <n v="2025"/>
    <s v="Aug-2023"/>
    <s v="Q3-2023"/>
    <s v="Wed"/>
    <s v="Low"/>
  </r>
  <r>
    <s v="ORD-0063"/>
    <d v="2023-08-02T00:00:00"/>
    <s v="CUST-3922"/>
    <s v="Sakshi Rathore"/>
    <s v="West"/>
    <s v="Pune"/>
    <x v="0"/>
    <s v="iPhone 14"/>
    <n v="1"/>
    <n v="41200"/>
    <n v="5"/>
    <s v="Kavya Iyer"/>
    <n v="41200"/>
    <n v="2060"/>
    <n v="39140"/>
    <s v="Aug-2023"/>
    <s v="Q3-2023"/>
    <s v="Wed"/>
    <s v="Low"/>
  </r>
  <r>
    <s v="ORD-0064"/>
    <d v="2023-08-02T00:00:00"/>
    <s v="CUST-8962"/>
    <s v="Priya Singh"/>
    <s v="North"/>
    <s v="Jaipur"/>
    <x v="1"/>
    <s v="Wireless Mouse"/>
    <n v="3"/>
    <n v="1700"/>
    <n v="10"/>
    <s v="Vikram Singh"/>
    <n v="5100"/>
    <n v="510"/>
    <n v="4590"/>
    <s v="Aug-2023"/>
    <s v="Q3-2023"/>
    <s v="Wed"/>
    <s v="Low"/>
  </r>
  <r>
    <s v="ORD-0065"/>
    <d v="2023-09-02T00:00:00"/>
    <s v="CUST-9965"/>
    <s v="Neha Agarwal"/>
    <s v="Central"/>
    <s v="Bhopal"/>
    <x v="2"/>
    <s v="Samsung Galaxy Watch"/>
    <n v="1"/>
    <n v="21600"/>
    <n v="10"/>
    <s v="Kavya Iyer"/>
    <n v="21600"/>
    <n v="2160"/>
    <n v="19440"/>
    <s v="Sep-2023"/>
    <s v="Q3-2023"/>
    <s v="Sat"/>
    <s v="Low"/>
  </r>
  <r>
    <s v="ORD-0066"/>
    <d v="2023-09-02T00:00:00"/>
    <s v="CUST-1540"/>
    <s v="Simran Kaur"/>
    <s v="East"/>
    <s v="Bhubaneswar"/>
    <x v="4"/>
    <s v="Lenovo ThinkPad"/>
    <n v="1"/>
    <n v="55200"/>
    <n v="10"/>
    <s v="Kavya Iyer"/>
    <n v="55200"/>
    <n v="5520"/>
    <n v="49680"/>
    <s v="Sep-2023"/>
    <s v="Q3-2023"/>
    <s v="Sat"/>
    <s v="Low"/>
  </r>
  <r>
    <s v="ORD-0067"/>
    <d v="2023-09-02T00:00:00"/>
    <s v="CUST-8185"/>
    <s v="Rohan Mehta"/>
    <s v="North"/>
    <s v="Jaipur"/>
    <x v="1"/>
    <s v="Wireless Mouse"/>
    <n v="2"/>
    <n v="1900"/>
    <n v="0"/>
    <s v="Anjali Gupta"/>
    <n v="3800"/>
    <n v="0"/>
    <n v="3800"/>
    <s v="Sep-2023"/>
    <s v="Q3-2023"/>
    <s v="Sat"/>
    <s v="Low"/>
  </r>
  <r>
    <s v="ORD-0068"/>
    <d v="2023-09-02T00:00:00"/>
    <s v="CUST-7724"/>
    <s v="Anjali Gupta"/>
    <s v="South"/>
    <s v="Hyderabad"/>
    <x v="3"/>
    <s v="Lenovo Tab P11"/>
    <n v="1"/>
    <n v="25900"/>
    <n v="0"/>
    <s v="Sneha Reddy"/>
    <n v="25900"/>
    <n v="0"/>
    <n v="25900"/>
    <s v="Sep-2023"/>
    <s v="Q3-2023"/>
    <s v="Sat"/>
    <s v="Low"/>
  </r>
  <r>
    <s v="ORD-0069"/>
    <d v="2023-11-02T00:00:00"/>
    <s v="CUST-5060"/>
    <s v="Gaurav Bhatt"/>
    <s v="South"/>
    <s v="Chennai"/>
    <x v="4"/>
    <s v="Lenovo ThinkPad"/>
    <n v="2"/>
    <n v="63200"/>
    <n v="0"/>
    <s v="Amit Kumar"/>
    <n v="126400"/>
    <n v="0"/>
    <n v="126400"/>
    <s v="Nov-2023"/>
    <s v="Q4-2023"/>
    <s v="Thu"/>
    <s v="High"/>
  </r>
  <r>
    <s v="ORD-0070"/>
    <d v="2023-11-02T00:00:00"/>
    <s v="CUST-7808"/>
    <s v="Varun Chopra"/>
    <s v="Central"/>
    <s v="Bhopal"/>
    <x v="2"/>
    <s v="Fitbit Versa 4"/>
    <n v="1"/>
    <n v="30500"/>
    <n v="0"/>
    <s v="Rohan Mehta"/>
    <n v="30500"/>
    <n v="0"/>
    <n v="30500"/>
    <s v="Nov-2023"/>
    <s v="Q4-2023"/>
    <s v="Thu"/>
    <s v="Low"/>
  </r>
  <r>
    <s v="ORD-0071"/>
    <d v="2023-11-02T00:00:00"/>
    <s v="CUST-3922"/>
    <s v="Sakshi Rathore"/>
    <s v="South"/>
    <s v="Bangalore"/>
    <x v="3"/>
    <s v="iPad Air"/>
    <n v="1"/>
    <n v="31000"/>
    <n v="15"/>
    <s v="Anjali Gupta"/>
    <n v="31000"/>
    <n v="4650"/>
    <n v="26350"/>
    <s v="Nov-2023"/>
    <s v="Q4-2023"/>
    <s v="Thu"/>
    <s v="Low"/>
  </r>
  <r>
    <s v="ORD-0072"/>
    <d v="2023-11-02T00:00:00"/>
    <s v="CUST-0354"/>
    <s v="Meera Chawla"/>
    <s v="Central"/>
    <s v="Bhopal"/>
    <x v="0"/>
    <s v="iPhone 14"/>
    <n v="1"/>
    <n v="26600"/>
    <n v="20"/>
    <s v="Rahul Sharma"/>
    <n v="26600"/>
    <n v="5320"/>
    <n v="21280"/>
    <s v="Nov-2023"/>
    <s v="Q4-2023"/>
    <s v="Thu"/>
    <s v="Low"/>
  </r>
  <r>
    <s v="ORD-0073"/>
    <d v="2023-12-02T00:00:00"/>
    <s v="CUST-1200"/>
    <s v="Pallavi Krishnan"/>
    <s v="North"/>
    <s v="Jaipur"/>
    <x v="1"/>
    <s v="Laptop Bag"/>
    <n v="2"/>
    <n v="1200"/>
    <n v="25"/>
    <s v="Kavya Iyer"/>
    <n v="2400"/>
    <n v="600"/>
    <n v="1800"/>
    <s v="Dec-2023"/>
    <s v="Q4-2023"/>
    <s v="Sat"/>
    <s v="Low"/>
  </r>
  <r>
    <s v="ORD-0074"/>
    <d v="2023-12-02T00:00:00"/>
    <s v="CUST-2917"/>
    <s v="Ishita Bansal"/>
    <s v="West"/>
    <s v="Surat"/>
    <x v="1"/>
    <s v="Webcam"/>
    <n v="2"/>
    <n v="2100"/>
    <n v="15"/>
    <s v="Anjali Gupta"/>
    <n v="4200"/>
    <n v="630"/>
    <n v="3570"/>
    <s v="Dec-2023"/>
    <s v="Q4-2023"/>
    <s v="Sat"/>
    <s v="Low"/>
  </r>
  <r>
    <s v="ORD-0075"/>
    <d v="2023-12-02T00:00:00"/>
    <s v="CUST-6126"/>
    <s v="Siddharth Tiwari"/>
    <s v="West"/>
    <s v="Ahmedabad"/>
    <x v="0"/>
    <s v="iPhone 14"/>
    <n v="1"/>
    <n v="21600"/>
    <n v="5"/>
    <s v="Amit Kumar"/>
    <n v="21600"/>
    <n v="1080"/>
    <n v="20520"/>
    <s v="Dec-2023"/>
    <s v="Q4-2023"/>
    <s v="Sat"/>
    <s v="Low"/>
  </r>
  <r>
    <s v="ORD-0076"/>
    <d v="2023-12-02T00:00:00"/>
    <s v="CUST-4767"/>
    <s v="Sanjay Joshi"/>
    <s v="Central"/>
    <s v="Raipur"/>
    <x v="1"/>
    <s v="Mechanical Keyboard"/>
    <n v="2"/>
    <n v="2300"/>
    <n v="25"/>
    <s v="Anjali Gupta"/>
    <n v="4600"/>
    <n v="1150"/>
    <n v="3450"/>
    <s v="Dec-2023"/>
    <s v="Q4-2023"/>
    <s v="Sat"/>
    <s v="Low"/>
  </r>
  <r>
    <s v="ORD-0077"/>
    <d v="2023-12-02T00:00:00"/>
    <s v="CUST-3922"/>
    <s v="Sakshi Rathore"/>
    <s v="North"/>
    <s v="Delhi"/>
    <x v="1"/>
    <s v="Mechanical Keyboard"/>
    <n v="2"/>
    <n v="3000"/>
    <n v="0"/>
    <s v="Kavya Iyer"/>
    <n v="6000"/>
    <n v="0"/>
    <n v="6000"/>
    <s v="Dec-2023"/>
    <s v="Q4-2023"/>
    <s v="Sat"/>
    <s v="Low"/>
  </r>
  <r>
    <s v="ORD-0078"/>
    <d v="2023-12-02T00:00:00"/>
    <s v="CUST-8185"/>
    <s v="Rohan Mehta"/>
    <s v="North"/>
    <s v="Delhi"/>
    <x v="1"/>
    <s v="USB-C Cable"/>
    <n v="3"/>
    <n v="1800"/>
    <n v="10"/>
    <s v="Rahul Sharma"/>
    <n v="5400"/>
    <n v="540"/>
    <n v="4860"/>
    <s v="Dec-2023"/>
    <s v="Q4-2023"/>
    <s v="Sat"/>
    <s v="Low"/>
  </r>
  <r>
    <s v="ORD-0079"/>
    <d v="2023-12-02T00:00:00"/>
    <s v="CUST-9929"/>
    <s v="Kunal Dixit"/>
    <s v="North"/>
    <s v="Jaipur"/>
    <x v="3"/>
    <s v="Samsung Tab S8"/>
    <n v="1"/>
    <n v="45000"/>
    <n v="5"/>
    <s v="Anjali Gupta"/>
    <n v="45000"/>
    <n v="2250"/>
    <n v="42750"/>
    <s v="Dec-2023"/>
    <s v="Q4-2023"/>
    <s v="Sat"/>
    <s v="Low"/>
  </r>
  <r>
    <s v="ORD-0080"/>
    <d v="2023-01-03T00:00:00"/>
    <s v="CUST-2055"/>
    <s v="Shreya Pandey"/>
    <s v="East"/>
    <s v="Bhubaneswar"/>
    <x v="0"/>
    <s v="Xiaomi 13"/>
    <n v="1"/>
    <n v="50900"/>
    <n v="5"/>
    <s v="Amit Kumar"/>
    <n v="50900"/>
    <n v="2545"/>
    <n v="48355"/>
    <s v="Jan-2023"/>
    <s v="Q1-2023"/>
    <s v="Tue"/>
    <s v="Low"/>
  </r>
  <r>
    <s v="ORD-0081"/>
    <d v="2023-01-03T00:00:00"/>
    <s v="CUST-6453"/>
    <s v="Karan Verma"/>
    <s v="West"/>
    <s v="Ahmedabad"/>
    <x v="0"/>
    <s v="iPhone 14"/>
    <n v="1"/>
    <n v="29800"/>
    <n v="25"/>
    <s v="Kavya Iyer"/>
    <n v="29800"/>
    <n v="7450"/>
    <n v="22350"/>
    <s v="Jan-2023"/>
    <s v="Q1-2023"/>
    <s v="Tue"/>
    <s v="Low"/>
  </r>
  <r>
    <s v="ORD-0082"/>
    <d v="2023-01-03T00:00:00"/>
    <s v="CUST-6295"/>
    <s v="Arjun Nair"/>
    <s v="East"/>
    <s v="Ranchi"/>
    <x v="3"/>
    <s v="Amazon Fire HD"/>
    <n v="1"/>
    <n v="49700"/>
    <n v="10"/>
    <s v="Rahul Sharma"/>
    <n v="49700"/>
    <n v="4970"/>
    <n v="44730"/>
    <s v="Jan-2023"/>
    <s v="Q1-2023"/>
    <s v="Tue"/>
    <s v="Low"/>
  </r>
  <r>
    <s v="ORD-0083"/>
    <d v="2023-01-03T00:00:00"/>
    <s v="CUST-0354"/>
    <s v="Meera Chawla"/>
    <s v="East"/>
    <s v="Kolkata"/>
    <x v="2"/>
    <s v="Apple Watch Series 8"/>
    <n v="1"/>
    <n v="26200"/>
    <n v="10"/>
    <s v="Rahul Sharma"/>
    <n v="26200"/>
    <n v="2620"/>
    <n v="23580"/>
    <s v="Jan-2023"/>
    <s v="Q1-2023"/>
    <s v="Tue"/>
    <s v="Low"/>
  </r>
  <r>
    <s v="ORD-0084"/>
    <d v="2023-01-03T00:00:00"/>
    <s v="CUST-8995"/>
    <s v="Mohit Saxena"/>
    <s v="East"/>
    <s v="Ranchi"/>
    <x v="0"/>
    <s v="Samsung Galaxy S23"/>
    <n v="1"/>
    <n v="23100"/>
    <n v="0"/>
    <s v="Rahul Sharma"/>
    <n v="23100"/>
    <n v="0"/>
    <n v="23100"/>
    <s v="Jan-2023"/>
    <s v="Q1-2023"/>
    <s v="Tue"/>
    <s v="Low"/>
  </r>
  <r>
    <s v="ORD-0085"/>
    <d v="2023-01-03T00:00:00"/>
    <s v="CUST-3922"/>
    <s v="Sakshi Rathore"/>
    <s v="North"/>
    <s v="Jaipur"/>
    <x v="3"/>
    <s v="iPad Air"/>
    <n v="1"/>
    <n v="20800"/>
    <n v="10"/>
    <s v="Sneha Reddy"/>
    <n v="20800"/>
    <n v="2080"/>
    <n v="18720"/>
    <s v="Jan-2023"/>
    <s v="Q1-2023"/>
    <s v="Tue"/>
    <s v="Low"/>
  </r>
  <r>
    <s v="ORD-0086"/>
    <d v="2023-02-03T00:00:00"/>
    <s v="CUST-9929"/>
    <s v="Kunal Dixit"/>
    <s v="East"/>
    <s v="Ranchi"/>
    <x v="1"/>
    <s v="Webcam"/>
    <n v="2"/>
    <n v="1000"/>
    <n v="10"/>
    <s v="Priya Patel"/>
    <n v="2000"/>
    <n v="200"/>
    <n v="1800"/>
    <s v="Feb-2023"/>
    <s v="Q1-2023"/>
    <s v="Fri"/>
    <s v="Low"/>
  </r>
  <r>
    <s v="ORD-0087"/>
    <d v="2023-02-03T00:00:00"/>
    <s v="CUST-0354"/>
    <s v="Meera Chawla"/>
    <s v="South"/>
    <s v="Hyderabad"/>
    <x v="0"/>
    <s v="Xiaomi 13"/>
    <n v="1"/>
    <n v="21500"/>
    <n v="10"/>
    <s v="Amit Kumar"/>
    <n v="21500"/>
    <n v="2150"/>
    <n v="19350"/>
    <s v="Feb-2023"/>
    <s v="Q1-2023"/>
    <s v="Fri"/>
    <s v="Low"/>
  </r>
  <r>
    <s v="ORD-0088"/>
    <d v="2023-02-03T00:00:00"/>
    <s v="CUST-8962"/>
    <s v="Priya Singh"/>
    <s v="East"/>
    <s v="Ranchi"/>
    <x v="0"/>
    <s v="Realme GT"/>
    <n v="2"/>
    <n v="36800"/>
    <n v="25"/>
    <s v="Amit Kumar"/>
    <n v="73600"/>
    <n v="18400"/>
    <n v="55200"/>
    <s v="Feb-2023"/>
    <s v="Q1-2023"/>
    <s v="Fri"/>
    <s v="Medium"/>
  </r>
  <r>
    <s v="ORD-0089"/>
    <d v="2023-03-03T00:00:00"/>
    <s v="CUST-8923"/>
    <s v="Pooja Desai"/>
    <s v="Central"/>
    <s v="Raipur"/>
    <x v="3"/>
    <s v="iPad Air"/>
    <n v="1"/>
    <n v="50000"/>
    <n v="0"/>
    <s v="Rohan Mehta"/>
    <n v="50000"/>
    <n v="0"/>
    <n v="50000"/>
    <s v="Mar-2023"/>
    <s v="Q1-2023"/>
    <s v="Fri"/>
    <s v="Medium"/>
  </r>
  <r>
    <s v="ORD-0090"/>
    <d v="2023-03-03T00:00:00"/>
    <s v="CUST-6295"/>
    <s v="Arjun Nair"/>
    <s v="West"/>
    <s v="Pune"/>
    <x v="0"/>
    <s v="iPhone 14"/>
    <n v="1"/>
    <n v="45900"/>
    <n v="5"/>
    <s v="Rahul Sharma"/>
    <n v="45900"/>
    <n v="2295"/>
    <n v="43605"/>
    <s v="Mar-2023"/>
    <s v="Q1-2023"/>
    <s v="Fri"/>
    <s v="Low"/>
  </r>
  <r>
    <s v="ORD-0091"/>
    <d v="2023-03-03T00:00:00"/>
    <s v="CUST-4767"/>
    <s v="Sanjay Joshi"/>
    <s v="South"/>
    <s v="Hyderabad"/>
    <x v="4"/>
    <s v="Acer Aspire"/>
    <n v="1"/>
    <n v="47900"/>
    <n v="0"/>
    <s v="Sneha Reddy"/>
    <n v="47900"/>
    <n v="0"/>
    <n v="47900"/>
    <s v="Mar-2023"/>
    <s v="Q1-2023"/>
    <s v="Fri"/>
    <s v="Low"/>
  </r>
  <r>
    <s v="ORD-0092"/>
    <d v="2023-04-03T00:00:00"/>
    <s v="CUST-5055"/>
    <s v="Riya Malhotra"/>
    <s v="Central"/>
    <s v="Indore"/>
    <x v="2"/>
    <s v="Fitbit Versa 4"/>
    <n v="1"/>
    <n v="19000"/>
    <n v="0"/>
    <s v="Sneha Reddy"/>
    <n v="19000"/>
    <n v="0"/>
    <n v="19000"/>
    <s v="Apr-2023"/>
    <s v="Q2-2023"/>
    <s v="Mon"/>
    <s v="Low"/>
  </r>
  <r>
    <s v="ORD-0093"/>
    <d v="2023-04-03T00:00:00"/>
    <s v="CUST-0895"/>
    <s v="Nikhil Jain"/>
    <s v="Central"/>
    <s v="Raipur"/>
    <x v="1"/>
    <s v="Wireless Mouse"/>
    <n v="2"/>
    <n v="2200"/>
    <n v="15"/>
    <s v="Rohan Mehta"/>
    <n v="4400"/>
    <n v="660"/>
    <n v="3740"/>
    <s v="Apr-2023"/>
    <s v="Q2-2023"/>
    <s v="Mon"/>
    <s v="Low"/>
  </r>
  <r>
    <s v="ORD-0094"/>
    <d v="2023-05-03T00:00:00"/>
    <s v="CUST-1661"/>
    <s v="Harsh Sinha"/>
    <s v="Central"/>
    <s v="Indore"/>
    <x v="2"/>
    <s v="Fitbit Versa 4"/>
    <n v="2"/>
    <n v="32100"/>
    <n v="15"/>
    <s v="Priya Patel"/>
    <n v="64200"/>
    <n v="9630"/>
    <n v="54570"/>
    <s v="May-2023"/>
    <s v="Q2-2023"/>
    <s v="Wed"/>
    <s v="Medium"/>
  </r>
  <r>
    <s v="ORD-0095"/>
    <d v="2023-05-03T00:00:00"/>
    <s v="CUST-8995"/>
    <s v="Mohit Saxena"/>
    <s v="East"/>
    <s v="Ranchi"/>
    <x v="0"/>
    <s v="OnePlus Nord"/>
    <n v="1"/>
    <n v="46700"/>
    <n v="15"/>
    <s v="Priya Patel"/>
    <n v="46700"/>
    <n v="7005"/>
    <n v="39695"/>
    <s v="May-2023"/>
    <s v="Q2-2023"/>
    <s v="Wed"/>
    <s v="Low"/>
  </r>
  <r>
    <s v="ORD-0096"/>
    <d v="2023-06-03T00:00:00"/>
    <s v="CUST-7724"/>
    <s v="Anjali Gupta"/>
    <s v="West"/>
    <s v="Ahmedabad"/>
    <x v="3"/>
    <s v="Amazon Fire HD"/>
    <n v="1"/>
    <n v="23600"/>
    <n v="25"/>
    <s v="Sneha Reddy"/>
    <n v="23600"/>
    <n v="5900"/>
    <n v="17700"/>
    <s v="Jun-2023"/>
    <s v="Q2-2023"/>
    <s v="Sat"/>
    <s v="Low"/>
  </r>
  <r>
    <s v="ORD-0097"/>
    <d v="2023-06-03T00:00:00"/>
    <s v="CUST-8593"/>
    <s v="Sneha Sharma"/>
    <s v="East"/>
    <s v="Kolkata"/>
    <x v="1"/>
    <s v="Wireless Mouse"/>
    <n v="2"/>
    <n v="1100"/>
    <n v="0"/>
    <s v="Sneha Reddy"/>
    <n v="2200"/>
    <n v="0"/>
    <n v="2200"/>
    <s v="Jun-2023"/>
    <s v="Q2-2023"/>
    <s v="Sat"/>
    <s v="Low"/>
  </r>
  <r>
    <s v="ORD-0098"/>
    <d v="2023-06-03T00:00:00"/>
    <s v="CUST-9969"/>
    <s v="Ritika Menon"/>
    <s v="West"/>
    <s v="Mumbai"/>
    <x v="3"/>
    <s v="Lenovo Tab P11"/>
    <n v="1"/>
    <n v="30900"/>
    <n v="5"/>
    <s v="Sneha Reddy"/>
    <n v="30900"/>
    <n v="1545"/>
    <n v="29355"/>
    <s v="Jun-2023"/>
    <s v="Q2-2023"/>
    <s v="Sat"/>
    <s v="Low"/>
  </r>
  <r>
    <s v="ORD-0099"/>
    <d v="2023-07-03T00:00:00"/>
    <s v="CUST-7724"/>
    <s v="Anjali Gupta"/>
    <s v="Central"/>
    <s v="Bhopal"/>
    <x v="3"/>
    <s v="Lenovo Tab P11"/>
    <n v="1"/>
    <n v="20000"/>
    <n v="25"/>
    <s v="Vikram Singh"/>
    <n v="20000"/>
    <n v="5000"/>
    <n v="15000"/>
    <s v="Jul-2023"/>
    <s v="Q3-2023"/>
    <s v="Mon"/>
    <s v="Low"/>
  </r>
  <r>
    <s v="ORD-0100"/>
    <d v="2023-07-03T00:00:00"/>
    <s v="CUST-6967"/>
    <s v="Aarti Shetty"/>
    <s v="North"/>
    <s v="Chandigarh"/>
    <x v="0"/>
    <s v="iPhone 14"/>
    <n v="1"/>
    <n v="49900"/>
    <n v="10"/>
    <s v="Kavya Iyer"/>
    <n v="49900"/>
    <n v="4990"/>
    <n v="44910"/>
    <s v="Jul-2023"/>
    <s v="Q3-2023"/>
    <s v="Mon"/>
    <s v="Low"/>
  </r>
  <r>
    <s v="ORD-0101"/>
    <d v="2023-07-03T00:00:00"/>
    <s v="CUST-8593"/>
    <s v="Sneha Sharma"/>
    <s v="South"/>
    <s v="Hyderabad"/>
    <x v="4"/>
    <s v="HP Pavilion"/>
    <n v="1"/>
    <n v="64600"/>
    <n v="5"/>
    <s v="Amit Kumar"/>
    <n v="64600"/>
    <n v="3230"/>
    <n v="61370"/>
    <s v="Jul-2023"/>
    <s v="Q3-2023"/>
    <s v="Mon"/>
    <s v="Medium"/>
  </r>
  <r>
    <s v="ORD-0102"/>
    <d v="2023-07-03T00:00:00"/>
    <s v="CUST-1661"/>
    <s v="Harsh Sinha"/>
    <s v="West"/>
    <s v="Mumbai"/>
    <x v="2"/>
    <s v="Fitbit Versa 4"/>
    <n v="1"/>
    <n v="11600"/>
    <n v="20"/>
    <s v="Sneha Reddy"/>
    <n v="11600"/>
    <n v="2320"/>
    <n v="9280"/>
    <s v="Jul-2023"/>
    <s v="Q3-2023"/>
    <s v="Mon"/>
    <s v="Low"/>
  </r>
  <r>
    <s v="ORD-0103"/>
    <d v="2023-08-03T00:00:00"/>
    <s v="CUST-4816"/>
    <s v="Amit Patel"/>
    <s v="West"/>
    <s v="Mumbai"/>
    <x v="0"/>
    <s v="OnePlus Nord"/>
    <n v="1"/>
    <n v="32600"/>
    <n v="0"/>
    <s v="Sneha Reddy"/>
    <n v="32600"/>
    <n v="0"/>
    <n v="32600"/>
    <s v="Aug-2023"/>
    <s v="Q3-2023"/>
    <s v="Thu"/>
    <s v="Low"/>
  </r>
  <r>
    <s v="ORD-0104"/>
    <d v="2023-08-03T00:00:00"/>
    <s v="CUST-4414"/>
    <s v="Vikram Reddy"/>
    <s v="East"/>
    <s v="Kolkata"/>
    <x v="3"/>
    <s v="Lenovo Tab P11"/>
    <n v="1"/>
    <n v="39100"/>
    <n v="20"/>
    <s v="Sneha Reddy"/>
    <n v="39100"/>
    <n v="7820"/>
    <n v="31280"/>
    <s v="Aug-2023"/>
    <s v="Q3-2023"/>
    <s v="Thu"/>
    <s v="Low"/>
  </r>
  <r>
    <s v="ORD-0105"/>
    <d v="2023-08-03T00:00:00"/>
    <s v="CUST-4064"/>
    <s v="Nisha Ghosh"/>
    <s v="Central"/>
    <s v="Indore"/>
    <x v="1"/>
    <s v="Mechanical Keyboard"/>
    <n v="2"/>
    <n v="2600"/>
    <n v="5"/>
    <s v="Kavya Iyer"/>
    <n v="5200"/>
    <n v="260"/>
    <n v="4940"/>
    <s v="Aug-2023"/>
    <s v="Q3-2023"/>
    <s v="Thu"/>
    <s v="Low"/>
  </r>
  <r>
    <s v="ORD-0106"/>
    <d v="2023-09-03T00:00:00"/>
    <s v="CUST-8995"/>
    <s v="Mohit Saxena"/>
    <s v="South"/>
    <s v="Chennai"/>
    <x v="1"/>
    <s v="Mechanical Keyboard"/>
    <n v="2"/>
    <n v="2600"/>
    <n v="20"/>
    <s v="Vikram Singh"/>
    <n v="5200"/>
    <n v="1040"/>
    <n v="4160"/>
    <s v="Sep-2023"/>
    <s v="Q3-2023"/>
    <s v="Sun"/>
    <s v="Low"/>
  </r>
  <r>
    <s v="ORD-0107"/>
    <d v="2023-09-03T00:00:00"/>
    <s v="CUST-4767"/>
    <s v="Sanjay Joshi"/>
    <s v="South"/>
    <s v="Hyderabad"/>
    <x v="3"/>
    <s v="iPad Air"/>
    <n v="1"/>
    <n v="28100"/>
    <n v="5"/>
    <s v="Priya Patel"/>
    <n v="28100"/>
    <n v="1405"/>
    <n v="26695"/>
    <s v="Sep-2023"/>
    <s v="Q3-2023"/>
    <s v="Sun"/>
    <s v="Low"/>
  </r>
  <r>
    <s v="ORD-0108"/>
    <d v="2023-09-03T00:00:00"/>
    <s v="CUST-4816"/>
    <s v="Amit Patel"/>
    <s v="South"/>
    <s v="Chennai"/>
    <x v="1"/>
    <s v="Wireless Mouse"/>
    <n v="2"/>
    <n v="900"/>
    <n v="5"/>
    <s v="Amit Kumar"/>
    <n v="1800"/>
    <n v="90"/>
    <n v="1710"/>
    <s v="Sep-2023"/>
    <s v="Q3-2023"/>
    <s v="Sun"/>
    <s v="Low"/>
  </r>
  <r>
    <s v="ORD-0109"/>
    <d v="2023-09-03T00:00:00"/>
    <s v="CUST-6967"/>
    <s v="Aarti Shetty"/>
    <s v="North"/>
    <s v="Chandigarh"/>
    <x v="1"/>
    <s v="Mechanical Keyboard"/>
    <n v="2"/>
    <n v="1900"/>
    <n v="0"/>
    <s v="Rahul Sharma"/>
    <n v="3800"/>
    <n v="0"/>
    <n v="3800"/>
    <s v="Sep-2023"/>
    <s v="Q3-2023"/>
    <s v="Sun"/>
    <s v="Low"/>
  </r>
  <r>
    <s v="ORD-0110"/>
    <d v="2023-09-03T00:00:00"/>
    <s v="CUST-4816"/>
    <s v="Amit Patel"/>
    <s v="Central"/>
    <s v="Indore"/>
    <x v="0"/>
    <s v="Xiaomi 13"/>
    <n v="2"/>
    <n v="31500"/>
    <n v="0"/>
    <s v="Vikram Singh"/>
    <n v="63000"/>
    <n v="0"/>
    <n v="63000"/>
    <s v="Sep-2023"/>
    <s v="Q3-2023"/>
    <s v="Sun"/>
    <s v="Medium"/>
  </r>
  <r>
    <s v="ORD-0111"/>
    <d v="2023-10-03T00:00:00"/>
    <s v="CUST-1200"/>
    <s v="Pallavi Krishnan"/>
    <s v="East"/>
    <s v="Patna"/>
    <x v="0"/>
    <s v="Samsung Galaxy S23"/>
    <n v="1"/>
    <n v="38000"/>
    <n v="25"/>
    <s v="Sneha Reddy"/>
    <n v="38000"/>
    <n v="9500"/>
    <n v="28500"/>
    <s v="Oct-2023"/>
    <s v="Q4-2023"/>
    <s v="Tue"/>
    <s v="Low"/>
  </r>
  <r>
    <s v="ORD-0112"/>
    <d v="2023-10-03T00:00:00"/>
    <s v="CUST-5247"/>
    <s v="Kavya Iyer"/>
    <s v="South"/>
    <s v="Chennai"/>
    <x v="4"/>
    <s v="ASUS VivoBook"/>
    <n v="2"/>
    <n v="57200"/>
    <n v="20"/>
    <s v="Priya Patel"/>
    <n v="114400"/>
    <n v="22880"/>
    <n v="91520"/>
    <s v="Oct-2023"/>
    <s v="Q4-2023"/>
    <s v="Tue"/>
    <s v="Medium"/>
  </r>
  <r>
    <s v="ORD-0113"/>
    <d v="2023-11-03T00:00:00"/>
    <s v="CUST-0018"/>
    <s v="Tanvi Kulkarni"/>
    <s v="Central"/>
    <s v="Indore"/>
    <x v="4"/>
    <s v="Lenovo ThinkPad"/>
    <n v="1"/>
    <n v="50200"/>
    <n v="10"/>
    <s v="Vikram Singh"/>
    <n v="50200"/>
    <n v="5020"/>
    <n v="45180"/>
    <s v="Nov-2023"/>
    <s v="Q4-2023"/>
    <s v="Fri"/>
    <s v="Low"/>
  </r>
  <r>
    <s v="ORD-0114"/>
    <d v="2023-11-03T00:00:00"/>
    <s v="CUST-1661"/>
    <s v="Harsh Sinha"/>
    <s v="North"/>
    <s v="Delhi"/>
    <x v="4"/>
    <s v="Acer Aspire"/>
    <n v="1"/>
    <n v="73000"/>
    <n v="0"/>
    <s v="Amit Kumar"/>
    <n v="73000"/>
    <n v="0"/>
    <n v="73000"/>
    <s v="Nov-2023"/>
    <s v="Q4-2023"/>
    <s v="Fri"/>
    <s v="Medium"/>
  </r>
  <r>
    <s v="ORD-0115"/>
    <d v="2023-11-03T00:00:00"/>
    <s v="CUST-5060"/>
    <s v="Gaurav Bhatt"/>
    <s v="East"/>
    <s v="Ranchi"/>
    <x v="2"/>
    <s v="Mi Band 7"/>
    <n v="1"/>
    <n v="12500"/>
    <n v="5"/>
    <s v="Priya Patel"/>
    <n v="12500"/>
    <n v="625"/>
    <n v="11875"/>
    <s v="Nov-2023"/>
    <s v="Q4-2023"/>
    <s v="Fri"/>
    <s v="Low"/>
  </r>
  <r>
    <s v="ORD-0116"/>
    <d v="2023-11-03T00:00:00"/>
    <s v="CUST-6295"/>
    <s v="Arjun Nair"/>
    <s v="North"/>
    <s v="Delhi"/>
    <x v="0"/>
    <s v="OnePlus Nord"/>
    <n v="1"/>
    <n v="40200"/>
    <n v="5"/>
    <s v="Vikram Singh"/>
    <n v="40200"/>
    <n v="2010"/>
    <n v="38190"/>
    <s v="Nov-2023"/>
    <s v="Q4-2023"/>
    <s v="Fri"/>
    <s v="Low"/>
  </r>
  <r>
    <s v="ORD-0117"/>
    <d v="2023-12-03T00:00:00"/>
    <s v="CUST-5409"/>
    <s v="Akash Pillai"/>
    <s v="Central"/>
    <s v="Nagpur"/>
    <x v="0"/>
    <s v="Samsung Galaxy S23"/>
    <n v="1"/>
    <n v="42500"/>
    <n v="25"/>
    <s v="Sneha Reddy"/>
    <n v="42500"/>
    <n v="10625"/>
    <n v="31875"/>
    <s v="Dec-2023"/>
    <s v="Q4-2023"/>
    <s v="Sun"/>
    <s v="Low"/>
  </r>
  <r>
    <s v="ORD-0118"/>
    <d v="2023-12-03T00:00:00"/>
    <s v="CUST-0354"/>
    <s v="Meera Chawla"/>
    <s v="West"/>
    <s v="Pune"/>
    <x v="4"/>
    <s v="HP Pavilion"/>
    <n v="1"/>
    <n v="48200"/>
    <n v="10"/>
    <s v="Rohan Mehta"/>
    <n v="48200"/>
    <n v="4820"/>
    <n v="43380"/>
    <s v="Dec-2023"/>
    <s v="Q4-2023"/>
    <s v="Sun"/>
    <s v="Low"/>
  </r>
  <r>
    <s v="ORD-0119"/>
    <d v="2023-12-03T00:00:00"/>
    <s v="CUST-7693"/>
    <s v="Sameer Dutta"/>
    <s v="Central"/>
    <s v="Nagpur"/>
    <x v="2"/>
    <s v="Mi Band 7"/>
    <n v="1"/>
    <n v="12600"/>
    <n v="10"/>
    <s v="Sneha Reddy"/>
    <n v="12600"/>
    <n v="1260"/>
    <n v="11340"/>
    <s v="Dec-2023"/>
    <s v="Q4-2023"/>
    <s v="Sun"/>
    <s v="Low"/>
  </r>
  <r>
    <s v="ORD-0120"/>
    <d v="2023-12-03T00:00:00"/>
    <s v="CUST-6295"/>
    <s v="Arjun Nair"/>
    <s v="East"/>
    <s v="Kolkata"/>
    <x v="3"/>
    <s v="Amazon Fire HD"/>
    <n v="1"/>
    <n v="24800"/>
    <n v="0"/>
    <s v="Priya Patel"/>
    <n v="24800"/>
    <n v="0"/>
    <n v="24800"/>
    <s v="Dec-2023"/>
    <s v="Q4-2023"/>
    <s v="Sun"/>
    <s v="Low"/>
  </r>
  <r>
    <s v="ORD-0121"/>
    <d v="2023-01-04T00:00:00"/>
    <s v="CUST-2243"/>
    <s v="Divya Shah"/>
    <s v="South"/>
    <s v="Chennai"/>
    <x v="2"/>
    <s v="Mi Band 7"/>
    <n v="1"/>
    <n v="26400"/>
    <n v="0"/>
    <s v="Rahul Sharma"/>
    <n v="26400"/>
    <n v="0"/>
    <n v="26400"/>
    <s v="Jan-2023"/>
    <s v="Q1-2023"/>
    <s v="Wed"/>
    <s v="Low"/>
  </r>
  <r>
    <s v="ORD-0122"/>
    <d v="2023-02-04T00:00:00"/>
    <s v="CUST-8995"/>
    <s v="Mohit Saxena"/>
    <s v="North"/>
    <s v="Chandigarh"/>
    <x v="2"/>
    <s v="Mi Band 7"/>
    <n v="1"/>
    <n v="23900"/>
    <n v="20"/>
    <s v="Vikram Singh"/>
    <n v="23900"/>
    <n v="4780"/>
    <n v="19120"/>
    <s v="Feb-2023"/>
    <s v="Q1-2023"/>
    <s v="Sat"/>
    <s v="Low"/>
  </r>
  <r>
    <s v="ORD-0123"/>
    <d v="2023-02-04T00:00:00"/>
    <s v="CUST-8962"/>
    <s v="Priya Singh"/>
    <s v="Central"/>
    <s v="Bhopal"/>
    <x v="0"/>
    <s v="OnePlus Nord"/>
    <n v="1"/>
    <n v="60000"/>
    <n v="0"/>
    <s v="Anjali Gupta"/>
    <n v="60000"/>
    <n v="0"/>
    <n v="60000"/>
    <s v="Feb-2023"/>
    <s v="Q1-2023"/>
    <s v="Sat"/>
    <s v="Medium"/>
  </r>
  <r>
    <s v="ORD-0124"/>
    <d v="2023-02-04T00:00:00"/>
    <s v="CUST-2055"/>
    <s v="Shreya Pandey"/>
    <s v="South"/>
    <s v="Bangalore"/>
    <x v="0"/>
    <s v="Realme GT"/>
    <n v="1"/>
    <n v="40000"/>
    <n v="15"/>
    <s v="Rahul Sharma"/>
    <n v="40000"/>
    <n v="6000"/>
    <n v="34000"/>
    <s v="Feb-2023"/>
    <s v="Q1-2023"/>
    <s v="Sat"/>
    <s v="Low"/>
  </r>
  <r>
    <s v="ORD-0125"/>
    <d v="2023-02-04T00:00:00"/>
    <s v="CUST-4414"/>
    <s v="Vikram Reddy"/>
    <s v="Central"/>
    <s v="Raipur"/>
    <x v="1"/>
    <s v="Mechanical Keyboard"/>
    <n v="3"/>
    <n v="1600"/>
    <n v="10"/>
    <s v="Vikram Singh"/>
    <n v="4800"/>
    <n v="480"/>
    <n v="4320"/>
    <s v="Feb-2023"/>
    <s v="Q1-2023"/>
    <s v="Sat"/>
    <s v="Low"/>
  </r>
  <r>
    <s v="ORD-0126"/>
    <d v="2023-03-04T00:00:00"/>
    <s v="CUST-4767"/>
    <s v="Sanjay Joshi"/>
    <s v="South"/>
    <s v="Kochi"/>
    <x v="1"/>
    <s v="Mechanical Keyboard"/>
    <n v="2"/>
    <n v="2000"/>
    <n v="0"/>
    <s v="Kavya Iyer"/>
    <n v="4000"/>
    <n v="0"/>
    <n v="4000"/>
    <s v="Mar-2023"/>
    <s v="Q1-2023"/>
    <s v="Sat"/>
    <s v="Low"/>
  </r>
  <r>
    <s v="ORD-0127"/>
    <d v="2023-03-04T00:00:00"/>
    <s v="CUST-1200"/>
    <s v="Pallavi Krishnan"/>
    <s v="South"/>
    <s v="Kochi"/>
    <x v="1"/>
    <s v="USB-C Cable"/>
    <n v="2"/>
    <n v="1200"/>
    <n v="25"/>
    <s v="Vikram Singh"/>
    <n v="2400"/>
    <n v="600"/>
    <n v="1800"/>
    <s v="Mar-2023"/>
    <s v="Q1-2023"/>
    <s v="Sat"/>
    <s v="Low"/>
  </r>
  <r>
    <s v="ORD-0128"/>
    <d v="2023-03-04T00:00:00"/>
    <s v="CUST-8923"/>
    <s v="Pooja Desai"/>
    <s v="East"/>
    <s v="Patna"/>
    <x v="2"/>
    <s v="Mi Band 7"/>
    <n v="1"/>
    <n v="26200"/>
    <n v="20"/>
    <s v="Sneha Reddy"/>
    <n v="26200"/>
    <n v="5240"/>
    <n v="20960"/>
    <s v="Mar-2023"/>
    <s v="Q1-2023"/>
    <s v="Sat"/>
    <s v="Low"/>
  </r>
  <r>
    <s v="ORD-0129"/>
    <d v="2023-03-04T00:00:00"/>
    <s v="CUST-7724"/>
    <s v="Anjali Gupta"/>
    <s v="South"/>
    <s v="Bangalore"/>
    <x v="1"/>
    <s v="Mechanical Keyboard"/>
    <n v="2"/>
    <n v="2300"/>
    <n v="15"/>
    <s v="Anjali Gupta"/>
    <n v="4600"/>
    <n v="690"/>
    <n v="3910"/>
    <s v="Mar-2023"/>
    <s v="Q1-2023"/>
    <s v="Sat"/>
    <s v="Low"/>
  </r>
  <r>
    <s v="ORD-0130"/>
    <d v="2023-04-04T00:00:00"/>
    <s v="CUST-8185"/>
    <s v="Rohan Mehta"/>
    <s v="Central"/>
    <s v="Nagpur"/>
    <x v="2"/>
    <s v="Fitbit Versa 4"/>
    <n v="1"/>
    <n v="17500"/>
    <n v="25"/>
    <s v="Kavya Iyer"/>
    <n v="17500"/>
    <n v="4375"/>
    <n v="13125"/>
    <s v="Apr-2023"/>
    <s v="Q2-2023"/>
    <s v="Tue"/>
    <s v="Low"/>
  </r>
  <r>
    <s v="ORD-0131"/>
    <d v="2023-04-04T00:00:00"/>
    <s v="CUST-8962"/>
    <s v="Priya Singh"/>
    <s v="West"/>
    <s v="Surat"/>
    <x v="2"/>
    <s v="Fitbit Versa 4"/>
    <n v="1"/>
    <n v="23400"/>
    <n v="0"/>
    <s v="Sneha Reddy"/>
    <n v="23400"/>
    <n v="0"/>
    <n v="23400"/>
    <s v="Apr-2023"/>
    <s v="Q2-2023"/>
    <s v="Tue"/>
    <s v="Low"/>
  </r>
  <r>
    <s v="ORD-0132"/>
    <d v="2023-04-04T00:00:00"/>
    <s v="CUST-6967"/>
    <s v="Aarti Shetty"/>
    <s v="East"/>
    <s v="Ranchi"/>
    <x v="0"/>
    <s v="Samsung Galaxy S23"/>
    <n v="1"/>
    <n v="48500"/>
    <n v="15"/>
    <s v="Priya Patel"/>
    <n v="48500"/>
    <n v="7275"/>
    <n v="41225"/>
    <s v="Apr-2023"/>
    <s v="Q2-2023"/>
    <s v="Tue"/>
    <s v="Low"/>
  </r>
  <r>
    <s v="ORD-0133"/>
    <d v="2023-04-04T00:00:00"/>
    <s v="CUST-4816"/>
    <s v="Amit Patel"/>
    <s v="South"/>
    <s v="Chennai"/>
    <x v="0"/>
    <s v="iPhone 14"/>
    <n v="1"/>
    <n v="49700"/>
    <n v="0"/>
    <s v="Anjali Gupta"/>
    <n v="49700"/>
    <n v="0"/>
    <n v="49700"/>
    <s v="Apr-2023"/>
    <s v="Q2-2023"/>
    <s v="Tue"/>
    <s v="Low"/>
  </r>
  <r>
    <s v="ORD-0134"/>
    <d v="2023-04-04T00:00:00"/>
    <s v="CUST-4064"/>
    <s v="Nisha Ghosh"/>
    <s v="North"/>
    <s v="Chandigarh"/>
    <x v="3"/>
    <s v="Samsung Tab S8"/>
    <n v="1"/>
    <n v="32100"/>
    <n v="15"/>
    <s v="Priya Patel"/>
    <n v="32100"/>
    <n v="4815"/>
    <n v="27285"/>
    <s v="Apr-2023"/>
    <s v="Q2-2023"/>
    <s v="Tue"/>
    <s v="Low"/>
  </r>
  <r>
    <s v="ORD-0135"/>
    <d v="2023-05-04T00:00:00"/>
    <s v="CUST-5560"/>
    <s v="Swati Nambiar"/>
    <s v="East"/>
    <s v="Bhubaneswar"/>
    <x v="0"/>
    <s v="iPhone 14"/>
    <n v="1"/>
    <n v="60000"/>
    <n v="5"/>
    <s v="Anjali Gupta"/>
    <n v="60000"/>
    <n v="3000"/>
    <n v="57000"/>
    <s v="May-2023"/>
    <s v="Q2-2023"/>
    <s v="Thu"/>
    <s v="Medium"/>
  </r>
  <r>
    <s v="ORD-0136"/>
    <d v="2023-05-04T00:00:00"/>
    <s v="CUST-7270"/>
    <s v="Yash Dhawan"/>
    <s v="North"/>
    <s v="Lucknow"/>
    <x v="0"/>
    <s v="Samsung Galaxy S23"/>
    <n v="2"/>
    <n v="57200"/>
    <n v="10"/>
    <s v="Anjali Gupta"/>
    <n v="114400"/>
    <n v="11440"/>
    <n v="102960"/>
    <s v="May-2023"/>
    <s v="Q2-2023"/>
    <s v="Thu"/>
    <s v="High"/>
  </r>
  <r>
    <s v="ORD-0137"/>
    <d v="2023-06-04T00:00:00"/>
    <s v="CUST-1661"/>
    <s v="Harsh Sinha"/>
    <s v="South"/>
    <s v="Kochi"/>
    <x v="1"/>
    <s v="Wireless Mouse"/>
    <n v="2"/>
    <n v="1700"/>
    <n v="5"/>
    <s v="Anjali Gupta"/>
    <n v="3400"/>
    <n v="170"/>
    <n v="3230"/>
    <s v="Jun-2023"/>
    <s v="Q2-2023"/>
    <s v="Sun"/>
    <s v="Low"/>
  </r>
  <r>
    <s v="ORD-0138"/>
    <d v="2023-07-04T00:00:00"/>
    <s v="CUST-5055"/>
    <s v="Riya Malhotra"/>
    <s v="Central"/>
    <s v="Raipur"/>
    <x v="3"/>
    <s v="iPad Air"/>
    <n v="1"/>
    <n v="32500"/>
    <n v="25"/>
    <s v="Rahul Sharma"/>
    <n v="32500"/>
    <n v="8125"/>
    <n v="24375"/>
    <s v="Jul-2023"/>
    <s v="Q3-2023"/>
    <s v="Tue"/>
    <s v="Low"/>
  </r>
  <r>
    <s v="ORD-0139"/>
    <d v="2023-08-04T00:00:00"/>
    <s v="CUST-7693"/>
    <s v="Sameer Dutta"/>
    <s v="East"/>
    <s v="Patna"/>
    <x v="3"/>
    <s v="Samsung Tab S8"/>
    <n v="1"/>
    <n v="31000"/>
    <n v="0"/>
    <s v="Vikram Singh"/>
    <n v="31000"/>
    <n v="0"/>
    <n v="31000"/>
    <s v="Aug-2023"/>
    <s v="Q3-2023"/>
    <s v="Fri"/>
    <s v="Low"/>
  </r>
  <r>
    <s v="ORD-0140"/>
    <d v="2023-08-04T00:00:00"/>
    <s v="CUST-2055"/>
    <s v="Shreya Pandey"/>
    <s v="Central"/>
    <s v="Bhopal"/>
    <x v="4"/>
    <s v="ASUS VivoBook"/>
    <n v="1"/>
    <n v="51200"/>
    <n v="15"/>
    <s v="Priya Patel"/>
    <n v="51200"/>
    <n v="7680"/>
    <n v="43520"/>
    <s v="Aug-2023"/>
    <s v="Q3-2023"/>
    <s v="Fri"/>
    <s v="Low"/>
  </r>
  <r>
    <s v="ORD-0141"/>
    <d v="2023-09-04T00:00:00"/>
    <s v="CUST-9969"/>
    <s v="Ritika Menon"/>
    <s v="East"/>
    <s v="Patna"/>
    <x v="1"/>
    <s v="Webcam"/>
    <n v="2"/>
    <n v="2000"/>
    <n v="5"/>
    <s v="Amit Kumar"/>
    <n v="4000"/>
    <n v="200"/>
    <n v="3800"/>
    <s v="Sep-2023"/>
    <s v="Q3-2023"/>
    <s v="Mon"/>
    <s v="Low"/>
  </r>
  <r>
    <s v="ORD-0142"/>
    <d v="2023-09-04T00:00:00"/>
    <s v="CUST-4761"/>
    <s v="Rajesh Kumar"/>
    <s v="South"/>
    <s v="Kochi"/>
    <x v="4"/>
    <s v="HP Pavilion"/>
    <n v="1"/>
    <n v="44000"/>
    <n v="10"/>
    <s v="Rohan Mehta"/>
    <n v="44000"/>
    <n v="4400"/>
    <n v="39600"/>
    <s v="Sep-2023"/>
    <s v="Q3-2023"/>
    <s v="Mon"/>
    <s v="Low"/>
  </r>
  <r>
    <s v="ORD-0143"/>
    <d v="2023-10-04T00:00:00"/>
    <s v="CUST-8995"/>
    <s v="Mohit Saxena"/>
    <s v="North"/>
    <s v="Chandigarh"/>
    <x v="2"/>
    <s v="Fitbit Versa 4"/>
    <n v="1"/>
    <n v="29400"/>
    <n v="5"/>
    <s v="Anjali Gupta"/>
    <n v="29400"/>
    <n v="1470"/>
    <n v="27930"/>
    <s v="Oct-2023"/>
    <s v="Q4-2023"/>
    <s v="Wed"/>
    <s v="Low"/>
  </r>
  <r>
    <s v="ORD-0144"/>
    <d v="2023-10-04T00:00:00"/>
    <s v="CUST-8905"/>
    <s v="Rahul Kapoor"/>
    <s v="South"/>
    <s v="Bangalore"/>
    <x v="0"/>
    <s v="Realme GT"/>
    <n v="1"/>
    <n v="60000"/>
    <n v="5"/>
    <s v="Anjali Gupta"/>
    <n v="60000"/>
    <n v="3000"/>
    <n v="57000"/>
    <s v="Oct-2023"/>
    <s v="Q4-2023"/>
    <s v="Wed"/>
    <s v="Medium"/>
  </r>
  <r>
    <s v="ORD-0145"/>
    <d v="2023-10-04T00:00:00"/>
    <s v="CUST-8962"/>
    <s v="Priya Singh"/>
    <s v="Central"/>
    <s v="Bhopal"/>
    <x v="2"/>
    <s v="Samsung Galaxy Watch"/>
    <n v="1"/>
    <n v="10300"/>
    <n v="15"/>
    <s v="Priya Patel"/>
    <n v="10300"/>
    <n v="1545"/>
    <n v="8755"/>
    <s v="Oct-2023"/>
    <s v="Q4-2023"/>
    <s v="Wed"/>
    <s v="Low"/>
  </r>
  <r>
    <s v="ORD-0146"/>
    <d v="2023-11-04T00:00:00"/>
    <s v="CUST-4295"/>
    <s v="Manish Arora"/>
    <s v="East"/>
    <s v="Bhubaneswar"/>
    <x v="4"/>
    <s v="Lenovo ThinkPad"/>
    <n v="1"/>
    <n v="63100"/>
    <n v="0"/>
    <s v="Priya Patel"/>
    <n v="63100"/>
    <n v="0"/>
    <n v="63100"/>
    <s v="Nov-2023"/>
    <s v="Q4-2023"/>
    <s v="Sat"/>
    <s v="Medium"/>
  </r>
  <r>
    <s v="ORD-0147"/>
    <d v="2023-11-04T00:00:00"/>
    <s v="CUST-9929"/>
    <s v="Kunal Dixit"/>
    <s v="South"/>
    <s v="Hyderabad"/>
    <x v="0"/>
    <s v="Xiaomi 13"/>
    <n v="1"/>
    <n v="32200"/>
    <n v="0"/>
    <s v="Amit Kumar"/>
    <n v="32200"/>
    <n v="0"/>
    <n v="32200"/>
    <s v="Nov-2023"/>
    <s v="Q4-2023"/>
    <s v="Sat"/>
    <s v="Low"/>
  </r>
  <r>
    <s v="ORD-0148"/>
    <d v="2023-01-05T00:00:00"/>
    <s v="CUST-5409"/>
    <s v="Akash Pillai"/>
    <s v="West"/>
    <s v="Mumbai"/>
    <x v="4"/>
    <s v="Acer Aspire"/>
    <n v="1"/>
    <n v="54100"/>
    <n v="5"/>
    <s v="Vikram Singh"/>
    <n v="54100"/>
    <n v="2705"/>
    <n v="51395"/>
    <s v="Jan-2023"/>
    <s v="Q1-2023"/>
    <s v="Thu"/>
    <s v="Medium"/>
  </r>
  <r>
    <s v="ORD-0149"/>
    <d v="2023-02-05T00:00:00"/>
    <s v="CUST-6295"/>
    <s v="Arjun Nair"/>
    <s v="West"/>
    <s v="Mumbai"/>
    <x v="3"/>
    <s v="Amazon Fire HD"/>
    <n v="1"/>
    <n v="32400"/>
    <n v="0"/>
    <s v="Rohan Mehta"/>
    <n v="32400"/>
    <n v="0"/>
    <n v="32400"/>
    <s v="Feb-2023"/>
    <s v="Q1-2023"/>
    <s v="Sun"/>
    <s v="Low"/>
  </r>
  <r>
    <s v="ORD-0150"/>
    <d v="2023-02-05T00:00:00"/>
    <s v="CUST-8185"/>
    <s v="Rohan Mehta"/>
    <s v="West"/>
    <s v="Ahmedabad"/>
    <x v="0"/>
    <s v="Samsung Galaxy S23"/>
    <n v="1"/>
    <n v="47600"/>
    <n v="15"/>
    <s v="Rohan Mehta"/>
    <n v="47600"/>
    <n v="7140"/>
    <n v="40460"/>
    <s v="Feb-2023"/>
    <s v="Q1-2023"/>
    <s v="Sun"/>
    <s v="Low"/>
  </r>
  <r>
    <s v="ORD-0151"/>
    <d v="2023-03-05T00:00:00"/>
    <s v="CUST-0895"/>
    <s v="Nikhil Jain"/>
    <s v="Central"/>
    <s v="Indore"/>
    <x v="2"/>
    <s v="Fitbit Versa 4"/>
    <n v="1"/>
    <n v="23200"/>
    <n v="0"/>
    <s v="Rahul Sharma"/>
    <n v="23200"/>
    <n v="0"/>
    <n v="23200"/>
    <s v="Mar-2023"/>
    <s v="Q1-2023"/>
    <s v="Sun"/>
    <s v="Low"/>
  </r>
  <r>
    <s v="ORD-0152"/>
    <d v="2023-03-05T00:00:00"/>
    <s v="CUST-6967"/>
    <s v="Aarti Shetty"/>
    <s v="North"/>
    <s v="Delhi"/>
    <x v="2"/>
    <s v="Mi Band 7"/>
    <n v="1"/>
    <n v="15900"/>
    <n v="20"/>
    <s v="Priya Patel"/>
    <n v="15900"/>
    <n v="3180"/>
    <n v="12720"/>
    <s v="Mar-2023"/>
    <s v="Q1-2023"/>
    <s v="Sun"/>
    <s v="Low"/>
  </r>
  <r>
    <s v="ORD-0153"/>
    <d v="2023-03-05T00:00:00"/>
    <s v="CUST-4767"/>
    <s v="Sanjay Joshi"/>
    <s v="South"/>
    <s v="Kochi"/>
    <x v="1"/>
    <s v="Wireless Mouse"/>
    <n v="2"/>
    <n v="1300"/>
    <n v="10"/>
    <s v="Amit Kumar"/>
    <n v="2600"/>
    <n v="260"/>
    <n v="2340"/>
    <s v="Mar-2023"/>
    <s v="Q1-2023"/>
    <s v="Sun"/>
    <s v="Low"/>
  </r>
  <r>
    <s v="ORD-0154"/>
    <d v="2023-04-05T00:00:00"/>
    <s v="CUST-4295"/>
    <s v="Manish Arora"/>
    <s v="South"/>
    <s v="Hyderabad"/>
    <x v="0"/>
    <s v="Samsung Galaxy S23"/>
    <n v="1"/>
    <n v="39900"/>
    <n v="0"/>
    <s v="Rahul Sharma"/>
    <n v="39900"/>
    <n v="0"/>
    <n v="39900"/>
    <s v="Apr-2023"/>
    <s v="Q2-2023"/>
    <s v="Wed"/>
    <s v="Low"/>
  </r>
  <r>
    <s v="ORD-0155"/>
    <d v="2023-04-05T00:00:00"/>
    <s v="CUST-4414"/>
    <s v="Vikram Reddy"/>
    <s v="North"/>
    <s v="Lucknow"/>
    <x v="2"/>
    <s v="Fitbit Versa 4"/>
    <n v="1"/>
    <n v="25500"/>
    <n v="10"/>
    <s v="Rohan Mehta"/>
    <n v="25500"/>
    <n v="2550"/>
    <n v="22950"/>
    <s v="Apr-2023"/>
    <s v="Q2-2023"/>
    <s v="Wed"/>
    <s v="Low"/>
  </r>
  <r>
    <s v="ORD-0156"/>
    <d v="2023-05-05T00:00:00"/>
    <s v="CUST-4064"/>
    <s v="Nisha Ghosh"/>
    <s v="West"/>
    <s v="Surat"/>
    <x v="0"/>
    <s v="Samsung Galaxy S23"/>
    <n v="1"/>
    <n v="44400"/>
    <n v="0"/>
    <s v="Anjali Gupta"/>
    <n v="44400"/>
    <n v="0"/>
    <n v="44400"/>
    <s v="May-2023"/>
    <s v="Q2-2023"/>
    <s v="Fri"/>
    <s v="Low"/>
  </r>
  <r>
    <s v="ORD-0157"/>
    <d v="2023-05-05T00:00:00"/>
    <s v="CUST-1661"/>
    <s v="Harsh Sinha"/>
    <s v="Central"/>
    <s v="Bhopal"/>
    <x v="0"/>
    <s v="Samsung Galaxy S23"/>
    <n v="1"/>
    <n v="48600"/>
    <n v="25"/>
    <s v="Amit Kumar"/>
    <n v="48600"/>
    <n v="12150"/>
    <n v="36450"/>
    <s v="May-2023"/>
    <s v="Q2-2023"/>
    <s v="Fri"/>
    <s v="Low"/>
  </r>
  <r>
    <s v="ORD-0158"/>
    <d v="2023-05-05T00:00:00"/>
    <s v="CUST-5060"/>
    <s v="Gaurav Bhatt"/>
    <s v="East"/>
    <s v="Ranchi"/>
    <x v="1"/>
    <s v="Webcam"/>
    <n v="1"/>
    <n v="2800"/>
    <n v="0"/>
    <s v="Priya Patel"/>
    <n v="2800"/>
    <n v="0"/>
    <n v="2800"/>
    <s v="May-2023"/>
    <s v="Q2-2023"/>
    <s v="Fri"/>
    <s v="Low"/>
  </r>
  <r>
    <s v="ORD-0159"/>
    <d v="2023-05-05T00:00:00"/>
    <s v="CUST-9929"/>
    <s v="Kunal Dixit"/>
    <s v="North"/>
    <s v="Jaipur"/>
    <x v="0"/>
    <s v="Samsung Galaxy S23"/>
    <n v="1"/>
    <n v="27300"/>
    <n v="0"/>
    <s v="Anjali Gupta"/>
    <n v="27300"/>
    <n v="0"/>
    <n v="27300"/>
    <s v="May-2023"/>
    <s v="Q2-2023"/>
    <s v="Fri"/>
    <s v="Low"/>
  </r>
  <r>
    <s v="ORD-0160"/>
    <d v="2023-07-05T00:00:00"/>
    <s v="CUST-2055"/>
    <s v="Shreya Pandey"/>
    <s v="West"/>
    <s v="Mumbai"/>
    <x v="2"/>
    <s v="Fitbit Versa 4"/>
    <n v="1"/>
    <n v="21900"/>
    <n v="15"/>
    <s v="Anjali Gupta"/>
    <n v="21900"/>
    <n v="3285"/>
    <n v="18615"/>
    <s v="Jul-2023"/>
    <s v="Q3-2023"/>
    <s v="Wed"/>
    <s v="Low"/>
  </r>
  <r>
    <s v="ORD-0161"/>
    <d v="2023-07-05T00:00:00"/>
    <s v="CUST-6126"/>
    <s v="Siddharth Tiwari"/>
    <s v="Central"/>
    <s v="Nagpur"/>
    <x v="4"/>
    <s v="ASUS VivoBook"/>
    <n v="2"/>
    <n v="63600"/>
    <n v="20"/>
    <s v="Vikram Singh"/>
    <n v="127200"/>
    <n v="25440"/>
    <n v="101760"/>
    <s v="Jul-2023"/>
    <s v="Q3-2023"/>
    <s v="Wed"/>
    <s v="High"/>
  </r>
  <r>
    <s v="ORD-0162"/>
    <d v="2023-07-05T00:00:00"/>
    <s v="CUST-7724"/>
    <s v="Anjali Gupta"/>
    <s v="East"/>
    <s v="Bhubaneswar"/>
    <x v="4"/>
    <s v="HP Pavilion"/>
    <n v="1"/>
    <n v="59700"/>
    <n v="25"/>
    <s v="Priya Patel"/>
    <n v="59700"/>
    <n v="14925"/>
    <n v="44775"/>
    <s v="Jul-2023"/>
    <s v="Q3-2023"/>
    <s v="Wed"/>
    <s v="Low"/>
  </r>
  <r>
    <s v="ORD-0163"/>
    <d v="2023-07-05T00:00:00"/>
    <s v="CUST-1540"/>
    <s v="Simran Kaur"/>
    <s v="Central"/>
    <s v="Indore"/>
    <x v="4"/>
    <s v="HP Pavilion"/>
    <n v="1"/>
    <n v="48600"/>
    <n v="0"/>
    <s v="Kavya Iyer"/>
    <n v="48600"/>
    <n v="0"/>
    <n v="48600"/>
    <s v="Jul-2023"/>
    <s v="Q3-2023"/>
    <s v="Wed"/>
    <s v="Low"/>
  </r>
  <r>
    <s v="ORD-0164"/>
    <d v="2023-07-05T00:00:00"/>
    <s v="CUST-8593"/>
    <s v="Sneha Sharma"/>
    <s v="South"/>
    <s v="Chennai"/>
    <x v="2"/>
    <s v="Mi Band 7"/>
    <n v="1"/>
    <n v="24800"/>
    <n v="0"/>
    <s v="Priya Patel"/>
    <n v="24800"/>
    <n v="0"/>
    <n v="24800"/>
    <s v="Jul-2023"/>
    <s v="Q3-2023"/>
    <s v="Wed"/>
    <s v="Low"/>
  </r>
  <r>
    <s v="ORD-0165"/>
    <d v="2023-08-05T00:00:00"/>
    <s v="CUST-4945"/>
    <s v="Ananya Bose"/>
    <s v="West"/>
    <s v="Surat"/>
    <x v="4"/>
    <s v="Dell Inspiron"/>
    <n v="2"/>
    <n v="68000"/>
    <n v="0"/>
    <s v="Anjali Gupta"/>
    <n v="136000"/>
    <n v="0"/>
    <n v="136000"/>
    <s v="Aug-2023"/>
    <s v="Q3-2023"/>
    <s v="Sat"/>
    <s v="High"/>
  </r>
  <r>
    <s v="ORD-0166"/>
    <d v="2023-08-05T00:00:00"/>
    <s v="CUST-5369"/>
    <s v="Aditya Rao"/>
    <s v="North"/>
    <s v="Chandigarh"/>
    <x v="0"/>
    <s v="iPhone 14"/>
    <n v="1"/>
    <n v="60000"/>
    <n v="25"/>
    <s v="Anjali Gupta"/>
    <n v="60000"/>
    <n v="15000"/>
    <n v="45000"/>
    <s v="Aug-2023"/>
    <s v="Q3-2023"/>
    <s v="Sat"/>
    <s v="Low"/>
  </r>
  <r>
    <s v="ORD-0167"/>
    <d v="2023-08-05T00:00:00"/>
    <s v="CUST-0354"/>
    <s v="Meera Chawla"/>
    <s v="West"/>
    <s v="Ahmedabad"/>
    <x v="1"/>
    <s v="USB-C Cable"/>
    <n v="3"/>
    <n v="1100"/>
    <n v="5"/>
    <s v="Vikram Singh"/>
    <n v="3300"/>
    <n v="165"/>
    <n v="3135"/>
    <s v="Aug-2023"/>
    <s v="Q3-2023"/>
    <s v="Sat"/>
    <s v="Low"/>
  </r>
  <r>
    <s v="ORD-0168"/>
    <d v="2023-08-05T00:00:00"/>
    <s v="CUST-9969"/>
    <s v="Ritika Menon"/>
    <s v="North"/>
    <s v="Delhi"/>
    <x v="0"/>
    <s v="iPhone 14"/>
    <n v="1"/>
    <n v="49500"/>
    <n v="15"/>
    <s v="Kavya Iyer"/>
    <n v="49500"/>
    <n v="7425"/>
    <n v="42075"/>
    <s v="Aug-2023"/>
    <s v="Q3-2023"/>
    <s v="Sat"/>
    <s v="Low"/>
  </r>
  <r>
    <s v="ORD-0169"/>
    <d v="2023-08-05T00:00:00"/>
    <s v="CUST-8962"/>
    <s v="Priya Singh"/>
    <s v="North"/>
    <s v="Jaipur"/>
    <x v="0"/>
    <s v="OnePlus Nord"/>
    <n v="1"/>
    <n v="46300"/>
    <n v="0"/>
    <s v="Vikram Singh"/>
    <n v="46300"/>
    <n v="0"/>
    <n v="46300"/>
    <s v="Aug-2023"/>
    <s v="Q3-2023"/>
    <s v="Sat"/>
    <s v="Low"/>
  </r>
  <r>
    <s v="ORD-0170"/>
    <d v="2023-08-05T00:00:00"/>
    <s v="CUST-6126"/>
    <s v="Siddharth Tiwari"/>
    <s v="East"/>
    <s v="Kolkata"/>
    <x v="2"/>
    <s v="Fitbit Versa 4"/>
    <n v="1"/>
    <n v="24300"/>
    <n v="15"/>
    <s v="Priya Patel"/>
    <n v="24300"/>
    <n v="3645"/>
    <n v="20655"/>
    <s v="Aug-2023"/>
    <s v="Q3-2023"/>
    <s v="Sat"/>
    <s v="Low"/>
  </r>
  <r>
    <s v="ORD-0171"/>
    <d v="2023-09-05T00:00:00"/>
    <s v="CUST-4414"/>
    <s v="Vikram Reddy"/>
    <s v="East"/>
    <s v="Kolkata"/>
    <x v="0"/>
    <s v="Xiaomi 13"/>
    <n v="1"/>
    <n v="23700"/>
    <n v="5"/>
    <s v="Vikram Singh"/>
    <n v="23700"/>
    <n v="1185"/>
    <n v="22515"/>
    <s v="Sep-2023"/>
    <s v="Q3-2023"/>
    <s v="Tue"/>
    <s v="Low"/>
  </r>
  <r>
    <s v="ORD-0172"/>
    <d v="2023-09-05T00:00:00"/>
    <s v="CUST-8905"/>
    <s v="Rahul Kapoor"/>
    <s v="East"/>
    <s v="Patna"/>
    <x v="4"/>
    <s v="HP Pavilion"/>
    <n v="1"/>
    <n v="62900"/>
    <n v="5"/>
    <s v="Anjali Gupta"/>
    <n v="62900"/>
    <n v="3145"/>
    <n v="59755"/>
    <s v="Sep-2023"/>
    <s v="Q3-2023"/>
    <s v="Tue"/>
    <s v="Medium"/>
  </r>
  <r>
    <s v="ORD-0173"/>
    <d v="2023-09-05T00:00:00"/>
    <s v="CUST-1661"/>
    <s v="Harsh Sinha"/>
    <s v="West"/>
    <s v="Pune"/>
    <x v="1"/>
    <s v="Webcam"/>
    <n v="2"/>
    <n v="1900"/>
    <n v="0"/>
    <s v="Sneha Reddy"/>
    <n v="3800"/>
    <n v="0"/>
    <n v="3800"/>
    <s v="Sep-2023"/>
    <s v="Q3-2023"/>
    <s v="Tue"/>
    <s v="Low"/>
  </r>
  <r>
    <s v="ORD-0174"/>
    <d v="2023-10-05T00:00:00"/>
    <s v="CUST-4767"/>
    <s v="Sanjay Joshi"/>
    <s v="South"/>
    <s v="Chennai"/>
    <x v="0"/>
    <s v="Realme GT"/>
    <n v="1"/>
    <n v="34700"/>
    <n v="20"/>
    <s v="Amit Kumar"/>
    <n v="34700"/>
    <n v="6940"/>
    <n v="27760"/>
    <s v="Oct-2023"/>
    <s v="Q4-2023"/>
    <s v="Thu"/>
    <s v="Low"/>
  </r>
  <r>
    <s v="ORD-0175"/>
    <d v="2023-10-05T00:00:00"/>
    <s v="CUST-8593"/>
    <s v="Sneha Sharma"/>
    <s v="East"/>
    <s v="Bhubaneswar"/>
    <x v="1"/>
    <s v="Wireless Mouse"/>
    <n v="2"/>
    <n v="2000"/>
    <n v="0"/>
    <s v="Sneha Reddy"/>
    <n v="4000"/>
    <n v="0"/>
    <n v="4000"/>
    <s v="Oct-2023"/>
    <s v="Q4-2023"/>
    <s v="Thu"/>
    <s v="Low"/>
  </r>
  <r>
    <s v="ORD-0176"/>
    <d v="2023-11-05T00:00:00"/>
    <s v="CUST-5060"/>
    <s v="Gaurav Bhatt"/>
    <s v="North"/>
    <s v="Jaipur"/>
    <x v="1"/>
    <s v="USB-C Cable"/>
    <n v="2"/>
    <n v="500"/>
    <n v="0"/>
    <s v="Kavya Iyer"/>
    <n v="1000"/>
    <n v="0"/>
    <n v="1000"/>
    <s v="Nov-2023"/>
    <s v="Q4-2023"/>
    <s v="Sun"/>
    <s v="Low"/>
  </r>
  <r>
    <s v="ORD-0177"/>
    <d v="2023-11-05T00:00:00"/>
    <s v="CUST-8995"/>
    <s v="Mohit Saxena"/>
    <s v="South"/>
    <s v="Kochi"/>
    <x v="3"/>
    <s v="Samsung Tab S8"/>
    <n v="1"/>
    <n v="46300"/>
    <n v="10"/>
    <s v="Vikram Singh"/>
    <n v="46300"/>
    <n v="4630"/>
    <n v="41670"/>
    <s v="Nov-2023"/>
    <s v="Q4-2023"/>
    <s v="Sun"/>
    <s v="Low"/>
  </r>
  <r>
    <s v="ORD-0178"/>
    <d v="2023-11-05T00:00:00"/>
    <s v="CUST-8923"/>
    <s v="Pooja Desai"/>
    <s v="Central"/>
    <s v="Nagpur"/>
    <x v="2"/>
    <s v="Samsung Galaxy Watch"/>
    <n v="1"/>
    <n v="25000"/>
    <n v="20"/>
    <s v="Sneha Reddy"/>
    <n v="25000"/>
    <n v="5000"/>
    <n v="20000"/>
    <s v="Nov-2023"/>
    <s v="Q4-2023"/>
    <s v="Sun"/>
    <s v="Low"/>
  </r>
  <r>
    <s v="ORD-0179"/>
    <d v="2023-11-05T00:00:00"/>
    <s v="CUST-0018"/>
    <s v="Tanvi Kulkarni"/>
    <s v="South"/>
    <s v="Bangalore"/>
    <x v="2"/>
    <s v="Mi Band 7"/>
    <n v="1"/>
    <n v="26500"/>
    <n v="0"/>
    <s v="Sneha Reddy"/>
    <n v="26500"/>
    <n v="0"/>
    <n v="26500"/>
    <s v="Nov-2023"/>
    <s v="Q4-2023"/>
    <s v="Sun"/>
    <s v="Low"/>
  </r>
  <r>
    <s v="ORD-0180"/>
    <d v="2023-12-05T00:00:00"/>
    <s v="CUST-5060"/>
    <s v="Gaurav Bhatt"/>
    <s v="East"/>
    <s v="Kolkata"/>
    <x v="0"/>
    <s v="Xiaomi 13"/>
    <n v="1"/>
    <n v="33800"/>
    <n v="25"/>
    <s v="Kavya Iyer"/>
    <n v="33800"/>
    <n v="8450"/>
    <n v="25350"/>
    <s v="Dec-2023"/>
    <s v="Q4-2023"/>
    <s v="Tue"/>
    <s v="Low"/>
  </r>
  <r>
    <s v="ORD-0181"/>
    <d v="2023-12-05T00:00:00"/>
    <s v="CUST-9969"/>
    <s v="Ritika Menon"/>
    <s v="South"/>
    <s v="Hyderabad"/>
    <x v="1"/>
    <s v="Wireless Mouse"/>
    <n v="3"/>
    <n v="2400"/>
    <n v="10"/>
    <s v="Priya Patel"/>
    <n v="7200"/>
    <n v="720"/>
    <n v="6480"/>
    <s v="Dec-2023"/>
    <s v="Q4-2023"/>
    <s v="Tue"/>
    <s v="Low"/>
  </r>
  <r>
    <s v="ORD-0182"/>
    <d v="2023-01-06T00:00:00"/>
    <s v="CUST-6967"/>
    <s v="Aarti Shetty"/>
    <s v="North"/>
    <s v="Lucknow"/>
    <x v="0"/>
    <s v="Realme GT"/>
    <n v="1"/>
    <n v="43000"/>
    <n v="20"/>
    <s v="Sneha Reddy"/>
    <n v="43000"/>
    <n v="8600"/>
    <n v="34400"/>
    <s v="Jan-2023"/>
    <s v="Q1-2023"/>
    <s v="Fri"/>
    <s v="Low"/>
  </r>
  <r>
    <s v="ORD-0183"/>
    <d v="2023-02-06T00:00:00"/>
    <s v="CUST-2243"/>
    <s v="Divya Shah"/>
    <s v="Central"/>
    <s v="Nagpur"/>
    <x v="1"/>
    <s v="Wireless Mouse"/>
    <n v="2"/>
    <n v="1700"/>
    <n v="15"/>
    <s v="Rahul Sharma"/>
    <n v="3400"/>
    <n v="510"/>
    <n v="2890"/>
    <s v="Feb-2023"/>
    <s v="Q1-2023"/>
    <s v="Mon"/>
    <s v="Low"/>
  </r>
  <r>
    <s v="ORD-0184"/>
    <d v="2023-02-06T00:00:00"/>
    <s v="CUST-4414"/>
    <s v="Vikram Reddy"/>
    <s v="North"/>
    <s v="Jaipur"/>
    <x v="4"/>
    <s v="Dell Inspiron"/>
    <n v="1"/>
    <n v="37700"/>
    <n v="10"/>
    <s v="Sneha Reddy"/>
    <n v="37700"/>
    <n v="3770"/>
    <n v="33930"/>
    <s v="Feb-2023"/>
    <s v="Q1-2023"/>
    <s v="Mon"/>
    <s v="Low"/>
  </r>
  <r>
    <s v="ORD-0185"/>
    <d v="2023-02-06T00:00:00"/>
    <s v="CUST-8995"/>
    <s v="Mohit Saxena"/>
    <s v="North"/>
    <s v="Jaipur"/>
    <x v="3"/>
    <s v="Samsung Tab S8"/>
    <n v="1"/>
    <n v="25900"/>
    <n v="10"/>
    <s v="Vikram Singh"/>
    <n v="25900"/>
    <n v="2590"/>
    <n v="23310"/>
    <s v="Feb-2023"/>
    <s v="Q1-2023"/>
    <s v="Mon"/>
    <s v="Low"/>
  </r>
  <r>
    <s v="ORD-0186"/>
    <d v="2023-02-06T00:00:00"/>
    <s v="CUST-8185"/>
    <s v="Rohan Mehta"/>
    <s v="East"/>
    <s v="Kolkata"/>
    <x v="0"/>
    <s v="Realme GT"/>
    <n v="1"/>
    <n v="34100"/>
    <n v="0"/>
    <s v="Sneha Reddy"/>
    <n v="34100"/>
    <n v="0"/>
    <n v="34100"/>
    <s v="Feb-2023"/>
    <s v="Q1-2023"/>
    <s v="Mon"/>
    <s v="Low"/>
  </r>
  <r>
    <s v="ORD-0187"/>
    <d v="2023-03-06T00:00:00"/>
    <s v="CUST-0895"/>
    <s v="Nikhil Jain"/>
    <s v="East"/>
    <s v="Kolkata"/>
    <x v="1"/>
    <s v="Laptop Bag"/>
    <n v="3"/>
    <n v="1800"/>
    <n v="20"/>
    <s v="Amit Kumar"/>
    <n v="5400"/>
    <n v="1080"/>
    <n v="4320"/>
    <s v="Mar-2023"/>
    <s v="Q1-2023"/>
    <s v="Mon"/>
    <s v="Low"/>
  </r>
  <r>
    <s v="ORD-0188"/>
    <d v="2023-03-06T00:00:00"/>
    <s v="CUST-7808"/>
    <s v="Varun Chopra"/>
    <s v="East"/>
    <s v="Patna"/>
    <x v="1"/>
    <s v="Webcam"/>
    <n v="2"/>
    <n v="1600"/>
    <n v="20"/>
    <s v="Kavya Iyer"/>
    <n v="3200"/>
    <n v="640"/>
    <n v="2560"/>
    <s v="Mar-2023"/>
    <s v="Q1-2023"/>
    <s v="Mon"/>
    <s v="Low"/>
  </r>
  <r>
    <s v="ORD-0189"/>
    <d v="2023-03-06T00:00:00"/>
    <s v="CUST-4767"/>
    <s v="Sanjay Joshi"/>
    <s v="West"/>
    <s v="Pune"/>
    <x v="3"/>
    <s v="Lenovo Tab P11"/>
    <n v="1"/>
    <n v="39200"/>
    <n v="15"/>
    <s v="Rahul Sharma"/>
    <n v="39200"/>
    <n v="5880"/>
    <n v="33320"/>
    <s v="Mar-2023"/>
    <s v="Q1-2023"/>
    <s v="Mon"/>
    <s v="Low"/>
  </r>
  <r>
    <s v="ORD-0190"/>
    <d v="2023-04-06T00:00:00"/>
    <s v="CUST-7693"/>
    <s v="Sameer Dutta"/>
    <s v="East"/>
    <s v="Kolkata"/>
    <x v="4"/>
    <s v="Lenovo ThinkPad"/>
    <n v="1"/>
    <n v="53200"/>
    <n v="25"/>
    <s v="Priya Patel"/>
    <n v="53200"/>
    <n v="13300"/>
    <n v="39900"/>
    <s v="Apr-2023"/>
    <s v="Q2-2023"/>
    <s v="Thu"/>
    <s v="Low"/>
  </r>
  <r>
    <s v="ORD-0191"/>
    <d v="2023-05-06T00:00:00"/>
    <s v="CUST-9965"/>
    <s v="Neha Agarwal"/>
    <s v="Central"/>
    <s v="Raipur"/>
    <x v="2"/>
    <s v="Fitbit Versa 4"/>
    <n v="2"/>
    <n v="29000"/>
    <n v="0"/>
    <s v="Priya Patel"/>
    <n v="58000"/>
    <n v="0"/>
    <n v="58000"/>
    <s v="May-2023"/>
    <s v="Q2-2023"/>
    <s v="Sat"/>
    <s v="Medium"/>
  </r>
  <r>
    <s v="ORD-0192"/>
    <d v="2023-05-06T00:00:00"/>
    <s v="CUST-8593"/>
    <s v="Sneha Sharma"/>
    <s v="West"/>
    <s v="Mumbai"/>
    <x v="2"/>
    <s v="Samsung Galaxy Watch"/>
    <n v="1"/>
    <n v="20700"/>
    <n v="25"/>
    <s v="Anjali Gupta"/>
    <n v="20700"/>
    <n v="5175"/>
    <n v="15525"/>
    <s v="May-2023"/>
    <s v="Q2-2023"/>
    <s v="Sat"/>
    <s v="Low"/>
  </r>
  <r>
    <s v="ORD-0193"/>
    <d v="2023-05-06T00:00:00"/>
    <s v="CUST-3922"/>
    <s v="Sakshi Rathore"/>
    <s v="Central"/>
    <s v="Raipur"/>
    <x v="4"/>
    <s v="Acer Aspire"/>
    <n v="1"/>
    <n v="66700"/>
    <n v="10"/>
    <s v="Rahul Sharma"/>
    <n v="66700"/>
    <n v="6670"/>
    <n v="60030"/>
    <s v="May-2023"/>
    <s v="Q2-2023"/>
    <s v="Sat"/>
    <s v="Medium"/>
  </r>
  <r>
    <s v="ORD-0194"/>
    <d v="2023-05-06T00:00:00"/>
    <s v="CUST-4295"/>
    <s v="Manish Arora"/>
    <s v="North"/>
    <s v="Lucknow"/>
    <x v="1"/>
    <s v="Mechanical Keyboard"/>
    <n v="2"/>
    <n v="2900"/>
    <n v="15"/>
    <s v="Rohan Mehta"/>
    <n v="5800"/>
    <n v="870"/>
    <n v="4930"/>
    <s v="May-2023"/>
    <s v="Q2-2023"/>
    <s v="Sat"/>
    <s v="Low"/>
  </r>
  <r>
    <s v="ORD-0195"/>
    <d v="2023-06-06T00:00:00"/>
    <s v="CUST-2243"/>
    <s v="Divya Shah"/>
    <s v="South"/>
    <s v="Hyderabad"/>
    <x v="0"/>
    <s v="Xiaomi 13"/>
    <n v="1"/>
    <n v="59000"/>
    <n v="20"/>
    <s v="Amit Kumar"/>
    <n v="59000"/>
    <n v="11800"/>
    <n v="47200"/>
    <s v="Jun-2023"/>
    <s v="Q2-2023"/>
    <s v="Tue"/>
    <s v="Low"/>
  </r>
  <r>
    <s v="ORD-0196"/>
    <d v="2023-08-06T00:00:00"/>
    <s v="CUST-7808"/>
    <s v="Varun Chopra"/>
    <s v="South"/>
    <s v="Hyderabad"/>
    <x v="1"/>
    <s v="Mechanical Keyboard"/>
    <n v="2"/>
    <n v="1700"/>
    <n v="0"/>
    <s v="Rohan Mehta"/>
    <n v="3400"/>
    <n v="0"/>
    <n v="3400"/>
    <s v="Aug-2023"/>
    <s v="Q3-2023"/>
    <s v="Sun"/>
    <s v="Low"/>
  </r>
  <r>
    <s v="ORD-0197"/>
    <d v="2023-08-06T00:00:00"/>
    <s v="CUST-5055"/>
    <s v="Riya Malhotra"/>
    <s v="South"/>
    <s v="Kochi"/>
    <x v="3"/>
    <s v="Lenovo Tab P11"/>
    <n v="1"/>
    <n v="47300"/>
    <n v="10"/>
    <s v="Kavya Iyer"/>
    <n v="47300"/>
    <n v="4730"/>
    <n v="42570"/>
    <s v="Aug-2023"/>
    <s v="Q3-2023"/>
    <s v="Sun"/>
    <s v="Low"/>
  </r>
  <r>
    <s v="ORD-0198"/>
    <d v="2023-08-06T00:00:00"/>
    <s v="CUST-4414"/>
    <s v="Vikram Reddy"/>
    <s v="North"/>
    <s v="Jaipur"/>
    <x v="0"/>
    <s v="OnePlus Nord"/>
    <n v="1"/>
    <n v="26900"/>
    <n v="0"/>
    <s v="Rahul Sharma"/>
    <n v="26900"/>
    <n v="0"/>
    <n v="26900"/>
    <s v="Aug-2023"/>
    <s v="Q3-2023"/>
    <s v="Sun"/>
    <s v="Low"/>
  </r>
  <r>
    <s v="ORD-0199"/>
    <d v="2023-08-06T00:00:00"/>
    <s v="CUST-5247"/>
    <s v="Kavya Iyer"/>
    <s v="South"/>
    <s v="Chennai"/>
    <x v="1"/>
    <s v="Wireless Mouse"/>
    <n v="3"/>
    <n v="1700"/>
    <n v="10"/>
    <s v="Kavya Iyer"/>
    <n v="5100"/>
    <n v="510"/>
    <n v="4590"/>
    <s v="Aug-2023"/>
    <s v="Q3-2023"/>
    <s v="Sun"/>
    <s v="Low"/>
  </r>
  <r>
    <s v="ORD-0200"/>
    <d v="2023-09-06T00:00:00"/>
    <s v="CUST-7808"/>
    <s v="Varun Chopra"/>
    <s v="South"/>
    <s v="Chennai"/>
    <x v="0"/>
    <s v="iPhone 14"/>
    <n v="1"/>
    <n v="39200"/>
    <n v="0"/>
    <s v="Priya Patel"/>
    <n v="39200"/>
    <n v="0"/>
    <n v="39200"/>
    <s v="Sep-2023"/>
    <s v="Q3-2023"/>
    <s v="Wed"/>
    <s v="Low"/>
  </r>
  <r>
    <s v="ORD-0201"/>
    <d v="2023-09-06T00:00:00"/>
    <s v="CUST-6453"/>
    <s v="Karan Verma"/>
    <s v="North"/>
    <s v="Jaipur"/>
    <x v="0"/>
    <s v="Xiaomi 13"/>
    <n v="1"/>
    <n v="39400"/>
    <n v="20"/>
    <s v="Vikram Singh"/>
    <n v="39400"/>
    <n v="7880"/>
    <n v="31520"/>
    <s v="Sep-2023"/>
    <s v="Q3-2023"/>
    <s v="Wed"/>
    <s v="Low"/>
  </r>
  <r>
    <s v="ORD-0202"/>
    <d v="2023-10-06T00:00:00"/>
    <s v="CUST-1540"/>
    <s v="Simran Kaur"/>
    <s v="North"/>
    <s v="Lucknow"/>
    <x v="2"/>
    <s v="Apple Watch Series 8"/>
    <n v="1"/>
    <n v="30400"/>
    <n v="0"/>
    <s v="Anjali Gupta"/>
    <n v="30400"/>
    <n v="0"/>
    <n v="30400"/>
    <s v="Oct-2023"/>
    <s v="Q4-2023"/>
    <s v="Fri"/>
    <s v="Low"/>
  </r>
  <r>
    <s v="ORD-0203"/>
    <d v="2023-10-06T00:00:00"/>
    <s v="CUST-4064"/>
    <s v="Nisha Ghosh"/>
    <s v="East"/>
    <s v="Kolkata"/>
    <x v="1"/>
    <s v="Webcam"/>
    <n v="1"/>
    <n v="2200"/>
    <n v="5"/>
    <s v="Priya Patel"/>
    <n v="2200"/>
    <n v="110"/>
    <n v="2090"/>
    <s v="Oct-2023"/>
    <s v="Q4-2023"/>
    <s v="Fri"/>
    <s v="Low"/>
  </r>
  <r>
    <s v="ORD-0204"/>
    <d v="2023-10-06T00:00:00"/>
    <s v="CUST-6295"/>
    <s v="Arjun Nair"/>
    <s v="East"/>
    <s v="Kolkata"/>
    <x v="2"/>
    <s v="Samsung Galaxy Watch"/>
    <n v="1"/>
    <n v="24700"/>
    <n v="0"/>
    <s v="Vikram Singh"/>
    <n v="24700"/>
    <n v="0"/>
    <n v="24700"/>
    <s v="Oct-2023"/>
    <s v="Q4-2023"/>
    <s v="Fri"/>
    <s v="Low"/>
  </r>
  <r>
    <s v="ORD-0205"/>
    <d v="2023-11-06T00:00:00"/>
    <s v="CUST-9929"/>
    <s v="Kunal Dixit"/>
    <s v="South"/>
    <s v="Chennai"/>
    <x v="2"/>
    <s v="Fitbit Versa 4"/>
    <n v="1"/>
    <n v="19800"/>
    <n v="0"/>
    <s v="Kavya Iyer"/>
    <n v="19800"/>
    <n v="0"/>
    <n v="19800"/>
    <s v="Nov-2023"/>
    <s v="Q4-2023"/>
    <s v="Mon"/>
    <s v="Low"/>
  </r>
  <r>
    <s v="ORD-0206"/>
    <d v="2023-12-06T00:00:00"/>
    <s v="CUST-0895"/>
    <s v="Nikhil Jain"/>
    <s v="Central"/>
    <s v="Nagpur"/>
    <x v="1"/>
    <s v="Webcam"/>
    <n v="2"/>
    <n v="2700"/>
    <n v="20"/>
    <s v="Rohan Mehta"/>
    <n v="5400"/>
    <n v="1080"/>
    <n v="4320"/>
    <s v="Dec-2023"/>
    <s v="Q4-2023"/>
    <s v="Wed"/>
    <s v="Low"/>
  </r>
  <r>
    <s v="ORD-0207"/>
    <d v="2023-12-06T00:00:00"/>
    <s v="CUST-2055"/>
    <s v="Shreya Pandey"/>
    <s v="North"/>
    <s v="Jaipur"/>
    <x v="3"/>
    <s v="Amazon Fire HD"/>
    <n v="1"/>
    <n v="35000"/>
    <n v="5"/>
    <s v="Priya Patel"/>
    <n v="35000"/>
    <n v="1750"/>
    <n v="33250"/>
    <s v="Dec-2023"/>
    <s v="Q4-2023"/>
    <s v="Wed"/>
    <s v="Low"/>
  </r>
  <r>
    <s v="ORD-0208"/>
    <d v="2023-12-06T00:00:00"/>
    <s v="CUST-5369"/>
    <s v="Aditya Rao"/>
    <s v="West"/>
    <s v="Mumbai"/>
    <x v="1"/>
    <s v="Wireless Mouse"/>
    <n v="2"/>
    <n v="1800"/>
    <n v="10"/>
    <s v="Anjali Gupta"/>
    <n v="3600"/>
    <n v="360"/>
    <n v="3240"/>
    <s v="Dec-2023"/>
    <s v="Q4-2023"/>
    <s v="Wed"/>
    <s v="Low"/>
  </r>
  <r>
    <s v="ORD-0209"/>
    <d v="2023-01-07T00:00:00"/>
    <s v="CUST-2055"/>
    <s v="Shreya Pandey"/>
    <s v="North"/>
    <s v="Jaipur"/>
    <x v="0"/>
    <s v="iPhone 14"/>
    <n v="1"/>
    <n v="27200"/>
    <n v="10"/>
    <s v="Priya Patel"/>
    <n v="27200"/>
    <n v="2720"/>
    <n v="24480"/>
    <s v="Jan-2023"/>
    <s v="Q1-2023"/>
    <s v="Sat"/>
    <s v="Low"/>
  </r>
  <r>
    <s v="ORD-0210"/>
    <d v="2023-01-07T00:00:00"/>
    <s v="CUST-2055"/>
    <s v="Shreya Pandey"/>
    <s v="East"/>
    <s v="Bhubaneswar"/>
    <x v="2"/>
    <s v="Mi Band 7"/>
    <n v="1"/>
    <n v="29800"/>
    <n v="5"/>
    <s v="Sneha Reddy"/>
    <n v="29800"/>
    <n v="1490"/>
    <n v="28310"/>
    <s v="Jan-2023"/>
    <s v="Q1-2023"/>
    <s v="Sat"/>
    <s v="Low"/>
  </r>
  <r>
    <s v="ORD-0211"/>
    <d v="2023-01-07T00:00:00"/>
    <s v="CUST-5409"/>
    <s v="Akash Pillai"/>
    <s v="North"/>
    <s v="Lucknow"/>
    <x v="2"/>
    <s v="Samsung Galaxy Watch"/>
    <n v="2"/>
    <n v="30900"/>
    <n v="0"/>
    <s v="Rohan Mehta"/>
    <n v="61800"/>
    <n v="0"/>
    <n v="61800"/>
    <s v="Jan-2023"/>
    <s v="Q1-2023"/>
    <s v="Sat"/>
    <s v="Medium"/>
  </r>
  <r>
    <s v="ORD-0212"/>
    <d v="2023-02-07T00:00:00"/>
    <s v="CUST-8923"/>
    <s v="Pooja Desai"/>
    <s v="West"/>
    <s v="Surat"/>
    <x v="4"/>
    <s v="ASUS VivoBook"/>
    <n v="1"/>
    <n v="53400"/>
    <n v="0"/>
    <s v="Kavya Iyer"/>
    <n v="53400"/>
    <n v="0"/>
    <n v="53400"/>
    <s v="Feb-2023"/>
    <s v="Q1-2023"/>
    <s v="Tue"/>
    <s v="Medium"/>
  </r>
  <r>
    <s v="ORD-0213"/>
    <d v="2023-02-07T00:00:00"/>
    <s v="CUST-8905"/>
    <s v="Rahul Kapoor"/>
    <s v="North"/>
    <s v="Jaipur"/>
    <x v="3"/>
    <s v="iPad Air"/>
    <n v="1"/>
    <n v="34400"/>
    <n v="25"/>
    <s v="Vikram Singh"/>
    <n v="34400"/>
    <n v="8600"/>
    <n v="25800"/>
    <s v="Feb-2023"/>
    <s v="Q1-2023"/>
    <s v="Tue"/>
    <s v="Low"/>
  </r>
  <r>
    <s v="ORD-0214"/>
    <d v="2023-02-07T00:00:00"/>
    <s v="CUST-5369"/>
    <s v="Aditya Rao"/>
    <s v="West"/>
    <s v="Ahmedabad"/>
    <x v="2"/>
    <s v="Samsung Galaxy Watch"/>
    <n v="1"/>
    <n v="27300"/>
    <n v="10"/>
    <s v="Kavya Iyer"/>
    <n v="27300"/>
    <n v="2730"/>
    <n v="24570"/>
    <s v="Feb-2023"/>
    <s v="Q1-2023"/>
    <s v="Tue"/>
    <s v="Low"/>
  </r>
  <r>
    <s v="ORD-0215"/>
    <d v="2023-03-07T00:00:00"/>
    <s v="CUST-6967"/>
    <s v="Aarti Shetty"/>
    <s v="East"/>
    <s v="Kolkata"/>
    <x v="3"/>
    <s v="iPad Air"/>
    <n v="2"/>
    <n v="31600"/>
    <n v="0"/>
    <s v="Anjali Gupta"/>
    <n v="63200"/>
    <n v="0"/>
    <n v="63200"/>
    <s v="Mar-2023"/>
    <s v="Q1-2023"/>
    <s v="Tue"/>
    <s v="Medium"/>
  </r>
  <r>
    <s v="ORD-0216"/>
    <d v="2023-03-07T00:00:00"/>
    <s v="CUST-8593"/>
    <s v="Sneha Sharma"/>
    <s v="North"/>
    <s v="Lucknow"/>
    <x v="4"/>
    <s v="Dell Inspiron"/>
    <n v="1"/>
    <n v="60100"/>
    <n v="15"/>
    <s v="Amit Kumar"/>
    <n v="60100"/>
    <n v="9015"/>
    <n v="51085"/>
    <s v="Mar-2023"/>
    <s v="Q1-2023"/>
    <s v="Tue"/>
    <s v="Medium"/>
  </r>
  <r>
    <s v="ORD-0217"/>
    <d v="2023-03-07T00:00:00"/>
    <s v="CUST-1661"/>
    <s v="Harsh Sinha"/>
    <s v="East"/>
    <s v="Patna"/>
    <x v="2"/>
    <s v="Apple Watch Series 8"/>
    <n v="1"/>
    <n v="21200"/>
    <n v="10"/>
    <s v="Priya Patel"/>
    <n v="21200"/>
    <n v="2120"/>
    <n v="19080"/>
    <s v="Mar-2023"/>
    <s v="Q1-2023"/>
    <s v="Tue"/>
    <s v="Low"/>
  </r>
  <r>
    <s v="ORD-0218"/>
    <d v="2023-04-07T00:00:00"/>
    <s v="CUST-8962"/>
    <s v="Priya Singh"/>
    <s v="East"/>
    <s v="Kolkata"/>
    <x v="0"/>
    <s v="Samsung Galaxy S23"/>
    <n v="1"/>
    <n v="15000"/>
    <n v="20"/>
    <s v="Amit Kumar"/>
    <n v="15000"/>
    <n v="3000"/>
    <n v="12000"/>
    <s v="Apr-2023"/>
    <s v="Q2-2023"/>
    <s v="Fri"/>
    <s v="Low"/>
  </r>
  <r>
    <s v="ORD-0219"/>
    <d v="2023-04-07T00:00:00"/>
    <s v="CUST-6295"/>
    <s v="Arjun Nair"/>
    <s v="South"/>
    <s v="Kochi"/>
    <x v="4"/>
    <s v="HP Pavilion"/>
    <n v="1"/>
    <n v="57000"/>
    <n v="5"/>
    <s v="Sneha Reddy"/>
    <n v="57000"/>
    <n v="2850"/>
    <n v="54150"/>
    <s v="Apr-2023"/>
    <s v="Q2-2023"/>
    <s v="Fri"/>
    <s v="Medium"/>
  </r>
  <r>
    <s v="ORD-0220"/>
    <d v="2023-05-07T00:00:00"/>
    <s v="CUST-2055"/>
    <s v="Shreya Pandey"/>
    <s v="Central"/>
    <s v="Bhopal"/>
    <x v="2"/>
    <s v="Mi Band 7"/>
    <n v="1"/>
    <n v="19800"/>
    <n v="20"/>
    <s v="Priya Patel"/>
    <n v="19800"/>
    <n v="3960"/>
    <n v="15840"/>
    <s v="May-2023"/>
    <s v="Q2-2023"/>
    <s v="Sun"/>
    <s v="Low"/>
  </r>
  <r>
    <s v="ORD-0221"/>
    <d v="2023-05-07T00:00:00"/>
    <s v="CUST-2243"/>
    <s v="Divya Shah"/>
    <s v="East"/>
    <s v="Ranchi"/>
    <x v="2"/>
    <s v="Fitbit Versa 4"/>
    <n v="1"/>
    <n v="24500"/>
    <n v="25"/>
    <s v="Rahul Sharma"/>
    <n v="24500"/>
    <n v="6125"/>
    <n v="18375"/>
    <s v="May-2023"/>
    <s v="Q2-2023"/>
    <s v="Sun"/>
    <s v="Low"/>
  </r>
  <r>
    <s v="ORD-0222"/>
    <d v="2023-06-07T00:00:00"/>
    <s v="CUST-5247"/>
    <s v="Kavya Iyer"/>
    <s v="South"/>
    <s v="Chennai"/>
    <x v="0"/>
    <s v="Samsung Galaxy S23"/>
    <n v="1"/>
    <n v="21100"/>
    <n v="10"/>
    <s v="Priya Patel"/>
    <n v="21100"/>
    <n v="2110"/>
    <n v="18990"/>
    <s v="Jun-2023"/>
    <s v="Q2-2023"/>
    <s v="Wed"/>
    <s v="Low"/>
  </r>
  <r>
    <s v="ORD-0223"/>
    <d v="2023-06-07T00:00:00"/>
    <s v="CUST-9969"/>
    <s v="Ritika Menon"/>
    <s v="East"/>
    <s v="Kolkata"/>
    <x v="3"/>
    <s v="Amazon Fire HD"/>
    <n v="1"/>
    <n v="44500"/>
    <n v="0"/>
    <s v="Sneha Reddy"/>
    <n v="44500"/>
    <n v="0"/>
    <n v="44500"/>
    <s v="Jun-2023"/>
    <s v="Q2-2023"/>
    <s v="Wed"/>
    <s v="Low"/>
  </r>
  <r>
    <s v="ORD-0224"/>
    <d v="2023-06-07T00:00:00"/>
    <s v="CUST-6126"/>
    <s v="Siddharth Tiwari"/>
    <s v="West"/>
    <s v="Mumbai"/>
    <x v="0"/>
    <s v="Xiaomi 13"/>
    <n v="1"/>
    <n v="43100"/>
    <n v="10"/>
    <s v="Vikram Singh"/>
    <n v="43100"/>
    <n v="4310"/>
    <n v="38790"/>
    <s v="Jun-2023"/>
    <s v="Q2-2023"/>
    <s v="Wed"/>
    <s v="Low"/>
  </r>
  <r>
    <s v="ORD-0225"/>
    <d v="2023-07-07T00:00:00"/>
    <s v="CUST-0018"/>
    <s v="Tanvi Kulkarni"/>
    <s v="South"/>
    <s v="Bangalore"/>
    <x v="2"/>
    <s v="Fitbit Versa 4"/>
    <n v="1"/>
    <n v="25600"/>
    <n v="0"/>
    <s v="Sneha Reddy"/>
    <n v="25600"/>
    <n v="0"/>
    <n v="25600"/>
    <s v="Jul-2023"/>
    <s v="Q3-2023"/>
    <s v="Fri"/>
    <s v="Low"/>
  </r>
  <r>
    <s v="ORD-0226"/>
    <d v="2023-07-07T00:00:00"/>
    <s v="CUST-0895"/>
    <s v="Nikhil Jain"/>
    <s v="Central"/>
    <s v="Indore"/>
    <x v="1"/>
    <s v="Wireless Mouse"/>
    <n v="3"/>
    <n v="1800"/>
    <n v="0"/>
    <s v="Rohan Mehta"/>
    <n v="5400"/>
    <n v="0"/>
    <n v="5400"/>
    <s v="Jul-2023"/>
    <s v="Q3-2023"/>
    <s v="Fri"/>
    <s v="Low"/>
  </r>
  <r>
    <s v="ORD-0227"/>
    <d v="2023-08-07T00:00:00"/>
    <s v="CUST-9965"/>
    <s v="Neha Agarwal"/>
    <s v="Central"/>
    <s v="Nagpur"/>
    <x v="4"/>
    <s v="ASUS VivoBook"/>
    <n v="1"/>
    <n v="48500"/>
    <n v="0"/>
    <s v="Amit Kumar"/>
    <n v="48500"/>
    <n v="0"/>
    <n v="48500"/>
    <s v="Aug-2023"/>
    <s v="Q3-2023"/>
    <s v="Mon"/>
    <s v="Low"/>
  </r>
  <r>
    <s v="ORD-0228"/>
    <d v="2023-08-07T00:00:00"/>
    <s v="CUST-8593"/>
    <s v="Sneha Sharma"/>
    <s v="East"/>
    <s v="Patna"/>
    <x v="0"/>
    <s v="Samsung Galaxy S23"/>
    <n v="1"/>
    <n v="26800"/>
    <n v="5"/>
    <s v="Rohan Mehta"/>
    <n v="26800"/>
    <n v="1340"/>
    <n v="25460"/>
    <s v="Aug-2023"/>
    <s v="Q3-2023"/>
    <s v="Mon"/>
    <s v="Low"/>
  </r>
  <r>
    <s v="ORD-0229"/>
    <d v="2023-08-07T00:00:00"/>
    <s v="CUST-0895"/>
    <s v="Nikhil Jain"/>
    <s v="East"/>
    <s v="Ranchi"/>
    <x v="3"/>
    <s v="iPad Air"/>
    <n v="1"/>
    <n v="36800"/>
    <n v="5"/>
    <s v="Anjali Gupta"/>
    <n v="36800"/>
    <n v="1840"/>
    <n v="34960"/>
    <s v="Aug-2023"/>
    <s v="Q3-2023"/>
    <s v="Mon"/>
    <s v="Low"/>
  </r>
  <r>
    <s v="ORD-0230"/>
    <d v="2023-08-07T00:00:00"/>
    <s v="CUST-5560"/>
    <s v="Swati Nambiar"/>
    <s v="Central"/>
    <s v="Nagpur"/>
    <x v="3"/>
    <s v="Lenovo Tab P11"/>
    <n v="1"/>
    <n v="38300"/>
    <n v="0"/>
    <s v="Kavya Iyer"/>
    <n v="38300"/>
    <n v="0"/>
    <n v="38300"/>
    <s v="Aug-2023"/>
    <s v="Q3-2023"/>
    <s v="Mon"/>
    <s v="Low"/>
  </r>
  <r>
    <s v="ORD-0231"/>
    <d v="2023-09-07T00:00:00"/>
    <s v="CUST-6453"/>
    <s v="Karan Verma"/>
    <s v="West"/>
    <s v="Mumbai"/>
    <x v="2"/>
    <s v="Fitbit Versa 4"/>
    <n v="1"/>
    <n v="13500"/>
    <n v="15"/>
    <s v="Sneha Reddy"/>
    <n v="13500"/>
    <n v="2025"/>
    <n v="11475"/>
    <s v="Sep-2023"/>
    <s v="Q3-2023"/>
    <s v="Thu"/>
    <s v="Low"/>
  </r>
  <r>
    <s v="ORD-0232"/>
    <d v="2023-11-07T00:00:00"/>
    <s v="CUST-4945"/>
    <s v="Ananya Bose"/>
    <s v="Central"/>
    <s v="Indore"/>
    <x v="3"/>
    <s v="Lenovo Tab P11"/>
    <n v="1"/>
    <n v="39200"/>
    <n v="0"/>
    <s v="Vikram Singh"/>
    <n v="39200"/>
    <n v="0"/>
    <n v="39200"/>
    <s v="Nov-2023"/>
    <s v="Q4-2023"/>
    <s v="Tue"/>
    <s v="Low"/>
  </r>
  <r>
    <s v="ORD-0233"/>
    <d v="2023-11-07T00:00:00"/>
    <s v="CUST-8923"/>
    <s v="Pooja Desai"/>
    <s v="West"/>
    <s v="Pune"/>
    <x v="4"/>
    <s v="Dell Inspiron"/>
    <n v="1"/>
    <n v="53500"/>
    <n v="10"/>
    <s v="Sneha Reddy"/>
    <n v="53500"/>
    <n v="5350"/>
    <n v="48150"/>
    <s v="Nov-2023"/>
    <s v="Q4-2023"/>
    <s v="Tue"/>
    <s v="Low"/>
  </r>
  <r>
    <s v="ORD-0234"/>
    <d v="2023-11-07T00:00:00"/>
    <s v="CUST-4816"/>
    <s v="Amit Patel"/>
    <s v="North"/>
    <s v="Jaipur"/>
    <x v="1"/>
    <s v="Webcam"/>
    <n v="3"/>
    <n v="2100"/>
    <n v="25"/>
    <s v="Priya Patel"/>
    <n v="6300"/>
    <n v="1575"/>
    <n v="4725"/>
    <s v="Nov-2023"/>
    <s v="Q4-2023"/>
    <s v="Tue"/>
    <s v="Low"/>
  </r>
  <r>
    <s v="ORD-0235"/>
    <d v="2023-11-07T00:00:00"/>
    <s v="CUST-6126"/>
    <s v="Siddharth Tiwari"/>
    <s v="Central"/>
    <s v="Indore"/>
    <x v="2"/>
    <s v="Mi Band 7"/>
    <n v="1"/>
    <n v="24900"/>
    <n v="15"/>
    <s v="Vikram Singh"/>
    <n v="24900"/>
    <n v="3735"/>
    <n v="21165"/>
    <s v="Nov-2023"/>
    <s v="Q4-2023"/>
    <s v="Tue"/>
    <s v="Low"/>
  </r>
  <r>
    <s v="ORD-0236"/>
    <d v="2023-11-07T00:00:00"/>
    <s v="CUST-8905"/>
    <s v="Rahul Kapoor"/>
    <s v="West"/>
    <s v="Ahmedabad"/>
    <x v="0"/>
    <s v="Realme GT"/>
    <n v="1"/>
    <n v="23500"/>
    <n v="10"/>
    <s v="Sneha Reddy"/>
    <n v="23500"/>
    <n v="2350"/>
    <n v="21150"/>
    <s v="Nov-2023"/>
    <s v="Q4-2023"/>
    <s v="Tue"/>
    <s v="Low"/>
  </r>
  <r>
    <s v="ORD-0237"/>
    <d v="2023-11-07T00:00:00"/>
    <s v="CUST-0354"/>
    <s v="Meera Chawla"/>
    <s v="North"/>
    <s v="Delhi"/>
    <x v="0"/>
    <s v="Xiaomi 13"/>
    <n v="1"/>
    <n v="54300"/>
    <n v="0"/>
    <s v="Rahul Sharma"/>
    <n v="54300"/>
    <n v="0"/>
    <n v="54300"/>
    <s v="Nov-2023"/>
    <s v="Q4-2023"/>
    <s v="Tue"/>
    <s v="Medium"/>
  </r>
  <r>
    <s v="ORD-0238"/>
    <d v="2023-12-07T00:00:00"/>
    <s v="CUST-7270"/>
    <s v="Yash Dhawan"/>
    <s v="East"/>
    <s v="Patna"/>
    <x v="0"/>
    <s v="OnePlus Nord"/>
    <n v="1"/>
    <n v="58200"/>
    <n v="15"/>
    <s v="Amit Kumar"/>
    <n v="58200"/>
    <n v="8730"/>
    <n v="49470"/>
    <s v="Dec-2023"/>
    <s v="Q4-2023"/>
    <s v="Thu"/>
    <s v="Low"/>
  </r>
  <r>
    <s v="ORD-0239"/>
    <d v="2023-12-07T00:00:00"/>
    <s v="CUST-2917"/>
    <s v="Ishita Bansal"/>
    <s v="East"/>
    <s v="Patna"/>
    <x v="4"/>
    <s v="Lenovo ThinkPad"/>
    <n v="1"/>
    <n v="57200"/>
    <n v="20"/>
    <s v="Rohan Mehta"/>
    <n v="57200"/>
    <n v="11440"/>
    <n v="45760"/>
    <s v="Dec-2023"/>
    <s v="Q4-2023"/>
    <s v="Thu"/>
    <s v="Low"/>
  </r>
  <r>
    <s v="ORD-0240"/>
    <d v="2023-01-08T00:00:00"/>
    <s v="CUST-5560"/>
    <s v="Swati Nambiar"/>
    <s v="East"/>
    <s v="Patna"/>
    <x v="2"/>
    <s v="Fitbit Versa 4"/>
    <n v="1"/>
    <n v="31500"/>
    <n v="0"/>
    <s v="Rohan Mehta"/>
    <n v="31500"/>
    <n v="0"/>
    <n v="31500"/>
    <s v="Jan-2023"/>
    <s v="Q1-2023"/>
    <s v="Sun"/>
    <s v="Low"/>
  </r>
  <r>
    <s v="ORD-0241"/>
    <d v="2023-01-08T00:00:00"/>
    <s v="CUST-8962"/>
    <s v="Priya Singh"/>
    <s v="East"/>
    <s v="Kolkata"/>
    <x v="3"/>
    <s v="Amazon Fire HD"/>
    <n v="1"/>
    <n v="37200"/>
    <n v="15"/>
    <s v="Anjali Gupta"/>
    <n v="37200"/>
    <n v="5580"/>
    <n v="31620"/>
    <s v="Jan-2023"/>
    <s v="Q1-2023"/>
    <s v="Sun"/>
    <s v="Low"/>
  </r>
  <r>
    <s v="ORD-0242"/>
    <d v="2023-01-08T00:00:00"/>
    <s v="CUST-8905"/>
    <s v="Rahul Kapoor"/>
    <s v="Central"/>
    <s v="Raipur"/>
    <x v="1"/>
    <s v="Laptop Bag"/>
    <n v="1"/>
    <n v="1400"/>
    <n v="0"/>
    <s v="Sneha Reddy"/>
    <n v="1400"/>
    <n v="0"/>
    <n v="1400"/>
    <s v="Jan-2023"/>
    <s v="Q1-2023"/>
    <s v="Sun"/>
    <s v="Low"/>
  </r>
  <r>
    <s v="ORD-0243"/>
    <d v="2023-03-08T00:00:00"/>
    <s v="CUST-2243"/>
    <s v="Divya Shah"/>
    <s v="East"/>
    <s v="Bhubaneswar"/>
    <x v="3"/>
    <s v="iPad Air"/>
    <n v="1"/>
    <n v="23600"/>
    <n v="0"/>
    <s v="Amit Kumar"/>
    <n v="23600"/>
    <n v="0"/>
    <n v="23600"/>
    <s v="Mar-2023"/>
    <s v="Q1-2023"/>
    <s v="Wed"/>
    <s v="Low"/>
  </r>
  <r>
    <s v="ORD-0244"/>
    <d v="2023-04-08T00:00:00"/>
    <s v="CUST-6453"/>
    <s v="Karan Verma"/>
    <s v="East"/>
    <s v="Patna"/>
    <x v="2"/>
    <s v="Apple Watch Series 8"/>
    <n v="1"/>
    <n v="33900"/>
    <n v="5"/>
    <s v="Anjali Gupta"/>
    <n v="33900"/>
    <n v="1695"/>
    <n v="32205"/>
    <s v="Apr-2023"/>
    <s v="Q2-2023"/>
    <s v="Sat"/>
    <s v="Low"/>
  </r>
  <r>
    <s v="ORD-0245"/>
    <d v="2023-04-08T00:00:00"/>
    <s v="CUST-5247"/>
    <s v="Kavya Iyer"/>
    <s v="East"/>
    <s v="Kolkata"/>
    <x v="1"/>
    <s v="Wireless Mouse"/>
    <n v="3"/>
    <n v="1500"/>
    <n v="25"/>
    <s v="Kavya Iyer"/>
    <n v="4500"/>
    <n v="1125"/>
    <n v="3375"/>
    <s v="Apr-2023"/>
    <s v="Q2-2023"/>
    <s v="Sat"/>
    <s v="Low"/>
  </r>
  <r>
    <s v="ORD-0246"/>
    <d v="2023-04-08T00:00:00"/>
    <s v="CUST-0354"/>
    <s v="Meera Chawla"/>
    <s v="East"/>
    <s v="Ranchi"/>
    <x v="1"/>
    <s v="USB-C Cable"/>
    <n v="2"/>
    <n v="1400"/>
    <n v="5"/>
    <s v="Amit Kumar"/>
    <n v="2800"/>
    <n v="140"/>
    <n v="2660"/>
    <s v="Apr-2023"/>
    <s v="Q2-2023"/>
    <s v="Sat"/>
    <s v="Low"/>
  </r>
  <r>
    <s v="ORD-0247"/>
    <d v="2023-04-08T00:00:00"/>
    <s v="CUST-8962"/>
    <s v="Priya Singh"/>
    <s v="North"/>
    <s v="Chandigarh"/>
    <x v="4"/>
    <s v="HP Pavilion"/>
    <n v="1"/>
    <n v="52000"/>
    <n v="25"/>
    <s v="Rahul Sharma"/>
    <n v="52000"/>
    <n v="13000"/>
    <n v="39000"/>
    <s v="Apr-2023"/>
    <s v="Q2-2023"/>
    <s v="Sat"/>
    <s v="Low"/>
  </r>
  <r>
    <s v="ORD-0248"/>
    <d v="2023-04-08T00:00:00"/>
    <s v="CUST-4064"/>
    <s v="Nisha Ghosh"/>
    <s v="East"/>
    <s v="Patna"/>
    <x v="1"/>
    <s v="Laptop Bag"/>
    <n v="2"/>
    <n v="1400"/>
    <n v="0"/>
    <s v="Sneha Reddy"/>
    <n v="2800"/>
    <n v="0"/>
    <n v="2800"/>
    <s v="Apr-2023"/>
    <s v="Q2-2023"/>
    <s v="Sat"/>
    <s v="Low"/>
  </r>
  <r>
    <s v="ORD-0249"/>
    <d v="2023-04-08T00:00:00"/>
    <s v="CUST-7808"/>
    <s v="Varun Chopra"/>
    <s v="Central"/>
    <s v="Raipur"/>
    <x v="2"/>
    <s v="Fitbit Versa 4"/>
    <n v="1"/>
    <n v="10200"/>
    <n v="25"/>
    <s v="Anjali Gupta"/>
    <n v="10200"/>
    <n v="2550"/>
    <n v="7650"/>
    <s v="Apr-2023"/>
    <s v="Q2-2023"/>
    <s v="Sat"/>
    <s v="Low"/>
  </r>
  <r>
    <s v="ORD-0250"/>
    <d v="2023-05-08T00:00:00"/>
    <s v="CUST-2243"/>
    <s v="Divya Shah"/>
    <s v="South"/>
    <s v="Hyderabad"/>
    <x v="0"/>
    <s v="Xiaomi 13"/>
    <n v="1"/>
    <n v="42800"/>
    <n v="15"/>
    <s v="Vikram Singh"/>
    <n v="42800"/>
    <n v="6420"/>
    <n v="36380"/>
    <s v="May-2023"/>
    <s v="Q2-2023"/>
    <s v="Mon"/>
    <s v="Low"/>
  </r>
  <r>
    <s v="ORD-0251"/>
    <d v="2023-05-08T00:00:00"/>
    <s v="CUST-6453"/>
    <s v="Karan Verma"/>
    <s v="South"/>
    <s v="Hyderabad"/>
    <x v="2"/>
    <s v="Samsung Galaxy Watch"/>
    <n v="1"/>
    <n v="13600"/>
    <n v="5"/>
    <s v="Kavya Iyer"/>
    <n v="13600"/>
    <n v="680"/>
    <n v="12920"/>
    <s v="May-2023"/>
    <s v="Q2-2023"/>
    <s v="Mon"/>
    <s v="Low"/>
  </r>
  <r>
    <s v="ORD-0252"/>
    <d v="2023-05-08T00:00:00"/>
    <s v="CUST-1661"/>
    <s v="Harsh Sinha"/>
    <s v="North"/>
    <s v="Delhi"/>
    <x v="0"/>
    <s v="Xiaomi 13"/>
    <n v="1"/>
    <n v="26900"/>
    <n v="20"/>
    <s v="Priya Patel"/>
    <n v="26900"/>
    <n v="5380"/>
    <n v="21520"/>
    <s v="May-2023"/>
    <s v="Q2-2023"/>
    <s v="Mon"/>
    <s v="Low"/>
  </r>
  <r>
    <s v="ORD-0253"/>
    <d v="2023-06-08T00:00:00"/>
    <s v="CUST-6453"/>
    <s v="Karan Verma"/>
    <s v="Central"/>
    <s v="Indore"/>
    <x v="1"/>
    <s v="Mechanical Keyboard"/>
    <n v="3"/>
    <n v="2100"/>
    <n v="25"/>
    <s v="Anjali Gupta"/>
    <n v="6300"/>
    <n v="1575"/>
    <n v="4725"/>
    <s v="Jun-2023"/>
    <s v="Q2-2023"/>
    <s v="Thu"/>
    <s v="Low"/>
  </r>
  <r>
    <s v="ORD-0254"/>
    <d v="2023-06-08T00:00:00"/>
    <s v="CUST-7808"/>
    <s v="Varun Chopra"/>
    <s v="West"/>
    <s v="Surat"/>
    <x v="4"/>
    <s v="Dell Inspiron"/>
    <n v="1"/>
    <n v="53000"/>
    <n v="10"/>
    <s v="Priya Patel"/>
    <n v="53000"/>
    <n v="5300"/>
    <n v="47700"/>
    <s v="Jun-2023"/>
    <s v="Q2-2023"/>
    <s v="Thu"/>
    <s v="Low"/>
  </r>
  <r>
    <s v="ORD-0255"/>
    <d v="2023-06-08T00:00:00"/>
    <s v="CUST-7724"/>
    <s v="Anjali Gupta"/>
    <s v="Central"/>
    <s v="Raipur"/>
    <x v="3"/>
    <s v="Samsung Tab S8"/>
    <n v="1"/>
    <n v="30500"/>
    <n v="20"/>
    <s v="Rohan Mehta"/>
    <n v="30500"/>
    <n v="6100"/>
    <n v="24400"/>
    <s v="Jun-2023"/>
    <s v="Q2-2023"/>
    <s v="Thu"/>
    <s v="Low"/>
  </r>
  <r>
    <s v="ORD-0256"/>
    <d v="2023-07-08T00:00:00"/>
    <s v="CUST-4414"/>
    <s v="Vikram Reddy"/>
    <s v="East"/>
    <s v="Bhubaneswar"/>
    <x v="1"/>
    <s v="Mechanical Keyboard"/>
    <n v="2"/>
    <n v="2200"/>
    <n v="0"/>
    <s v="Rahul Sharma"/>
    <n v="4400"/>
    <n v="0"/>
    <n v="4400"/>
    <s v="Jul-2023"/>
    <s v="Q3-2023"/>
    <s v="Sat"/>
    <s v="Low"/>
  </r>
  <r>
    <s v="ORD-0257"/>
    <d v="2023-08-08T00:00:00"/>
    <s v="CUST-1540"/>
    <s v="Simran Kaur"/>
    <s v="East"/>
    <s v="Patna"/>
    <x v="1"/>
    <s v="USB-C Cable"/>
    <n v="2"/>
    <n v="600"/>
    <n v="0"/>
    <s v="Sneha Reddy"/>
    <n v="1200"/>
    <n v="0"/>
    <n v="1200"/>
    <s v="Aug-2023"/>
    <s v="Q3-2023"/>
    <s v="Tue"/>
    <s v="Low"/>
  </r>
  <r>
    <s v="ORD-0258"/>
    <d v="2023-08-08T00:00:00"/>
    <s v="CUST-1540"/>
    <s v="Simran Kaur"/>
    <s v="East"/>
    <s v="Bhubaneswar"/>
    <x v="0"/>
    <s v="OnePlus Nord"/>
    <n v="1"/>
    <n v="29600"/>
    <n v="0"/>
    <s v="Vikram Singh"/>
    <n v="29600"/>
    <n v="0"/>
    <n v="29600"/>
    <s v="Aug-2023"/>
    <s v="Q3-2023"/>
    <s v="Tue"/>
    <s v="Low"/>
  </r>
  <r>
    <s v="ORD-0259"/>
    <d v="2023-09-08T00:00:00"/>
    <s v="CUST-7270"/>
    <s v="Yash Dhawan"/>
    <s v="West"/>
    <s v="Mumbai"/>
    <x v="2"/>
    <s v="Samsung Galaxy Watch"/>
    <n v="1"/>
    <n v="27800"/>
    <n v="15"/>
    <s v="Kavya Iyer"/>
    <n v="27800"/>
    <n v="4170"/>
    <n v="23630"/>
    <s v="Sep-2023"/>
    <s v="Q3-2023"/>
    <s v="Fri"/>
    <s v="Low"/>
  </r>
  <r>
    <s v="ORD-0260"/>
    <d v="2023-09-08T00:00:00"/>
    <s v="CUST-2055"/>
    <s v="Shreya Pandey"/>
    <s v="East"/>
    <s v="Kolkata"/>
    <x v="2"/>
    <s v="Mi Band 7"/>
    <n v="1"/>
    <n v="23400"/>
    <n v="0"/>
    <s v="Rohan Mehta"/>
    <n v="23400"/>
    <n v="0"/>
    <n v="23400"/>
    <s v="Sep-2023"/>
    <s v="Q3-2023"/>
    <s v="Fri"/>
    <s v="Low"/>
  </r>
  <r>
    <s v="ORD-0261"/>
    <d v="2023-09-08T00:00:00"/>
    <s v="CUST-5560"/>
    <s v="Swati Nambiar"/>
    <s v="East"/>
    <s v="Bhubaneswar"/>
    <x v="0"/>
    <s v="OnePlus Nord"/>
    <n v="1"/>
    <n v="42000"/>
    <n v="15"/>
    <s v="Rahul Sharma"/>
    <n v="42000"/>
    <n v="6300"/>
    <n v="35700"/>
    <s v="Sep-2023"/>
    <s v="Q3-2023"/>
    <s v="Fri"/>
    <s v="Low"/>
  </r>
  <r>
    <s v="ORD-0262"/>
    <d v="2023-09-08T00:00:00"/>
    <s v="CUST-7693"/>
    <s v="Sameer Dutta"/>
    <s v="West"/>
    <s v="Surat"/>
    <x v="1"/>
    <s v="USB-C Cable"/>
    <n v="2"/>
    <n v="1800"/>
    <n v="25"/>
    <s v="Rohan Mehta"/>
    <n v="3600"/>
    <n v="900"/>
    <n v="2700"/>
    <s v="Sep-2023"/>
    <s v="Q3-2023"/>
    <s v="Fri"/>
    <s v="Low"/>
  </r>
  <r>
    <s v="ORD-0263"/>
    <d v="2023-09-08T00:00:00"/>
    <s v="CUST-4064"/>
    <s v="Nisha Ghosh"/>
    <s v="North"/>
    <s v="Chandigarh"/>
    <x v="3"/>
    <s v="Amazon Fire HD"/>
    <n v="1"/>
    <n v="28800"/>
    <n v="0"/>
    <s v="Amit Kumar"/>
    <n v="28800"/>
    <n v="0"/>
    <n v="28800"/>
    <s v="Sep-2023"/>
    <s v="Q3-2023"/>
    <s v="Fri"/>
    <s v="Low"/>
  </r>
  <r>
    <s v="ORD-0264"/>
    <d v="2023-10-08T00:00:00"/>
    <s v="CUST-8593"/>
    <s v="Sneha Sharma"/>
    <s v="East"/>
    <s v="Bhubaneswar"/>
    <x v="4"/>
    <s v="HP Pavilion"/>
    <n v="1"/>
    <n v="37700"/>
    <n v="0"/>
    <s v="Anjali Gupta"/>
    <n v="37700"/>
    <n v="0"/>
    <n v="37700"/>
    <s v="Oct-2023"/>
    <s v="Q4-2023"/>
    <s v="Sun"/>
    <s v="Low"/>
  </r>
  <r>
    <s v="ORD-0265"/>
    <d v="2023-11-08T00:00:00"/>
    <s v="CUST-0018"/>
    <s v="Tanvi Kulkarni"/>
    <s v="East"/>
    <s v="Kolkata"/>
    <x v="0"/>
    <s v="OnePlus Nord"/>
    <n v="1"/>
    <n v="46400"/>
    <n v="5"/>
    <s v="Anjali Gupta"/>
    <n v="46400"/>
    <n v="2320"/>
    <n v="44080"/>
    <s v="Nov-2023"/>
    <s v="Q4-2023"/>
    <s v="Wed"/>
    <s v="Low"/>
  </r>
  <r>
    <s v="ORD-0266"/>
    <d v="2023-11-08T00:00:00"/>
    <s v="CUST-5055"/>
    <s v="Riya Malhotra"/>
    <s v="South"/>
    <s v="Chennai"/>
    <x v="0"/>
    <s v="Xiaomi 13"/>
    <n v="1"/>
    <n v="21600"/>
    <n v="10"/>
    <s v="Sneha Reddy"/>
    <n v="21600"/>
    <n v="2160"/>
    <n v="19440"/>
    <s v="Nov-2023"/>
    <s v="Q4-2023"/>
    <s v="Wed"/>
    <s v="Low"/>
  </r>
  <r>
    <s v="ORD-0267"/>
    <d v="2023-12-08T00:00:00"/>
    <s v="CUST-6453"/>
    <s v="Karan Verma"/>
    <s v="East"/>
    <s v="Kolkata"/>
    <x v="2"/>
    <s v="Samsung Galaxy Watch"/>
    <n v="1"/>
    <n v="25600"/>
    <n v="5"/>
    <s v="Amit Kumar"/>
    <n v="25600"/>
    <n v="1280"/>
    <n v="24320"/>
    <s v="Dec-2023"/>
    <s v="Q4-2023"/>
    <s v="Fri"/>
    <s v="Low"/>
  </r>
  <r>
    <s v="ORD-0268"/>
    <d v="2023-12-08T00:00:00"/>
    <s v="CUST-6453"/>
    <s v="Karan Verma"/>
    <s v="South"/>
    <s v="Bangalore"/>
    <x v="4"/>
    <s v="HP Pavilion"/>
    <n v="1"/>
    <n v="69700"/>
    <n v="0"/>
    <s v="Kavya Iyer"/>
    <n v="69700"/>
    <n v="0"/>
    <n v="69700"/>
    <s v="Dec-2023"/>
    <s v="Q4-2023"/>
    <s v="Fri"/>
    <s v="Medium"/>
  </r>
  <r>
    <s v="ORD-0269"/>
    <d v="2023-01-09T00:00:00"/>
    <s v="CUST-4945"/>
    <s v="Ananya Bose"/>
    <s v="North"/>
    <s v="Lucknow"/>
    <x v="4"/>
    <s v="Lenovo ThinkPad"/>
    <n v="1"/>
    <n v="48000"/>
    <n v="0"/>
    <s v="Priya Patel"/>
    <n v="48000"/>
    <n v="0"/>
    <n v="48000"/>
    <s v="Jan-2023"/>
    <s v="Q1-2023"/>
    <s v="Mon"/>
    <s v="Low"/>
  </r>
  <r>
    <s v="ORD-0270"/>
    <d v="2023-01-09T00:00:00"/>
    <s v="CUST-1200"/>
    <s v="Pallavi Krishnan"/>
    <s v="West"/>
    <s v="Ahmedabad"/>
    <x v="0"/>
    <s v="Xiaomi 13"/>
    <n v="1"/>
    <n v="32200"/>
    <n v="25"/>
    <s v="Rahul Sharma"/>
    <n v="32200"/>
    <n v="8050"/>
    <n v="24150"/>
    <s v="Jan-2023"/>
    <s v="Q1-2023"/>
    <s v="Mon"/>
    <s v="Low"/>
  </r>
  <r>
    <s v="ORD-0271"/>
    <d v="2023-01-09T00:00:00"/>
    <s v="CUST-6126"/>
    <s v="Siddharth Tiwari"/>
    <s v="West"/>
    <s v="Ahmedabad"/>
    <x v="3"/>
    <s v="Lenovo Tab P11"/>
    <n v="1"/>
    <n v="34400"/>
    <n v="0"/>
    <s v="Anjali Gupta"/>
    <n v="34400"/>
    <n v="0"/>
    <n v="34400"/>
    <s v="Jan-2023"/>
    <s v="Q1-2023"/>
    <s v="Mon"/>
    <s v="Low"/>
  </r>
  <r>
    <s v="ORD-0272"/>
    <d v="2023-01-09T00:00:00"/>
    <s v="CUST-7724"/>
    <s v="Anjali Gupta"/>
    <s v="West"/>
    <s v="Mumbai"/>
    <x v="4"/>
    <s v="Dell Inspiron"/>
    <n v="2"/>
    <n v="80000"/>
    <n v="0"/>
    <s v="Vikram Singh"/>
    <n v="160000"/>
    <n v="0"/>
    <n v="160000"/>
    <s v="Jan-2023"/>
    <s v="Q1-2023"/>
    <s v="Mon"/>
    <s v="High"/>
  </r>
  <r>
    <s v="ORD-0273"/>
    <d v="2023-02-09T00:00:00"/>
    <s v="CUST-7270"/>
    <s v="Yash Dhawan"/>
    <s v="East"/>
    <s v="Bhubaneswar"/>
    <x v="3"/>
    <s v="Lenovo Tab P11"/>
    <n v="1"/>
    <n v="38600"/>
    <n v="10"/>
    <s v="Priya Patel"/>
    <n v="38600"/>
    <n v="3860"/>
    <n v="34740"/>
    <s v="Feb-2023"/>
    <s v="Q1-2023"/>
    <s v="Thu"/>
    <s v="Low"/>
  </r>
  <r>
    <s v="ORD-0274"/>
    <d v="2023-02-09T00:00:00"/>
    <s v="CUST-6453"/>
    <s v="Karan Verma"/>
    <s v="Central"/>
    <s v="Nagpur"/>
    <x v="0"/>
    <s v="iPhone 14"/>
    <n v="2"/>
    <n v="28000"/>
    <n v="0"/>
    <s v="Anjali Gupta"/>
    <n v="56000"/>
    <n v="0"/>
    <n v="56000"/>
    <s v="Feb-2023"/>
    <s v="Q1-2023"/>
    <s v="Thu"/>
    <s v="Medium"/>
  </r>
  <r>
    <s v="ORD-0275"/>
    <d v="2023-02-09T00:00:00"/>
    <s v="CUST-9969"/>
    <s v="Ritika Menon"/>
    <s v="Central"/>
    <s v="Raipur"/>
    <x v="1"/>
    <s v="Mechanical Keyboard"/>
    <n v="2"/>
    <n v="2000"/>
    <n v="5"/>
    <s v="Kavya Iyer"/>
    <n v="4000"/>
    <n v="200"/>
    <n v="3800"/>
    <s v="Feb-2023"/>
    <s v="Q1-2023"/>
    <s v="Thu"/>
    <s v="Low"/>
  </r>
  <r>
    <s v="ORD-0276"/>
    <d v="2023-03-09T00:00:00"/>
    <s v="CUST-9929"/>
    <s v="Kunal Dixit"/>
    <s v="North"/>
    <s v="Delhi"/>
    <x v="0"/>
    <s v="Realme GT"/>
    <n v="1"/>
    <n v="60000"/>
    <n v="20"/>
    <s v="Amit Kumar"/>
    <n v="60000"/>
    <n v="12000"/>
    <n v="48000"/>
    <s v="Mar-2023"/>
    <s v="Q1-2023"/>
    <s v="Thu"/>
    <s v="Low"/>
  </r>
  <r>
    <s v="ORD-0277"/>
    <d v="2023-03-09T00:00:00"/>
    <s v="CUST-6453"/>
    <s v="Karan Verma"/>
    <s v="East"/>
    <s v="Kolkata"/>
    <x v="0"/>
    <s v="OnePlus Nord"/>
    <n v="1"/>
    <n v="15100"/>
    <n v="5"/>
    <s v="Kavya Iyer"/>
    <n v="15100"/>
    <n v="755"/>
    <n v="14345"/>
    <s v="Mar-2023"/>
    <s v="Q1-2023"/>
    <s v="Thu"/>
    <s v="Low"/>
  </r>
  <r>
    <s v="ORD-0278"/>
    <d v="2023-03-09T00:00:00"/>
    <s v="CUST-5369"/>
    <s v="Aditya Rao"/>
    <s v="North"/>
    <s v="Lucknow"/>
    <x v="2"/>
    <s v="Mi Band 7"/>
    <n v="1"/>
    <n v="21800"/>
    <n v="0"/>
    <s v="Priya Patel"/>
    <n v="21800"/>
    <n v="0"/>
    <n v="21800"/>
    <s v="Mar-2023"/>
    <s v="Q1-2023"/>
    <s v="Thu"/>
    <s v="Low"/>
  </r>
  <r>
    <s v="ORD-0279"/>
    <d v="2023-03-09T00:00:00"/>
    <s v="CUST-6967"/>
    <s v="Aarti Shetty"/>
    <s v="North"/>
    <s v="Jaipur"/>
    <x v="1"/>
    <s v="Laptop Bag"/>
    <n v="3"/>
    <n v="2500"/>
    <n v="20"/>
    <s v="Rohan Mehta"/>
    <n v="7500"/>
    <n v="1500"/>
    <n v="6000"/>
    <s v="Mar-2023"/>
    <s v="Q1-2023"/>
    <s v="Thu"/>
    <s v="Low"/>
  </r>
  <r>
    <s v="ORD-0280"/>
    <d v="2023-03-09T00:00:00"/>
    <s v="CUST-4295"/>
    <s v="Manish Arora"/>
    <s v="South"/>
    <s v="Bangalore"/>
    <x v="2"/>
    <s v="Samsung Galaxy Watch"/>
    <n v="1"/>
    <n v="24200"/>
    <n v="25"/>
    <s v="Sneha Reddy"/>
    <n v="24200"/>
    <n v="6050"/>
    <n v="18150"/>
    <s v="Mar-2023"/>
    <s v="Q1-2023"/>
    <s v="Thu"/>
    <s v="Low"/>
  </r>
  <r>
    <s v="ORD-0281"/>
    <d v="2023-03-09T00:00:00"/>
    <s v="CUST-2917"/>
    <s v="Ishita Bansal"/>
    <s v="South"/>
    <s v="Bangalore"/>
    <x v="0"/>
    <s v="OnePlus Nord"/>
    <n v="1"/>
    <n v="36400"/>
    <n v="25"/>
    <s v="Vikram Singh"/>
    <n v="36400"/>
    <n v="9100"/>
    <n v="27300"/>
    <s v="Mar-2023"/>
    <s v="Q1-2023"/>
    <s v="Thu"/>
    <s v="Low"/>
  </r>
  <r>
    <s v="ORD-0282"/>
    <d v="2023-03-09T00:00:00"/>
    <s v="CUST-8995"/>
    <s v="Mohit Saxena"/>
    <s v="Central"/>
    <s v="Indore"/>
    <x v="4"/>
    <s v="Dell Inspiron"/>
    <n v="1"/>
    <n v="47300"/>
    <n v="10"/>
    <s v="Kavya Iyer"/>
    <n v="47300"/>
    <n v="4730"/>
    <n v="42570"/>
    <s v="Mar-2023"/>
    <s v="Q1-2023"/>
    <s v="Thu"/>
    <s v="Low"/>
  </r>
  <r>
    <s v="ORD-0283"/>
    <d v="2023-04-09T00:00:00"/>
    <s v="CUST-8923"/>
    <s v="Pooja Desai"/>
    <s v="East"/>
    <s v="Bhubaneswar"/>
    <x v="2"/>
    <s v="Apple Watch Series 8"/>
    <n v="1"/>
    <n v="17500"/>
    <n v="0"/>
    <s v="Kavya Iyer"/>
    <n v="17500"/>
    <n v="0"/>
    <n v="17500"/>
    <s v="Apr-2023"/>
    <s v="Q2-2023"/>
    <s v="Sun"/>
    <s v="Low"/>
  </r>
  <r>
    <s v="ORD-0284"/>
    <d v="2023-04-09T00:00:00"/>
    <s v="CUST-7693"/>
    <s v="Sameer Dutta"/>
    <s v="North"/>
    <s v="Delhi"/>
    <x v="2"/>
    <s v="Apple Watch Series 8"/>
    <n v="1"/>
    <n v="17900"/>
    <n v="0"/>
    <s v="Sneha Reddy"/>
    <n v="17900"/>
    <n v="0"/>
    <n v="17900"/>
    <s v="Apr-2023"/>
    <s v="Q2-2023"/>
    <s v="Sun"/>
    <s v="Low"/>
  </r>
  <r>
    <s v="ORD-0285"/>
    <d v="2023-04-09T00:00:00"/>
    <s v="CUST-8593"/>
    <s v="Sneha Sharma"/>
    <s v="South"/>
    <s v="Bangalore"/>
    <x v="0"/>
    <s v="Samsung Galaxy S23"/>
    <n v="1"/>
    <n v="58700"/>
    <n v="15"/>
    <s v="Anjali Gupta"/>
    <n v="58700"/>
    <n v="8805"/>
    <n v="49895"/>
    <s v="Apr-2023"/>
    <s v="Q2-2023"/>
    <s v="Sun"/>
    <s v="Low"/>
  </r>
  <r>
    <s v="ORD-0286"/>
    <d v="2023-04-09T00:00:00"/>
    <s v="CUST-5409"/>
    <s v="Akash Pillai"/>
    <s v="North"/>
    <s v="Delhi"/>
    <x v="2"/>
    <s v="Samsung Galaxy Watch"/>
    <n v="1"/>
    <n v="30700"/>
    <n v="20"/>
    <s v="Sneha Reddy"/>
    <n v="30700"/>
    <n v="6140"/>
    <n v="24560"/>
    <s v="Apr-2023"/>
    <s v="Q2-2023"/>
    <s v="Sun"/>
    <s v="Low"/>
  </r>
  <r>
    <s v="ORD-0287"/>
    <d v="2023-05-09T00:00:00"/>
    <s v="CUST-3922"/>
    <s v="Sakshi Rathore"/>
    <s v="Central"/>
    <s v="Raipur"/>
    <x v="2"/>
    <s v="Fitbit Versa 4"/>
    <n v="1"/>
    <n v="27600"/>
    <n v="0"/>
    <s v="Amit Kumar"/>
    <n v="27600"/>
    <n v="0"/>
    <n v="27600"/>
    <s v="May-2023"/>
    <s v="Q2-2023"/>
    <s v="Tue"/>
    <s v="Low"/>
  </r>
  <r>
    <s v="ORD-0288"/>
    <d v="2023-05-09T00:00:00"/>
    <s v="CUST-6126"/>
    <s v="Siddharth Tiwari"/>
    <s v="East"/>
    <s v="Bhubaneswar"/>
    <x v="4"/>
    <s v="Dell Inspiron"/>
    <n v="1"/>
    <n v="70700"/>
    <n v="0"/>
    <s v="Anjali Gupta"/>
    <n v="70700"/>
    <n v="0"/>
    <n v="70700"/>
    <s v="May-2023"/>
    <s v="Q2-2023"/>
    <s v="Tue"/>
    <s v="Medium"/>
  </r>
  <r>
    <s v="ORD-0289"/>
    <d v="2023-06-09T00:00:00"/>
    <s v="CUST-4295"/>
    <s v="Manish Arora"/>
    <s v="East"/>
    <s v="Bhubaneswar"/>
    <x v="2"/>
    <s v="Apple Watch Series 8"/>
    <n v="1"/>
    <n v="21700"/>
    <n v="15"/>
    <s v="Amit Kumar"/>
    <n v="21700"/>
    <n v="3255"/>
    <n v="18445"/>
    <s v="Jun-2023"/>
    <s v="Q2-2023"/>
    <s v="Fri"/>
    <s v="Low"/>
  </r>
  <r>
    <s v="ORD-0290"/>
    <d v="2023-06-09T00:00:00"/>
    <s v="CUST-4767"/>
    <s v="Sanjay Joshi"/>
    <s v="North"/>
    <s v="Delhi"/>
    <x v="3"/>
    <s v="Amazon Fire HD"/>
    <n v="2"/>
    <n v="38600"/>
    <n v="10"/>
    <s v="Priya Patel"/>
    <n v="77200"/>
    <n v="7720"/>
    <n v="69480"/>
    <s v="Jun-2023"/>
    <s v="Q2-2023"/>
    <s v="Fri"/>
    <s v="Medium"/>
  </r>
  <r>
    <s v="ORD-0291"/>
    <d v="2023-06-09T00:00:00"/>
    <s v="CUST-8905"/>
    <s v="Rahul Kapoor"/>
    <s v="Central"/>
    <s v="Bhopal"/>
    <x v="2"/>
    <s v="Mi Band 7"/>
    <n v="1"/>
    <n v="15800"/>
    <n v="0"/>
    <s v="Priya Patel"/>
    <n v="15800"/>
    <n v="0"/>
    <n v="15800"/>
    <s v="Jun-2023"/>
    <s v="Q2-2023"/>
    <s v="Fri"/>
    <s v="Low"/>
  </r>
  <r>
    <s v="ORD-0292"/>
    <d v="2023-07-09T00:00:00"/>
    <s v="CUST-1661"/>
    <s v="Harsh Sinha"/>
    <s v="South"/>
    <s v="Bangalore"/>
    <x v="0"/>
    <s v="Realme GT"/>
    <n v="1"/>
    <n v="45400"/>
    <n v="10"/>
    <s v="Kavya Iyer"/>
    <n v="45400"/>
    <n v="4540"/>
    <n v="40860"/>
    <s v="Jul-2023"/>
    <s v="Q3-2023"/>
    <s v="Sun"/>
    <s v="Low"/>
  </r>
  <r>
    <s v="ORD-0293"/>
    <d v="2023-07-09T00:00:00"/>
    <s v="CUST-0895"/>
    <s v="Nikhil Jain"/>
    <s v="Central"/>
    <s v="Raipur"/>
    <x v="3"/>
    <s v="Lenovo Tab P11"/>
    <n v="1"/>
    <n v="23200"/>
    <n v="25"/>
    <s v="Rohan Mehta"/>
    <n v="23200"/>
    <n v="5800"/>
    <n v="17400"/>
    <s v="Jul-2023"/>
    <s v="Q3-2023"/>
    <s v="Sun"/>
    <s v="Low"/>
  </r>
  <r>
    <s v="ORD-0294"/>
    <d v="2023-07-09T00:00:00"/>
    <s v="CUST-0895"/>
    <s v="Nikhil Jain"/>
    <s v="North"/>
    <s v="Chandigarh"/>
    <x v="0"/>
    <s v="Xiaomi 13"/>
    <n v="1"/>
    <n v="40700"/>
    <n v="10"/>
    <s v="Priya Patel"/>
    <n v="40700"/>
    <n v="4070"/>
    <n v="36630"/>
    <s v="Jul-2023"/>
    <s v="Q3-2023"/>
    <s v="Sun"/>
    <s v="Low"/>
  </r>
  <r>
    <s v="ORD-0295"/>
    <d v="2023-07-09T00:00:00"/>
    <s v="CUST-0354"/>
    <s v="Meera Chawla"/>
    <s v="South"/>
    <s v="Kochi"/>
    <x v="4"/>
    <s v="Lenovo ThinkPad"/>
    <n v="2"/>
    <n v="48300"/>
    <n v="15"/>
    <s v="Vikram Singh"/>
    <n v="96600"/>
    <n v="14490"/>
    <n v="82110"/>
    <s v="Jul-2023"/>
    <s v="Q3-2023"/>
    <s v="Sun"/>
    <s v="Medium"/>
  </r>
  <r>
    <s v="ORD-0296"/>
    <d v="2023-07-09T00:00:00"/>
    <s v="CUST-2243"/>
    <s v="Divya Shah"/>
    <s v="East"/>
    <s v="Patna"/>
    <x v="2"/>
    <s v="Apple Watch Series 8"/>
    <n v="1"/>
    <n v="18300"/>
    <n v="0"/>
    <s v="Amit Kumar"/>
    <n v="18300"/>
    <n v="0"/>
    <n v="18300"/>
    <s v="Jul-2023"/>
    <s v="Q3-2023"/>
    <s v="Sun"/>
    <s v="Low"/>
  </r>
  <r>
    <s v="ORD-0297"/>
    <d v="2023-07-09T00:00:00"/>
    <s v="CUST-5247"/>
    <s v="Kavya Iyer"/>
    <s v="Central"/>
    <s v="Bhopal"/>
    <x v="3"/>
    <s v="Samsung Tab S8"/>
    <n v="1"/>
    <n v="27800"/>
    <n v="15"/>
    <s v="Vikram Singh"/>
    <n v="27800"/>
    <n v="4170"/>
    <n v="23630"/>
    <s v="Jul-2023"/>
    <s v="Q3-2023"/>
    <s v="Sun"/>
    <s v="Low"/>
  </r>
  <r>
    <s v="ORD-0298"/>
    <d v="2023-08-09T00:00:00"/>
    <s v="CUST-2055"/>
    <s v="Shreya Pandey"/>
    <s v="East"/>
    <s v="Kolkata"/>
    <x v="4"/>
    <s v="ASUS VivoBook"/>
    <n v="1"/>
    <n v="69200"/>
    <n v="10"/>
    <s v="Anjali Gupta"/>
    <n v="69200"/>
    <n v="6920"/>
    <n v="62280"/>
    <s v="Aug-2023"/>
    <s v="Q3-2023"/>
    <s v="Wed"/>
    <s v="Medium"/>
  </r>
  <r>
    <s v="ORD-0299"/>
    <d v="2023-09-09T00:00:00"/>
    <s v="CUST-2243"/>
    <s v="Divya Shah"/>
    <s v="South"/>
    <s v="Kochi"/>
    <x v="0"/>
    <s v="Xiaomi 13"/>
    <n v="1"/>
    <n v="34700"/>
    <n v="0"/>
    <s v="Rohan Mehta"/>
    <n v="34700"/>
    <n v="0"/>
    <n v="34700"/>
    <s v="Sep-2023"/>
    <s v="Q3-2023"/>
    <s v="Sat"/>
    <s v="Low"/>
  </r>
  <r>
    <s v="ORD-0300"/>
    <d v="2023-09-09T00:00:00"/>
    <s v="CUST-8593"/>
    <s v="Sneha Sharma"/>
    <s v="South"/>
    <s v="Kochi"/>
    <x v="4"/>
    <s v="HP Pavilion"/>
    <n v="2"/>
    <n v="58600"/>
    <n v="0"/>
    <s v="Sneha Reddy"/>
    <n v="117200"/>
    <n v="0"/>
    <n v="117200"/>
    <s v="Sep-2023"/>
    <s v="Q3-2023"/>
    <s v="Sat"/>
    <s v="High"/>
  </r>
  <r>
    <s v="ORD-0301"/>
    <d v="2023-10-09T00:00:00"/>
    <s v="CUST-5369"/>
    <s v="Aditya Rao"/>
    <s v="East"/>
    <s v="Patna"/>
    <x v="1"/>
    <s v="USB-C Cable"/>
    <n v="2"/>
    <n v="3000"/>
    <n v="5"/>
    <s v="Sneha Reddy"/>
    <n v="6000"/>
    <n v="300"/>
    <n v="5700"/>
    <s v="Oct-2023"/>
    <s v="Q4-2023"/>
    <s v="Mon"/>
    <s v="Low"/>
  </r>
  <r>
    <s v="ORD-0302"/>
    <d v="2023-10-09T00:00:00"/>
    <s v="CUST-8185"/>
    <s v="Rohan Mehta"/>
    <s v="West"/>
    <s v="Mumbai"/>
    <x v="3"/>
    <s v="iPad Air"/>
    <n v="1"/>
    <n v="38700"/>
    <n v="5"/>
    <s v="Sneha Reddy"/>
    <n v="38700"/>
    <n v="1935"/>
    <n v="36765"/>
    <s v="Oct-2023"/>
    <s v="Q4-2023"/>
    <s v="Mon"/>
    <s v="Low"/>
  </r>
  <r>
    <s v="ORD-0303"/>
    <d v="2023-11-09T00:00:00"/>
    <s v="CUST-2917"/>
    <s v="Ishita Bansal"/>
    <s v="West"/>
    <s v="Pune"/>
    <x v="0"/>
    <s v="OnePlus Nord"/>
    <n v="1"/>
    <n v="46000"/>
    <n v="20"/>
    <s v="Sneha Reddy"/>
    <n v="46000"/>
    <n v="9200"/>
    <n v="36800"/>
    <s v="Nov-2023"/>
    <s v="Q4-2023"/>
    <s v="Thu"/>
    <s v="Low"/>
  </r>
  <r>
    <s v="ORD-0304"/>
    <d v="2023-11-09T00:00:00"/>
    <s v="CUST-7693"/>
    <s v="Sameer Dutta"/>
    <s v="South"/>
    <s v="Bangalore"/>
    <x v="4"/>
    <s v="Dell Inspiron"/>
    <n v="2"/>
    <n v="45500"/>
    <n v="15"/>
    <s v="Sneha Reddy"/>
    <n v="91000"/>
    <n v="13650"/>
    <n v="77350"/>
    <s v="Nov-2023"/>
    <s v="Q4-2023"/>
    <s v="Thu"/>
    <s v="Medium"/>
  </r>
  <r>
    <s v="ORD-0305"/>
    <d v="2023-11-09T00:00:00"/>
    <s v="CUST-5560"/>
    <s v="Swati Nambiar"/>
    <s v="West"/>
    <s v="Mumbai"/>
    <x v="3"/>
    <s v="Lenovo Tab P11"/>
    <n v="1"/>
    <n v="39500"/>
    <n v="15"/>
    <s v="Amit Kumar"/>
    <n v="39500"/>
    <n v="5925"/>
    <n v="33575"/>
    <s v="Nov-2023"/>
    <s v="Q4-2023"/>
    <s v="Thu"/>
    <s v="Low"/>
  </r>
  <r>
    <s v="ORD-0306"/>
    <d v="2023-11-09T00:00:00"/>
    <s v="CUST-5060"/>
    <s v="Gaurav Bhatt"/>
    <s v="West"/>
    <s v="Ahmedabad"/>
    <x v="2"/>
    <s v="Apple Watch Series 8"/>
    <n v="1"/>
    <n v="23700"/>
    <n v="0"/>
    <s v="Kavya Iyer"/>
    <n v="23700"/>
    <n v="0"/>
    <n v="23700"/>
    <s v="Nov-2023"/>
    <s v="Q4-2023"/>
    <s v="Thu"/>
    <s v="Low"/>
  </r>
  <r>
    <s v="ORD-0307"/>
    <d v="2023-11-09T00:00:00"/>
    <s v="CUST-8905"/>
    <s v="Rahul Kapoor"/>
    <s v="West"/>
    <s v="Pune"/>
    <x v="1"/>
    <s v="Webcam"/>
    <n v="1"/>
    <n v="1400"/>
    <n v="0"/>
    <s v="Kavya Iyer"/>
    <n v="1400"/>
    <n v="0"/>
    <n v="1400"/>
    <s v="Nov-2023"/>
    <s v="Q4-2023"/>
    <s v="Thu"/>
    <s v="Low"/>
  </r>
  <r>
    <s v="ORD-0308"/>
    <d v="2023-11-09T00:00:00"/>
    <s v="CUST-9929"/>
    <s v="Kunal Dixit"/>
    <s v="South"/>
    <s v="Kochi"/>
    <x v="3"/>
    <s v="Samsung Tab S8"/>
    <n v="1"/>
    <n v="35900"/>
    <n v="0"/>
    <s v="Kavya Iyer"/>
    <n v="35900"/>
    <n v="0"/>
    <n v="35900"/>
    <s v="Nov-2023"/>
    <s v="Q4-2023"/>
    <s v="Thu"/>
    <s v="Low"/>
  </r>
  <r>
    <s v="ORD-0309"/>
    <d v="2023-01-10T00:00:00"/>
    <s v="CUST-4816"/>
    <s v="Amit Patel"/>
    <s v="West"/>
    <s v="Surat"/>
    <x v="4"/>
    <s v="HP Pavilion"/>
    <n v="1"/>
    <n v="49000"/>
    <n v="0"/>
    <s v="Rahul Sharma"/>
    <n v="49000"/>
    <n v="0"/>
    <n v="49000"/>
    <s v="Jan-2023"/>
    <s v="Q1-2023"/>
    <s v="Tue"/>
    <s v="Low"/>
  </r>
  <r>
    <s v="ORD-0310"/>
    <d v="2023-01-10T00:00:00"/>
    <s v="CUST-6295"/>
    <s v="Arjun Nair"/>
    <s v="North"/>
    <s v="Jaipur"/>
    <x v="0"/>
    <s v="OnePlus Nord"/>
    <n v="1"/>
    <n v="15000"/>
    <n v="5"/>
    <s v="Priya Patel"/>
    <n v="15000"/>
    <n v="750"/>
    <n v="14250"/>
    <s v="Jan-2023"/>
    <s v="Q1-2023"/>
    <s v="Tue"/>
    <s v="Low"/>
  </r>
  <r>
    <s v="ORD-0311"/>
    <d v="2023-02-10T00:00:00"/>
    <s v="CUST-3922"/>
    <s v="Sakshi Rathore"/>
    <s v="Central"/>
    <s v="Bhopal"/>
    <x v="1"/>
    <s v="Laptop Bag"/>
    <n v="2"/>
    <n v="900"/>
    <n v="25"/>
    <s v="Vikram Singh"/>
    <n v="1800"/>
    <n v="450"/>
    <n v="1350"/>
    <s v="Feb-2023"/>
    <s v="Q1-2023"/>
    <s v="Fri"/>
    <s v="Low"/>
  </r>
  <r>
    <s v="ORD-0312"/>
    <d v="2023-02-10T00:00:00"/>
    <s v="CUST-4767"/>
    <s v="Sanjay Joshi"/>
    <s v="Central"/>
    <s v="Nagpur"/>
    <x v="2"/>
    <s v="Samsung Galaxy Watch"/>
    <n v="1"/>
    <n v="10500"/>
    <n v="25"/>
    <s v="Priya Patel"/>
    <n v="10500"/>
    <n v="2625"/>
    <n v="7875"/>
    <s v="Feb-2023"/>
    <s v="Q1-2023"/>
    <s v="Fri"/>
    <s v="Low"/>
  </r>
  <r>
    <s v="ORD-0313"/>
    <d v="2023-04-10T00:00:00"/>
    <s v="CUST-4945"/>
    <s v="Ananya Bose"/>
    <s v="West"/>
    <s v="Ahmedabad"/>
    <x v="2"/>
    <s v="Apple Watch Series 8"/>
    <n v="1"/>
    <n v="29800"/>
    <n v="10"/>
    <s v="Amit Kumar"/>
    <n v="29800"/>
    <n v="2980"/>
    <n v="26820"/>
    <s v="Apr-2023"/>
    <s v="Q2-2023"/>
    <s v="Mon"/>
    <s v="Low"/>
  </r>
  <r>
    <s v="ORD-0314"/>
    <d v="2023-04-10T00:00:00"/>
    <s v="CUST-9965"/>
    <s v="Neha Agarwal"/>
    <s v="East"/>
    <s v="Ranchi"/>
    <x v="0"/>
    <s v="Samsung Galaxy S23"/>
    <n v="1"/>
    <n v="41400"/>
    <n v="0"/>
    <s v="Priya Patel"/>
    <n v="41400"/>
    <n v="0"/>
    <n v="41400"/>
    <s v="Apr-2023"/>
    <s v="Q2-2023"/>
    <s v="Mon"/>
    <s v="Low"/>
  </r>
  <r>
    <s v="ORD-0315"/>
    <d v="2023-06-10T00:00:00"/>
    <s v="CUST-5369"/>
    <s v="Aditya Rao"/>
    <s v="West"/>
    <s v="Mumbai"/>
    <x v="1"/>
    <s v="Webcam"/>
    <n v="3"/>
    <n v="1900"/>
    <n v="5"/>
    <s v="Rahul Sharma"/>
    <n v="5700"/>
    <n v="285"/>
    <n v="5415"/>
    <s v="Jun-2023"/>
    <s v="Q2-2023"/>
    <s v="Sat"/>
    <s v="Low"/>
  </r>
  <r>
    <s v="ORD-0316"/>
    <d v="2023-06-10T00:00:00"/>
    <s v="CUST-7724"/>
    <s v="Anjali Gupta"/>
    <s v="Central"/>
    <s v="Nagpur"/>
    <x v="4"/>
    <s v="ASUS VivoBook"/>
    <n v="1"/>
    <n v="55100"/>
    <n v="10"/>
    <s v="Rohan Mehta"/>
    <n v="55100"/>
    <n v="5510"/>
    <n v="49590"/>
    <s v="Jun-2023"/>
    <s v="Q2-2023"/>
    <s v="Sat"/>
    <s v="Low"/>
  </r>
  <r>
    <s v="ORD-0317"/>
    <d v="2023-06-10T00:00:00"/>
    <s v="CUST-4064"/>
    <s v="Nisha Ghosh"/>
    <s v="North"/>
    <s v="Jaipur"/>
    <x v="1"/>
    <s v="USB-C Cable"/>
    <n v="3"/>
    <n v="800"/>
    <n v="10"/>
    <s v="Vikram Singh"/>
    <n v="2400"/>
    <n v="240"/>
    <n v="2160"/>
    <s v="Jun-2023"/>
    <s v="Q2-2023"/>
    <s v="Sat"/>
    <s v="Low"/>
  </r>
  <r>
    <s v="ORD-0318"/>
    <d v="2023-06-10T00:00:00"/>
    <s v="CUST-0895"/>
    <s v="Nikhil Jain"/>
    <s v="South"/>
    <s v="Kochi"/>
    <x v="2"/>
    <s v="Samsung Galaxy Watch"/>
    <n v="1"/>
    <n v="16400"/>
    <n v="20"/>
    <s v="Vikram Singh"/>
    <n v="16400"/>
    <n v="3280"/>
    <n v="13120"/>
    <s v="Jun-2023"/>
    <s v="Q2-2023"/>
    <s v="Sat"/>
    <s v="Low"/>
  </r>
  <r>
    <s v="ORD-0319"/>
    <d v="2023-06-10T00:00:00"/>
    <s v="CUST-5409"/>
    <s v="Akash Pillai"/>
    <s v="West"/>
    <s v="Pune"/>
    <x v="1"/>
    <s v="Mechanical Keyboard"/>
    <n v="2"/>
    <n v="1200"/>
    <n v="10"/>
    <s v="Kavya Iyer"/>
    <n v="2400"/>
    <n v="240"/>
    <n v="2160"/>
    <s v="Jun-2023"/>
    <s v="Q2-2023"/>
    <s v="Sat"/>
    <s v="Low"/>
  </r>
  <r>
    <s v="ORD-0320"/>
    <d v="2023-06-10T00:00:00"/>
    <s v="CUST-0354"/>
    <s v="Meera Chawla"/>
    <s v="West"/>
    <s v="Mumbai"/>
    <x v="2"/>
    <s v="Apple Watch Series 8"/>
    <n v="1"/>
    <n v="20800"/>
    <n v="15"/>
    <s v="Rahul Sharma"/>
    <n v="20800"/>
    <n v="3120"/>
    <n v="17680"/>
    <s v="Jun-2023"/>
    <s v="Q2-2023"/>
    <s v="Sat"/>
    <s v="Low"/>
  </r>
  <r>
    <s v="ORD-0321"/>
    <d v="2023-06-10T00:00:00"/>
    <s v="CUST-5060"/>
    <s v="Gaurav Bhatt"/>
    <s v="West"/>
    <s v="Ahmedabad"/>
    <x v="3"/>
    <s v="Lenovo Tab P11"/>
    <n v="1"/>
    <n v="35200"/>
    <n v="0"/>
    <s v="Priya Patel"/>
    <n v="35200"/>
    <n v="0"/>
    <n v="35200"/>
    <s v="Jun-2023"/>
    <s v="Q2-2023"/>
    <s v="Sat"/>
    <s v="Low"/>
  </r>
  <r>
    <s v="ORD-0322"/>
    <d v="2023-07-10T00:00:00"/>
    <s v="CUST-4064"/>
    <s v="Nisha Ghosh"/>
    <s v="South"/>
    <s v="Bangalore"/>
    <x v="1"/>
    <s v="USB-C Cable"/>
    <n v="2"/>
    <n v="900"/>
    <n v="5"/>
    <s v="Priya Patel"/>
    <n v="1800"/>
    <n v="90"/>
    <n v="1710"/>
    <s v="Jul-2023"/>
    <s v="Q3-2023"/>
    <s v="Mon"/>
    <s v="Low"/>
  </r>
  <r>
    <s v="ORD-0323"/>
    <d v="2023-07-10T00:00:00"/>
    <s v="CUST-9965"/>
    <s v="Neha Agarwal"/>
    <s v="West"/>
    <s v="Ahmedabad"/>
    <x v="0"/>
    <s v="Realme GT"/>
    <n v="1"/>
    <n v="60000"/>
    <n v="5"/>
    <s v="Priya Patel"/>
    <n v="60000"/>
    <n v="3000"/>
    <n v="57000"/>
    <s v="Jul-2023"/>
    <s v="Q3-2023"/>
    <s v="Mon"/>
    <s v="Medium"/>
  </r>
  <r>
    <s v="ORD-0324"/>
    <d v="2023-07-10T00:00:00"/>
    <s v="CUST-8593"/>
    <s v="Sneha Sharma"/>
    <s v="East"/>
    <s v="Patna"/>
    <x v="1"/>
    <s v="Wireless Mouse"/>
    <n v="2"/>
    <n v="2200"/>
    <n v="15"/>
    <s v="Priya Patel"/>
    <n v="4400"/>
    <n v="660"/>
    <n v="3740"/>
    <s v="Jul-2023"/>
    <s v="Q3-2023"/>
    <s v="Mon"/>
    <s v="Low"/>
  </r>
  <r>
    <s v="ORD-0325"/>
    <d v="2023-07-10T00:00:00"/>
    <s v="CUST-8593"/>
    <s v="Sneha Sharma"/>
    <s v="West"/>
    <s v="Mumbai"/>
    <x v="3"/>
    <s v="iPad Air"/>
    <n v="1"/>
    <n v="34300"/>
    <n v="0"/>
    <s v="Vikram Singh"/>
    <n v="34300"/>
    <n v="0"/>
    <n v="34300"/>
    <s v="Jul-2023"/>
    <s v="Q3-2023"/>
    <s v="Mon"/>
    <s v="Low"/>
  </r>
  <r>
    <s v="ORD-0326"/>
    <d v="2023-08-10T00:00:00"/>
    <s v="CUST-1540"/>
    <s v="Simran Kaur"/>
    <s v="South"/>
    <s v="Kochi"/>
    <x v="4"/>
    <s v="Acer Aspire"/>
    <n v="1"/>
    <n v="54400"/>
    <n v="5"/>
    <s v="Priya Patel"/>
    <n v="54400"/>
    <n v="2720"/>
    <n v="51680"/>
    <s v="Aug-2023"/>
    <s v="Q3-2023"/>
    <s v="Thu"/>
    <s v="Medium"/>
  </r>
  <r>
    <s v="ORD-0327"/>
    <d v="2023-08-10T00:00:00"/>
    <s v="CUST-8185"/>
    <s v="Rohan Mehta"/>
    <s v="Central"/>
    <s v="Nagpur"/>
    <x v="3"/>
    <s v="Lenovo Tab P11"/>
    <n v="1"/>
    <n v="20000"/>
    <n v="5"/>
    <s v="Vikram Singh"/>
    <n v="20000"/>
    <n v="1000"/>
    <n v="19000"/>
    <s v="Aug-2023"/>
    <s v="Q3-2023"/>
    <s v="Thu"/>
    <s v="Low"/>
  </r>
  <r>
    <s v="ORD-0328"/>
    <d v="2023-10-10T00:00:00"/>
    <s v="CUST-6295"/>
    <s v="Arjun Nair"/>
    <s v="North"/>
    <s v="Jaipur"/>
    <x v="2"/>
    <s v="Apple Watch Series 8"/>
    <n v="1"/>
    <n v="15300"/>
    <n v="5"/>
    <s v="Sneha Reddy"/>
    <n v="15300"/>
    <n v="765"/>
    <n v="14535"/>
    <s v="Oct-2023"/>
    <s v="Q4-2023"/>
    <s v="Tue"/>
    <s v="Low"/>
  </r>
  <r>
    <s v="ORD-0329"/>
    <d v="2023-10-10T00:00:00"/>
    <s v="CUST-4064"/>
    <s v="Nisha Ghosh"/>
    <s v="North"/>
    <s v="Delhi"/>
    <x v="2"/>
    <s v="Apple Watch Series 8"/>
    <n v="1"/>
    <n v="20100"/>
    <n v="20"/>
    <s v="Rohan Mehta"/>
    <n v="20100"/>
    <n v="4020"/>
    <n v="16080"/>
    <s v="Oct-2023"/>
    <s v="Q4-2023"/>
    <s v="Tue"/>
    <s v="Low"/>
  </r>
  <r>
    <s v="ORD-0330"/>
    <d v="2023-10-10T00:00:00"/>
    <s v="CUST-8905"/>
    <s v="Rahul Kapoor"/>
    <s v="South"/>
    <s v="Hyderabad"/>
    <x v="2"/>
    <s v="Mi Band 7"/>
    <n v="1"/>
    <n v="20600"/>
    <n v="15"/>
    <s v="Rohan Mehta"/>
    <n v="20600"/>
    <n v="3090"/>
    <n v="17510"/>
    <s v="Oct-2023"/>
    <s v="Q4-2023"/>
    <s v="Tue"/>
    <s v="Low"/>
  </r>
  <r>
    <s v="ORD-0331"/>
    <d v="2023-10-10T00:00:00"/>
    <s v="CUST-8593"/>
    <s v="Sneha Sharma"/>
    <s v="Central"/>
    <s v="Indore"/>
    <x v="0"/>
    <s v="Xiaomi 13"/>
    <n v="1"/>
    <n v="39900"/>
    <n v="20"/>
    <s v="Priya Patel"/>
    <n v="39900"/>
    <n v="7980"/>
    <n v="31920"/>
    <s v="Oct-2023"/>
    <s v="Q4-2023"/>
    <s v="Tue"/>
    <s v="Low"/>
  </r>
  <r>
    <s v="ORD-0332"/>
    <d v="2023-11-10T00:00:00"/>
    <s v="CUST-6967"/>
    <s v="Aarti Shetty"/>
    <s v="North"/>
    <s v="Lucknow"/>
    <x v="3"/>
    <s v="Amazon Fire HD"/>
    <n v="1"/>
    <n v="32800"/>
    <n v="0"/>
    <s v="Sneha Reddy"/>
    <n v="32800"/>
    <n v="0"/>
    <n v="32800"/>
    <s v="Nov-2023"/>
    <s v="Q4-2023"/>
    <s v="Fri"/>
    <s v="Low"/>
  </r>
  <r>
    <s v="ORD-0333"/>
    <d v="2023-11-10T00:00:00"/>
    <s v="CUST-7693"/>
    <s v="Sameer Dutta"/>
    <s v="North"/>
    <s v="Delhi"/>
    <x v="2"/>
    <s v="Apple Watch Series 8"/>
    <n v="1"/>
    <n v="25000"/>
    <n v="15"/>
    <s v="Vikram Singh"/>
    <n v="25000"/>
    <n v="3750"/>
    <n v="21250"/>
    <s v="Nov-2023"/>
    <s v="Q4-2023"/>
    <s v="Fri"/>
    <s v="Low"/>
  </r>
  <r>
    <s v="ORD-0334"/>
    <d v="2023-12-10T00:00:00"/>
    <s v="CUST-8185"/>
    <s v="Rohan Mehta"/>
    <s v="Central"/>
    <s v="Raipur"/>
    <x v="2"/>
    <s v="Fitbit Versa 4"/>
    <n v="2"/>
    <n v="10300"/>
    <n v="10"/>
    <s v="Kavya Iyer"/>
    <n v="20600"/>
    <n v="2060"/>
    <n v="18540"/>
    <s v="Dec-2023"/>
    <s v="Q4-2023"/>
    <s v="Sun"/>
    <s v="Low"/>
  </r>
  <r>
    <s v="ORD-0335"/>
    <d v="2023-12-10T00:00:00"/>
    <s v="CUST-1540"/>
    <s v="Simran Kaur"/>
    <s v="East"/>
    <s v="Ranchi"/>
    <x v="2"/>
    <s v="Mi Band 7"/>
    <n v="1"/>
    <n v="18000"/>
    <n v="0"/>
    <s v="Sneha Reddy"/>
    <n v="18000"/>
    <n v="0"/>
    <n v="18000"/>
    <s v="Dec-2023"/>
    <s v="Q4-2023"/>
    <s v="Sun"/>
    <s v="Low"/>
  </r>
  <r>
    <s v="ORD-0336"/>
    <d v="2023-01-11T00:00:00"/>
    <s v="CUST-4945"/>
    <s v="Ananya Bose"/>
    <s v="West"/>
    <s v="Pune"/>
    <x v="0"/>
    <s v="OnePlus Nord"/>
    <n v="1"/>
    <n v="27600"/>
    <n v="25"/>
    <s v="Rahul Sharma"/>
    <n v="27600"/>
    <n v="6900"/>
    <n v="20700"/>
    <s v="Jan-2023"/>
    <s v="Q1-2023"/>
    <s v="Wed"/>
    <s v="Low"/>
  </r>
  <r>
    <s v="ORD-0337"/>
    <d v="2023-01-11T00:00:00"/>
    <s v="CUST-6453"/>
    <s v="Karan Verma"/>
    <s v="East"/>
    <s v="Patna"/>
    <x v="4"/>
    <s v="Dell Inspiron"/>
    <n v="1"/>
    <n v="69200"/>
    <n v="10"/>
    <s v="Rohan Mehta"/>
    <n v="69200"/>
    <n v="6920"/>
    <n v="62280"/>
    <s v="Jan-2023"/>
    <s v="Q1-2023"/>
    <s v="Wed"/>
    <s v="Medium"/>
  </r>
  <r>
    <s v="ORD-0338"/>
    <d v="2023-01-11T00:00:00"/>
    <s v="CUST-4295"/>
    <s v="Manish Arora"/>
    <s v="Central"/>
    <s v="Nagpur"/>
    <x v="4"/>
    <s v="ASUS VivoBook"/>
    <n v="1"/>
    <n v="45900"/>
    <n v="10"/>
    <s v="Rohan Mehta"/>
    <n v="45900"/>
    <n v="4590"/>
    <n v="41310"/>
    <s v="Jan-2023"/>
    <s v="Q1-2023"/>
    <s v="Wed"/>
    <s v="Low"/>
  </r>
  <r>
    <s v="ORD-0339"/>
    <d v="2023-02-11T00:00:00"/>
    <s v="CUST-6295"/>
    <s v="Arjun Nair"/>
    <s v="Central"/>
    <s v="Indore"/>
    <x v="3"/>
    <s v="Lenovo Tab P11"/>
    <n v="2"/>
    <n v="28900"/>
    <n v="10"/>
    <s v="Priya Patel"/>
    <n v="57800"/>
    <n v="5780"/>
    <n v="52020"/>
    <s v="Feb-2023"/>
    <s v="Q1-2023"/>
    <s v="Sat"/>
    <s v="Medium"/>
  </r>
  <r>
    <s v="ORD-0340"/>
    <d v="2023-02-11T00:00:00"/>
    <s v="CUST-4816"/>
    <s v="Amit Patel"/>
    <s v="West"/>
    <s v="Ahmedabad"/>
    <x v="0"/>
    <s v="iPhone 14"/>
    <n v="1"/>
    <n v="30000"/>
    <n v="20"/>
    <s v="Rohan Mehta"/>
    <n v="30000"/>
    <n v="6000"/>
    <n v="24000"/>
    <s v="Feb-2023"/>
    <s v="Q1-2023"/>
    <s v="Sat"/>
    <s v="Low"/>
  </r>
  <r>
    <s v="ORD-0341"/>
    <d v="2023-02-11T00:00:00"/>
    <s v="CUST-4761"/>
    <s v="Rajesh Kumar"/>
    <s v="West"/>
    <s v="Surat"/>
    <x v="1"/>
    <s v="USB-C Cable"/>
    <n v="2"/>
    <n v="1300"/>
    <n v="25"/>
    <s v="Anjali Gupta"/>
    <n v="2600"/>
    <n v="650"/>
    <n v="1950"/>
    <s v="Feb-2023"/>
    <s v="Q1-2023"/>
    <s v="Sat"/>
    <s v="Low"/>
  </r>
  <r>
    <s v="ORD-0342"/>
    <d v="2023-03-11T00:00:00"/>
    <s v="CUST-4761"/>
    <s v="Rajesh Kumar"/>
    <s v="West"/>
    <s v="Ahmedabad"/>
    <x v="0"/>
    <s v="OnePlus Nord"/>
    <n v="1"/>
    <n v="25800"/>
    <n v="10"/>
    <s v="Amit Kumar"/>
    <n v="25800"/>
    <n v="2580"/>
    <n v="23220"/>
    <s v="Mar-2023"/>
    <s v="Q1-2023"/>
    <s v="Sat"/>
    <s v="Low"/>
  </r>
  <r>
    <s v="ORD-0343"/>
    <d v="2023-05-11T00:00:00"/>
    <s v="CUST-2055"/>
    <s v="Shreya Pandey"/>
    <s v="West"/>
    <s v="Mumbai"/>
    <x v="1"/>
    <s v="USB-C Cable"/>
    <n v="2"/>
    <n v="1000"/>
    <n v="5"/>
    <s v="Anjali Gupta"/>
    <n v="2000"/>
    <n v="100"/>
    <n v="1900"/>
    <s v="May-2023"/>
    <s v="Q2-2023"/>
    <s v="Thu"/>
    <s v="Low"/>
  </r>
  <r>
    <s v="ORD-0344"/>
    <d v="2023-05-11T00:00:00"/>
    <s v="CUST-8923"/>
    <s v="Pooja Desai"/>
    <s v="Central"/>
    <s v="Indore"/>
    <x v="0"/>
    <s v="Samsung Galaxy S23"/>
    <n v="1"/>
    <n v="49300"/>
    <n v="10"/>
    <s v="Kavya Iyer"/>
    <n v="49300"/>
    <n v="4930"/>
    <n v="44370"/>
    <s v="May-2023"/>
    <s v="Q2-2023"/>
    <s v="Thu"/>
    <s v="Low"/>
  </r>
  <r>
    <s v="ORD-0345"/>
    <d v="2023-05-11T00:00:00"/>
    <s v="CUST-5247"/>
    <s v="Kavya Iyer"/>
    <s v="North"/>
    <s v="Lucknow"/>
    <x v="3"/>
    <s v="Lenovo Tab P11"/>
    <n v="1"/>
    <n v="38100"/>
    <n v="0"/>
    <s v="Anjali Gupta"/>
    <n v="38100"/>
    <n v="0"/>
    <n v="38100"/>
    <s v="May-2023"/>
    <s v="Q2-2023"/>
    <s v="Thu"/>
    <s v="Low"/>
  </r>
  <r>
    <s v="ORD-0346"/>
    <d v="2023-06-11T00:00:00"/>
    <s v="CUST-8995"/>
    <s v="Mohit Saxena"/>
    <s v="South"/>
    <s v="Bangalore"/>
    <x v="1"/>
    <s v="USB-C Cable"/>
    <n v="2"/>
    <n v="900"/>
    <n v="0"/>
    <s v="Rahul Sharma"/>
    <n v="1800"/>
    <n v="0"/>
    <n v="1800"/>
    <s v="Jun-2023"/>
    <s v="Q2-2023"/>
    <s v="Sun"/>
    <s v="Low"/>
  </r>
  <r>
    <s v="ORD-0347"/>
    <d v="2023-07-11T00:00:00"/>
    <s v="CUST-7270"/>
    <s v="Yash Dhawan"/>
    <s v="West"/>
    <s v="Surat"/>
    <x v="1"/>
    <s v="Laptop Bag"/>
    <n v="2"/>
    <n v="2800"/>
    <n v="0"/>
    <s v="Amit Kumar"/>
    <n v="5600"/>
    <n v="0"/>
    <n v="5600"/>
    <s v="Jul-2023"/>
    <s v="Q3-2023"/>
    <s v="Tue"/>
    <s v="Low"/>
  </r>
  <r>
    <s v="ORD-0348"/>
    <d v="2023-07-11T00:00:00"/>
    <s v="CUST-8593"/>
    <s v="Sneha Sharma"/>
    <s v="Central"/>
    <s v="Bhopal"/>
    <x v="3"/>
    <s v="Samsung Tab S8"/>
    <n v="1"/>
    <n v="28700"/>
    <n v="25"/>
    <s v="Amit Kumar"/>
    <n v="28700"/>
    <n v="7175"/>
    <n v="21525"/>
    <s v="Jul-2023"/>
    <s v="Q3-2023"/>
    <s v="Tue"/>
    <s v="Low"/>
  </r>
  <r>
    <s v="ORD-0349"/>
    <d v="2023-07-11T00:00:00"/>
    <s v="CUST-8962"/>
    <s v="Priya Singh"/>
    <s v="North"/>
    <s v="Jaipur"/>
    <x v="4"/>
    <s v="ASUS VivoBook"/>
    <n v="1"/>
    <n v="59600"/>
    <n v="20"/>
    <s v="Kavya Iyer"/>
    <n v="59600"/>
    <n v="11920"/>
    <n v="47680"/>
    <s v="Jul-2023"/>
    <s v="Q3-2023"/>
    <s v="Tue"/>
    <s v="Low"/>
  </r>
  <r>
    <s v="ORD-0350"/>
    <d v="2023-08-11T00:00:00"/>
    <s v="CUST-8185"/>
    <s v="Rohan Mehta"/>
    <s v="East"/>
    <s v="Patna"/>
    <x v="2"/>
    <s v="Mi Band 7"/>
    <n v="1"/>
    <n v="18700"/>
    <n v="0"/>
    <s v="Rahul Sharma"/>
    <n v="18700"/>
    <n v="0"/>
    <n v="18700"/>
    <s v="Aug-2023"/>
    <s v="Q3-2023"/>
    <s v="Fri"/>
    <s v="Low"/>
  </r>
  <r>
    <s v="ORD-0351"/>
    <d v="2023-08-11T00:00:00"/>
    <s v="CUST-8923"/>
    <s v="Pooja Desai"/>
    <s v="East"/>
    <s v="Kolkata"/>
    <x v="2"/>
    <s v="Apple Watch Series 8"/>
    <n v="1"/>
    <n v="19800"/>
    <n v="5"/>
    <s v="Kavya Iyer"/>
    <n v="19800"/>
    <n v="990"/>
    <n v="18810"/>
    <s v="Aug-2023"/>
    <s v="Q3-2023"/>
    <s v="Fri"/>
    <s v="Low"/>
  </r>
  <r>
    <s v="ORD-0352"/>
    <d v="2023-08-11T00:00:00"/>
    <s v="CUST-4761"/>
    <s v="Rajesh Kumar"/>
    <s v="Central"/>
    <s v="Bhopal"/>
    <x v="4"/>
    <s v="ASUS VivoBook"/>
    <n v="1"/>
    <n v="63300"/>
    <n v="0"/>
    <s v="Amit Kumar"/>
    <n v="63300"/>
    <n v="0"/>
    <n v="63300"/>
    <s v="Aug-2023"/>
    <s v="Q3-2023"/>
    <s v="Fri"/>
    <s v="Medium"/>
  </r>
  <r>
    <s v="ORD-0353"/>
    <d v="2023-08-11T00:00:00"/>
    <s v="CUST-5409"/>
    <s v="Akash Pillai"/>
    <s v="East"/>
    <s v="Kolkata"/>
    <x v="2"/>
    <s v="Apple Watch Series 8"/>
    <n v="1"/>
    <n v="33600"/>
    <n v="25"/>
    <s v="Rohan Mehta"/>
    <n v="33600"/>
    <n v="8400"/>
    <n v="25200"/>
    <s v="Aug-2023"/>
    <s v="Q3-2023"/>
    <s v="Fri"/>
    <s v="Low"/>
  </r>
  <r>
    <s v="ORD-0354"/>
    <d v="2023-09-11T00:00:00"/>
    <s v="CUST-9969"/>
    <s v="Ritika Menon"/>
    <s v="North"/>
    <s v="Chandigarh"/>
    <x v="3"/>
    <s v="Amazon Fire HD"/>
    <n v="1"/>
    <n v="32400"/>
    <n v="15"/>
    <s v="Priya Patel"/>
    <n v="32400"/>
    <n v="4860"/>
    <n v="27540"/>
    <s v="Sep-2023"/>
    <s v="Q3-2023"/>
    <s v="Mon"/>
    <s v="Low"/>
  </r>
  <r>
    <s v="ORD-0355"/>
    <d v="2023-09-11T00:00:00"/>
    <s v="CUST-6126"/>
    <s v="Siddharth Tiwari"/>
    <s v="North"/>
    <s v="Jaipur"/>
    <x v="2"/>
    <s v="Samsung Galaxy Watch"/>
    <n v="1"/>
    <n v="21800"/>
    <n v="0"/>
    <s v="Priya Patel"/>
    <n v="21800"/>
    <n v="0"/>
    <n v="21800"/>
    <s v="Sep-2023"/>
    <s v="Q3-2023"/>
    <s v="Mon"/>
    <s v="Low"/>
  </r>
  <r>
    <s v="ORD-0356"/>
    <d v="2023-09-11T00:00:00"/>
    <s v="CUST-0018"/>
    <s v="Tanvi Kulkarni"/>
    <s v="South"/>
    <s v="Bangalore"/>
    <x v="1"/>
    <s v="USB-C Cable"/>
    <n v="2"/>
    <n v="3000"/>
    <n v="5"/>
    <s v="Vikram Singh"/>
    <n v="6000"/>
    <n v="300"/>
    <n v="5700"/>
    <s v="Sep-2023"/>
    <s v="Q3-2023"/>
    <s v="Mon"/>
    <s v="Low"/>
  </r>
  <r>
    <s v="ORD-0357"/>
    <d v="2023-09-11T00:00:00"/>
    <s v="CUST-4295"/>
    <s v="Manish Arora"/>
    <s v="East"/>
    <s v="Patna"/>
    <x v="3"/>
    <s v="Lenovo Tab P11"/>
    <n v="1"/>
    <n v="35200"/>
    <n v="20"/>
    <s v="Amit Kumar"/>
    <n v="35200"/>
    <n v="7040"/>
    <n v="28160"/>
    <s v="Sep-2023"/>
    <s v="Q3-2023"/>
    <s v="Mon"/>
    <s v="Low"/>
  </r>
  <r>
    <s v="ORD-0358"/>
    <d v="2023-10-11T00:00:00"/>
    <s v="CUST-4295"/>
    <s v="Manish Arora"/>
    <s v="East"/>
    <s v="Bhubaneswar"/>
    <x v="1"/>
    <s v="Wireless Mouse"/>
    <n v="2"/>
    <n v="1700"/>
    <n v="0"/>
    <s v="Vikram Singh"/>
    <n v="3400"/>
    <n v="0"/>
    <n v="3400"/>
    <s v="Oct-2023"/>
    <s v="Q4-2023"/>
    <s v="Wed"/>
    <s v="Low"/>
  </r>
  <r>
    <s v="ORD-0359"/>
    <d v="2023-11-11T00:00:00"/>
    <s v="CUST-6967"/>
    <s v="Aarti Shetty"/>
    <s v="Central"/>
    <s v="Indore"/>
    <x v="3"/>
    <s v="Amazon Fire HD"/>
    <n v="1"/>
    <n v="40100"/>
    <n v="10"/>
    <s v="Kavya Iyer"/>
    <n v="40100"/>
    <n v="4010"/>
    <n v="36090"/>
    <s v="Nov-2023"/>
    <s v="Q4-2023"/>
    <s v="Sat"/>
    <s v="Low"/>
  </r>
  <r>
    <s v="ORD-0360"/>
    <d v="2023-11-11T00:00:00"/>
    <s v="CUST-6453"/>
    <s v="Karan Verma"/>
    <s v="South"/>
    <s v="Bangalore"/>
    <x v="3"/>
    <s v="Samsung Tab S8"/>
    <n v="1"/>
    <n v="39100"/>
    <n v="0"/>
    <s v="Priya Patel"/>
    <n v="39100"/>
    <n v="0"/>
    <n v="39100"/>
    <s v="Nov-2023"/>
    <s v="Q4-2023"/>
    <s v="Sat"/>
    <s v="Low"/>
  </r>
  <r>
    <s v="ORD-0361"/>
    <d v="2023-11-11T00:00:00"/>
    <s v="CUST-4295"/>
    <s v="Manish Arora"/>
    <s v="South"/>
    <s v="Chennai"/>
    <x v="1"/>
    <s v="Mechanical Keyboard"/>
    <n v="2"/>
    <n v="2400"/>
    <n v="0"/>
    <s v="Amit Kumar"/>
    <n v="4800"/>
    <n v="0"/>
    <n v="4800"/>
    <s v="Nov-2023"/>
    <s v="Q4-2023"/>
    <s v="Sat"/>
    <s v="Low"/>
  </r>
  <r>
    <s v="ORD-0362"/>
    <d v="2023-12-11T00:00:00"/>
    <s v="CUST-6126"/>
    <s v="Siddharth Tiwari"/>
    <s v="East"/>
    <s v="Kolkata"/>
    <x v="0"/>
    <s v="Xiaomi 13"/>
    <n v="1"/>
    <n v="44800"/>
    <n v="20"/>
    <s v="Vikram Singh"/>
    <n v="44800"/>
    <n v="8960"/>
    <n v="35840"/>
    <s v="Dec-2023"/>
    <s v="Q4-2023"/>
    <s v="Mon"/>
    <s v="Low"/>
  </r>
  <r>
    <s v="ORD-0363"/>
    <d v="2023-12-11T00:00:00"/>
    <s v="CUST-8995"/>
    <s v="Mohit Saxena"/>
    <s v="East"/>
    <s v="Kolkata"/>
    <x v="2"/>
    <s v="Fitbit Versa 4"/>
    <n v="1"/>
    <n v="30300"/>
    <n v="15"/>
    <s v="Anjali Gupta"/>
    <n v="30300"/>
    <n v="4545"/>
    <n v="25755"/>
    <s v="Dec-2023"/>
    <s v="Q4-2023"/>
    <s v="Mon"/>
    <s v="Low"/>
  </r>
  <r>
    <s v="ORD-0364"/>
    <d v="2023-12-11T00:00:00"/>
    <s v="CUST-1540"/>
    <s v="Simran Kaur"/>
    <s v="East"/>
    <s v="Kolkata"/>
    <x v="0"/>
    <s v="OnePlus Nord"/>
    <n v="1"/>
    <n v="57200"/>
    <n v="0"/>
    <s v="Vikram Singh"/>
    <n v="57200"/>
    <n v="0"/>
    <n v="57200"/>
    <s v="Dec-2023"/>
    <s v="Q4-2023"/>
    <s v="Mon"/>
    <s v="Medium"/>
  </r>
  <r>
    <s v="ORD-0365"/>
    <d v="2023-12-11T00:00:00"/>
    <s v="CUST-5560"/>
    <s v="Swati Nambiar"/>
    <s v="Central"/>
    <s v="Raipur"/>
    <x v="1"/>
    <s v="Wireless Mouse"/>
    <n v="2"/>
    <n v="2300"/>
    <n v="10"/>
    <s v="Vikram Singh"/>
    <n v="4600"/>
    <n v="460"/>
    <n v="4140"/>
    <s v="Dec-2023"/>
    <s v="Q4-2023"/>
    <s v="Mon"/>
    <s v="Low"/>
  </r>
  <r>
    <s v="ORD-0366"/>
    <d v="2023-12-11T00:00:00"/>
    <s v="CUST-4816"/>
    <s v="Amit Patel"/>
    <s v="North"/>
    <s v="Delhi"/>
    <x v="2"/>
    <s v="Apple Watch Series 8"/>
    <n v="1"/>
    <n v="24700"/>
    <n v="25"/>
    <s v="Priya Patel"/>
    <n v="24700"/>
    <n v="6175"/>
    <n v="18525"/>
    <s v="Dec-2023"/>
    <s v="Q4-2023"/>
    <s v="Mon"/>
    <s v="Low"/>
  </r>
  <r>
    <s v="ORD-0367"/>
    <d v="2023-01-12T00:00:00"/>
    <s v="CUST-8995"/>
    <s v="Mohit Saxena"/>
    <s v="South"/>
    <s v="Hyderabad"/>
    <x v="1"/>
    <s v="Webcam"/>
    <n v="2"/>
    <n v="1900"/>
    <n v="10"/>
    <s v="Kavya Iyer"/>
    <n v="3800"/>
    <n v="380"/>
    <n v="3420"/>
    <s v="Jan-2023"/>
    <s v="Q1-2023"/>
    <s v="Thu"/>
    <s v="Low"/>
  </r>
  <r>
    <s v="ORD-0368"/>
    <d v="2023-01-12T00:00:00"/>
    <s v="CUST-1661"/>
    <s v="Harsh Sinha"/>
    <s v="Central"/>
    <s v="Indore"/>
    <x v="4"/>
    <s v="Lenovo ThinkPad"/>
    <n v="1"/>
    <n v="44500"/>
    <n v="0"/>
    <s v="Vikram Singh"/>
    <n v="44500"/>
    <n v="0"/>
    <n v="44500"/>
    <s v="Jan-2023"/>
    <s v="Q1-2023"/>
    <s v="Thu"/>
    <s v="Low"/>
  </r>
  <r>
    <s v="ORD-0369"/>
    <d v="2023-02-12T00:00:00"/>
    <s v="CUST-8995"/>
    <s v="Mohit Saxena"/>
    <s v="East"/>
    <s v="Bhubaneswar"/>
    <x v="1"/>
    <s v="Mechanical Keyboard"/>
    <n v="1"/>
    <n v="1700"/>
    <n v="10"/>
    <s v="Anjali Gupta"/>
    <n v="1700"/>
    <n v="170"/>
    <n v="1530"/>
    <s v="Feb-2023"/>
    <s v="Q1-2023"/>
    <s v="Sun"/>
    <s v="Low"/>
  </r>
  <r>
    <s v="ORD-0370"/>
    <d v="2023-02-12T00:00:00"/>
    <s v="CUST-4064"/>
    <s v="Nisha Ghosh"/>
    <s v="South"/>
    <s v="Hyderabad"/>
    <x v="1"/>
    <s v="Webcam"/>
    <n v="2"/>
    <n v="2500"/>
    <n v="0"/>
    <s v="Priya Patel"/>
    <n v="5000"/>
    <n v="0"/>
    <n v="5000"/>
    <s v="Feb-2023"/>
    <s v="Q1-2023"/>
    <s v="Sun"/>
    <s v="Low"/>
  </r>
  <r>
    <s v="ORD-0371"/>
    <d v="2023-02-12T00:00:00"/>
    <s v="CUST-0354"/>
    <s v="Meera Chawla"/>
    <s v="East"/>
    <s v="Ranchi"/>
    <x v="4"/>
    <s v="ASUS VivoBook"/>
    <n v="1"/>
    <n v="39700"/>
    <n v="5"/>
    <s v="Vikram Singh"/>
    <n v="39700"/>
    <n v="1985"/>
    <n v="37715"/>
    <s v="Feb-2023"/>
    <s v="Q1-2023"/>
    <s v="Sun"/>
    <s v="Low"/>
  </r>
  <r>
    <s v="ORD-0372"/>
    <d v="2023-02-12T00:00:00"/>
    <s v="CUST-7270"/>
    <s v="Yash Dhawan"/>
    <s v="West"/>
    <s v="Mumbai"/>
    <x v="1"/>
    <s v="Webcam"/>
    <n v="2"/>
    <n v="2200"/>
    <n v="0"/>
    <s v="Vikram Singh"/>
    <n v="4400"/>
    <n v="0"/>
    <n v="4400"/>
    <s v="Feb-2023"/>
    <s v="Q1-2023"/>
    <s v="Sun"/>
    <s v="Low"/>
  </r>
  <r>
    <s v="ORD-0373"/>
    <d v="2023-03-12T00:00:00"/>
    <s v="CUST-8923"/>
    <s v="Pooja Desai"/>
    <s v="North"/>
    <s v="Jaipur"/>
    <x v="1"/>
    <s v="Mechanical Keyboard"/>
    <n v="2"/>
    <n v="2300"/>
    <n v="0"/>
    <s v="Rohan Mehta"/>
    <n v="4600"/>
    <n v="0"/>
    <n v="4600"/>
    <s v="Mar-2023"/>
    <s v="Q1-2023"/>
    <s v="Sun"/>
    <s v="Low"/>
  </r>
  <r>
    <s v="ORD-0374"/>
    <d v="2023-03-12T00:00:00"/>
    <s v="CUST-4761"/>
    <s v="Rajesh Kumar"/>
    <s v="South"/>
    <s v="Chennai"/>
    <x v="0"/>
    <s v="Samsung Galaxy S23"/>
    <n v="1"/>
    <n v="28100"/>
    <n v="10"/>
    <s v="Vikram Singh"/>
    <n v="28100"/>
    <n v="2810"/>
    <n v="25290"/>
    <s v="Mar-2023"/>
    <s v="Q1-2023"/>
    <s v="Sun"/>
    <s v="Low"/>
  </r>
  <r>
    <s v="ORD-0375"/>
    <d v="2023-03-12T00:00:00"/>
    <s v="CUST-4414"/>
    <s v="Vikram Reddy"/>
    <s v="South"/>
    <s v="Chennai"/>
    <x v="1"/>
    <s v="Mechanical Keyboard"/>
    <n v="2"/>
    <n v="2700"/>
    <n v="5"/>
    <s v="Rohan Mehta"/>
    <n v="5400"/>
    <n v="270"/>
    <n v="5130"/>
    <s v="Mar-2023"/>
    <s v="Q1-2023"/>
    <s v="Sun"/>
    <s v="Low"/>
  </r>
  <r>
    <s v="ORD-0376"/>
    <d v="2023-05-12T00:00:00"/>
    <s v="CUST-5247"/>
    <s v="Kavya Iyer"/>
    <s v="South"/>
    <s v="Bangalore"/>
    <x v="4"/>
    <s v="Acer Aspire"/>
    <n v="1"/>
    <n v="54300"/>
    <n v="20"/>
    <s v="Rahul Sharma"/>
    <n v="54300"/>
    <n v="10860"/>
    <n v="43440"/>
    <s v="May-2023"/>
    <s v="Q2-2023"/>
    <s v="Fri"/>
    <s v="Low"/>
  </r>
  <r>
    <s v="ORD-0377"/>
    <d v="2023-07-12T00:00:00"/>
    <s v="CUST-2243"/>
    <s v="Divya Shah"/>
    <s v="South"/>
    <s v="Hyderabad"/>
    <x v="1"/>
    <s v="USB-C Cable"/>
    <n v="1"/>
    <n v="1700"/>
    <n v="0"/>
    <s v="Rohan Mehta"/>
    <n v="1700"/>
    <n v="0"/>
    <n v="1700"/>
    <s v="Jul-2023"/>
    <s v="Q3-2023"/>
    <s v="Wed"/>
    <s v="Low"/>
  </r>
  <r>
    <s v="ORD-0378"/>
    <d v="2023-07-12T00:00:00"/>
    <s v="CUST-4945"/>
    <s v="Ananya Bose"/>
    <s v="Central"/>
    <s v="Nagpur"/>
    <x v="3"/>
    <s v="Amazon Fire HD"/>
    <n v="1"/>
    <n v="33300"/>
    <n v="15"/>
    <s v="Rahul Sharma"/>
    <n v="33300"/>
    <n v="4995"/>
    <n v="28305"/>
    <s v="Jul-2023"/>
    <s v="Q3-2023"/>
    <s v="Wed"/>
    <s v="Low"/>
  </r>
  <r>
    <s v="ORD-0379"/>
    <d v="2023-08-12T00:00:00"/>
    <s v="CUST-2243"/>
    <s v="Divya Shah"/>
    <s v="Central"/>
    <s v="Indore"/>
    <x v="4"/>
    <s v="Lenovo ThinkPad"/>
    <n v="2"/>
    <n v="65500"/>
    <n v="15"/>
    <s v="Kavya Iyer"/>
    <n v="131000"/>
    <n v="19650"/>
    <n v="111350"/>
    <s v="Aug-2023"/>
    <s v="Q3-2023"/>
    <s v="Sat"/>
    <s v="High"/>
  </r>
  <r>
    <s v="ORD-0380"/>
    <d v="2023-08-12T00:00:00"/>
    <s v="CUST-4064"/>
    <s v="Nisha Ghosh"/>
    <s v="North"/>
    <s v="Chandigarh"/>
    <x v="4"/>
    <s v="Lenovo ThinkPad"/>
    <n v="1"/>
    <n v="41700"/>
    <n v="25"/>
    <s v="Rohan Mehta"/>
    <n v="41700"/>
    <n v="10425"/>
    <n v="31275"/>
    <s v="Aug-2023"/>
    <s v="Q3-2023"/>
    <s v="Sat"/>
    <s v="Low"/>
  </r>
  <r>
    <s v="ORD-0381"/>
    <d v="2023-09-12T00:00:00"/>
    <s v="CUST-6967"/>
    <s v="Aarti Shetty"/>
    <s v="North"/>
    <s v="Delhi"/>
    <x v="1"/>
    <s v="Laptop Bag"/>
    <n v="2"/>
    <n v="1100"/>
    <n v="0"/>
    <s v="Rahul Sharma"/>
    <n v="2200"/>
    <n v="0"/>
    <n v="2200"/>
    <s v="Sep-2023"/>
    <s v="Q3-2023"/>
    <s v="Tue"/>
    <s v="Low"/>
  </r>
  <r>
    <s v="ORD-0382"/>
    <d v="2023-09-12T00:00:00"/>
    <s v="CUST-6453"/>
    <s v="Karan Verma"/>
    <s v="West"/>
    <s v="Ahmedabad"/>
    <x v="4"/>
    <s v="ASUS VivoBook"/>
    <n v="1"/>
    <n v="59800"/>
    <n v="25"/>
    <s v="Anjali Gupta"/>
    <n v="59800"/>
    <n v="14950"/>
    <n v="44850"/>
    <s v="Sep-2023"/>
    <s v="Q3-2023"/>
    <s v="Tue"/>
    <s v="Low"/>
  </r>
  <r>
    <s v="ORD-0383"/>
    <d v="2023-09-12T00:00:00"/>
    <s v="CUST-2917"/>
    <s v="Ishita Bansal"/>
    <s v="North"/>
    <s v="Jaipur"/>
    <x v="3"/>
    <s v="Lenovo Tab P11"/>
    <n v="1"/>
    <n v="41900"/>
    <n v="0"/>
    <s v="Rohan Mehta"/>
    <n v="41900"/>
    <n v="0"/>
    <n v="41900"/>
    <s v="Sep-2023"/>
    <s v="Q3-2023"/>
    <s v="Tue"/>
    <s v="Low"/>
  </r>
  <r>
    <s v="ORD-0384"/>
    <d v="2023-09-12T00:00:00"/>
    <s v="CUST-8923"/>
    <s v="Pooja Desai"/>
    <s v="West"/>
    <s v="Mumbai"/>
    <x v="2"/>
    <s v="Mi Band 7"/>
    <n v="1"/>
    <n v="33100"/>
    <n v="5"/>
    <s v="Kavya Iyer"/>
    <n v="33100"/>
    <n v="1655"/>
    <n v="31445"/>
    <s v="Sep-2023"/>
    <s v="Q3-2023"/>
    <s v="Tue"/>
    <s v="Low"/>
  </r>
  <r>
    <s v="ORD-0385"/>
    <d v="2023-09-12T00:00:00"/>
    <s v="CUST-0018"/>
    <s v="Tanvi Kulkarni"/>
    <s v="North"/>
    <s v="Jaipur"/>
    <x v="2"/>
    <s v="Apple Watch Series 8"/>
    <n v="1"/>
    <n v="32600"/>
    <n v="10"/>
    <s v="Rohan Mehta"/>
    <n v="32600"/>
    <n v="3260"/>
    <n v="29340"/>
    <s v="Sep-2023"/>
    <s v="Q3-2023"/>
    <s v="Tue"/>
    <s v="Low"/>
  </r>
  <r>
    <s v="ORD-0386"/>
    <d v="2023-09-12T00:00:00"/>
    <s v="CUST-9929"/>
    <s v="Kunal Dixit"/>
    <s v="South"/>
    <s v="Chennai"/>
    <x v="2"/>
    <s v="Apple Watch Series 8"/>
    <n v="1"/>
    <n v="27800"/>
    <n v="5"/>
    <s v="Amit Kumar"/>
    <n v="27800"/>
    <n v="1390"/>
    <n v="26410"/>
    <s v="Sep-2023"/>
    <s v="Q3-2023"/>
    <s v="Tue"/>
    <s v="Low"/>
  </r>
  <r>
    <s v="ORD-0387"/>
    <d v="2023-09-12T00:00:00"/>
    <s v="CUST-4945"/>
    <s v="Ananya Bose"/>
    <s v="Central"/>
    <s v="Nagpur"/>
    <x v="3"/>
    <s v="Amazon Fire HD"/>
    <n v="2"/>
    <n v="33100"/>
    <n v="5"/>
    <s v="Vikram Singh"/>
    <n v="66200"/>
    <n v="3310"/>
    <n v="62890"/>
    <s v="Sep-2023"/>
    <s v="Q3-2023"/>
    <s v="Tue"/>
    <s v="Medium"/>
  </r>
  <r>
    <s v="ORD-0388"/>
    <d v="2023-09-12T00:00:00"/>
    <s v="CUST-7808"/>
    <s v="Varun Chopra"/>
    <s v="South"/>
    <s v="Chennai"/>
    <x v="4"/>
    <s v="Dell Inspiron"/>
    <n v="2"/>
    <n v="56200"/>
    <n v="10"/>
    <s v="Sneha Reddy"/>
    <n v="112400"/>
    <n v="11240"/>
    <n v="101160"/>
    <s v="Sep-2023"/>
    <s v="Q3-2023"/>
    <s v="Tue"/>
    <s v="High"/>
  </r>
  <r>
    <s v="ORD-0389"/>
    <d v="2023-10-12T00:00:00"/>
    <s v="CUST-4414"/>
    <s v="Vikram Reddy"/>
    <s v="North"/>
    <s v="Chandigarh"/>
    <x v="0"/>
    <s v="OnePlus Nord"/>
    <n v="1"/>
    <n v="35800"/>
    <n v="10"/>
    <s v="Priya Patel"/>
    <n v="35800"/>
    <n v="3580"/>
    <n v="32220"/>
    <s v="Oct-2023"/>
    <s v="Q4-2023"/>
    <s v="Thu"/>
    <s v="Low"/>
  </r>
  <r>
    <s v="ORD-0390"/>
    <d v="2023-10-12T00:00:00"/>
    <s v="CUST-5060"/>
    <s v="Gaurav Bhatt"/>
    <s v="West"/>
    <s v="Surat"/>
    <x v="0"/>
    <s v="iPhone 14"/>
    <n v="1"/>
    <n v="55800"/>
    <n v="0"/>
    <s v="Rahul Sharma"/>
    <n v="55800"/>
    <n v="0"/>
    <n v="55800"/>
    <s v="Oct-2023"/>
    <s v="Q4-2023"/>
    <s v="Thu"/>
    <s v="Medium"/>
  </r>
  <r>
    <s v="ORD-0391"/>
    <d v="2023-10-12T00:00:00"/>
    <s v="CUST-8995"/>
    <s v="Mohit Saxena"/>
    <s v="West"/>
    <s v="Mumbai"/>
    <x v="3"/>
    <s v="Amazon Fire HD"/>
    <n v="1"/>
    <n v="28600"/>
    <n v="20"/>
    <s v="Rohan Mehta"/>
    <n v="28600"/>
    <n v="5720"/>
    <n v="22880"/>
    <s v="Oct-2023"/>
    <s v="Q4-2023"/>
    <s v="Thu"/>
    <s v="Low"/>
  </r>
  <r>
    <s v="ORD-0392"/>
    <d v="2023-11-12T00:00:00"/>
    <s v="CUST-4767"/>
    <s v="Sanjay Joshi"/>
    <s v="West"/>
    <s v="Pune"/>
    <x v="1"/>
    <s v="Wireless Mouse"/>
    <n v="2"/>
    <n v="1400"/>
    <n v="5"/>
    <s v="Anjali Gupta"/>
    <n v="2800"/>
    <n v="140"/>
    <n v="2660"/>
    <s v="Nov-2023"/>
    <s v="Q4-2023"/>
    <s v="Sun"/>
    <s v="Low"/>
  </r>
  <r>
    <s v="ORD-0393"/>
    <d v="2023-11-12T00:00:00"/>
    <s v="CUST-6126"/>
    <s v="Siddharth Tiwari"/>
    <s v="West"/>
    <s v="Ahmedabad"/>
    <x v="4"/>
    <s v="Lenovo ThinkPad"/>
    <n v="1"/>
    <n v="64100"/>
    <n v="5"/>
    <s v="Kavya Iyer"/>
    <n v="64100"/>
    <n v="3205"/>
    <n v="60895"/>
    <s v="Nov-2023"/>
    <s v="Q4-2023"/>
    <s v="Sun"/>
    <s v="Medium"/>
  </r>
  <r>
    <s v="ORD-0394"/>
    <d v="2023-12-12T00:00:00"/>
    <s v="CUST-8185"/>
    <s v="Rohan Mehta"/>
    <s v="Central"/>
    <s v="Nagpur"/>
    <x v="1"/>
    <s v="Wireless Mouse"/>
    <n v="2"/>
    <n v="2500"/>
    <n v="20"/>
    <s v="Rahul Sharma"/>
    <n v="5000"/>
    <n v="1000"/>
    <n v="4000"/>
    <s v="Dec-2023"/>
    <s v="Q4-2023"/>
    <s v="Tue"/>
    <s v="Low"/>
  </r>
  <r>
    <s v="ORD-0395"/>
    <d v="2023-01-13T00:00:00"/>
    <s v="CUST-5055"/>
    <s v="Riya Malhotra"/>
    <s v="South"/>
    <s v="Kochi"/>
    <x v="3"/>
    <s v="Lenovo Tab P11"/>
    <n v="1"/>
    <n v="31800"/>
    <n v="0"/>
    <s v="Anjali Gupta"/>
    <n v="31800"/>
    <n v="0"/>
    <n v="31800"/>
    <s v="Jan-2023"/>
    <s v="Q1-2023"/>
    <s v="Fri"/>
    <s v="Low"/>
  </r>
  <r>
    <s v="ORD-0396"/>
    <d v="2023-01-13T00:00:00"/>
    <s v="CUST-4816"/>
    <s v="Amit Patel"/>
    <s v="Central"/>
    <s v="Nagpur"/>
    <x v="2"/>
    <s v="Mi Band 7"/>
    <n v="1"/>
    <n v="24000"/>
    <n v="15"/>
    <s v="Vikram Singh"/>
    <n v="24000"/>
    <n v="3600"/>
    <n v="20400"/>
    <s v="Jan-2023"/>
    <s v="Q1-2023"/>
    <s v="Fri"/>
    <s v="Low"/>
  </r>
  <r>
    <s v="ORD-0397"/>
    <d v="2023-01-13T00:00:00"/>
    <s v="CUST-5247"/>
    <s v="Kavya Iyer"/>
    <s v="West"/>
    <s v="Mumbai"/>
    <x v="3"/>
    <s v="Amazon Fire HD"/>
    <n v="1"/>
    <n v="32200"/>
    <n v="0"/>
    <s v="Amit Kumar"/>
    <n v="32200"/>
    <n v="0"/>
    <n v="32200"/>
    <s v="Jan-2023"/>
    <s v="Q1-2023"/>
    <s v="Fri"/>
    <s v="Low"/>
  </r>
  <r>
    <s v="ORD-0398"/>
    <d v="2023-02-13T00:00:00"/>
    <s v="CUST-5060"/>
    <s v="Gaurav Bhatt"/>
    <s v="South"/>
    <s v="Kochi"/>
    <x v="1"/>
    <s v="Webcam"/>
    <n v="2"/>
    <n v="2000"/>
    <n v="5"/>
    <s v="Kavya Iyer"/>
    <n v="4000"/>
    <n v="200"/>
    <n v="3800"/>
    <s v="Feb-2023"/>
    <s v="Q1-2023"/>
    <s v="Mon"/>
    <s v="Low"/>
  </r>
  <r>
    <s v="ORD-0399"/>
    <d v="2023-02-13T00:00:00"/>
    <s v="CUST-6967"/>
    <s v="Aarti Shetty"/>
    <s v="Central"/>
    <s v="Raipur"/>
    <x v="2"/>
    <s v="Fitbit Versa 4"/>
    <n v="1"/>
    <n v="14400"/>
    <n v="10"/>
    <s v="Rohan Mehta"/>
    <n v="14400"/>
    <n v="1440"/>
    <n v="12960"/>
    <s v="Feb-2023"/>
    <s v="Q1-2023"/>
    <s v="Mon"/>
    <s v="Low"/>
  </r>
  <r>
    <s v="ORD-0400"/>
    <d v="2023-03-13T00:00:00"/>
    <s v="CUST-7270"/>
    <s v="Yash Dhawan"/>
    <s v="Central"/>
    <s v="Bhopal"/>
    <x v="0"/>
    <s v="iPhone 14"/>
    <n v="1"/>
    <n v="31500"/>
    <n v="15"/>
    <s v="Vikram Singh"/>
    <n v="31500"/>
    <n v="4725"/>
    <n v="26775"/>
    <s v="Mar-2023"/>
    <s v="Q1-2023"/>
    <s v="Mon"/>
    <s v="Low"/>
  </r>
  <r>
    <s v="ORD-0401"/>
    <d v="2023-03-13T00:00:00"/>
    <s v="CUST-1200"/>
    <s v="Pallavi Krishnan"/>
    <s v="South"/>
    <s v="Bangalore"/>
    <x v="2"/>
    <s v="Apple Watch Series 8"/>
    <n v="1"/>
    <n v="17500"/>
    <n v="20"/>
    <s v="Vikram Singh"/>
    <n v="17500"/>
    <n v="3500"/>
    <n v="14000"/>
    <s v="Mar-2023"/>
    <s v="Q1-2023"/>
    <s v="Mon"/>
    <s v="Low"/>
  </r>
  <r>
    <s v="ORD-0402"/>
    <d v="2023-04-13T00:00:00"/>
    <s v="CUST-5369"/>
    <s v="Aditya Rao"/>
    <s v="South"/>
    <s v="Hyderabad"/>
    <x v="2"/>
    <s v="Samsung Galaxy Watch"/>
    <n v="1"/>
    <n v="13500"/>
    <n v="0"/>
    <s v="Kavya Iyer"/>
    <n v="13500"/>
    <n v="0"/>
    <n v="13500"/>
    <s v="Apr-2023"/>
    <s v="Q2-2023"/>
    <s v="Thu"/>
    <s v="Low"/>
  </r>
  <r>
    <s v="ORD-0403"/>
    <d v="2023-04-13T00:00:00"/>
    <s v="CUST-5247"/>
    <s v="Kavya Iyer"/>
    <s v="South"/>
    <s v="Hyderabad"/>
    <x v="3"/>
    <s v="Lenovo Tab P11"/>
    <n v="1"/>
    <n v="35000"/>
    <n v="15"/>
    <s v="Vikram Singh"/>
    <n v="35000"/>
    <n v="5250"/>
    <n v="29750"/>
    <s v="Apr-2023"/>
    <s v="Q2-2023"/>
    <s v="Thu"/>
    <s v="Low"/>
  </r>
  <r>
    <s v="ORD-0404"/>
    <d v="2023-04-13T00:00:00"/>
    <s v="CUST-6453"/>
    <s v="Karan Verma"/>
    <s v="East"/>
    <s v="Patna"/>
    <x v="2"/>
    <s v="Apple Watch Series 8"/>
    <n v="1"/>
    <n v="24800"/>
    <n v="0"/>
    <s v="Sneha Reddy"/>
    <n v="24800"/>
    <n v="0"/>
    <n v="24800"/>
    <s v="Apr-2023"/>
    <s v="Q2-2023"/>
    <s v="Thu"/>
    <s v="Low"/>
  </r>
  <r>
    <s v="ORD-0405"/>
    <d v="2023-05-13T00:00:00"/>
    <s v="CUST-5055"/>
    <s v="Riya Malhotra"/>
    <s v="South"/>
    <s v="Hyderabad"/>
    <x v="2"/>
    <s v="Mi Band 7"/>
    <n v="1"/>
    <n v="22900"/>
    <n v="5"/>
    <s v="Kavya Iyer"/>
    <n v="22900"/>
    <n v="1145"/>
    <n v="21755"/>
    <s v="May-2023"/>
    <s v="Q2-2023"/>
    <s v="Sat"/>
    <s v="Low"/>
  </r>
  <r>
    <s v="ORD-0406"/>
    <d v="2023-05-13T00:00:00"/>
    <s v="CUST-4295"/>
    <s v="Manish Arora"/>
    <s v="West"/>
    <s v="Surat"/>
    <x v="1"/>
    <s v="Wireless Mouse"/>
    <n v="2"/>
    <n v="2400"/>
    <n v="25"/>
    <s v="Sneha Reddy"/>
    <n v="4800"/>
    <n v="1200"/>
    <n v="3600"/>
    <s v="May-2023"/>
    <s v="Q2-2023"/>
    <s v="Sat"/>
    <s v="Low"/>
  </r>
  <r>
    <s v="ORD-0407"/>
    <d v="2023-05-13T00:00:00"/>
    <s v="CUST-4761"/>
    <s v="Rajesh Kumar"/>
    <s v="East"/>
    <s v="Patna"/>
    <x v="2"/>
    <s v="Samsung Galaxy Watch"/>
    <n v="1"/>
    <n v="17400"/>
    <n v="20"/>
    <s v="Sneha Reddy"/>
    <n v="17400"/>
    <n v="3480"/>
    <n v="13920"/>
    <s v="May-2023"/>
    <s v="Q2-2023"/>
    <s v="Sat"/>
    <s v="Low"/>
  </r>
  <r>
    <s v="ORD-0408"/>
    <d v="2023-05-13T00:00:00"/>
    <s v="CUST-9929"/>
    <s v="Kunal Dixit"/>
    <s v="North"/>
    <s v="Chandigarh"/>
    <x v="0"/>
    <s v="iPhone 14"/>
    <n v="1"/>
    <n v="29700"/>
    <n v="10"/>
    <s v="Anjali Gupta"/>
    <n v="29700"/>
    <n v="2970"/>
    <n v="26730"/>
    <s v="May-2023"/>
    <s v="Q2-2023"/>
    <s v="Sat"/>
    <s v="Low"/>
  </r>
  <r>
    <s v="ORD-0409"/>
    <d v="2023-06-13T00:00:00"/>
    <s v="CUST-5055"/>
    <s v="Riya Malhotra"/>
    <s v="West"/>
    <s v="Pune"/>
    <x v="3"/>
    <s v="Samsung Tab S8"/>
    <n v="2"/>
    <n v="33700"/>
    <n v="0"/>
    <s v="Anjali Gupta"/>
    <n v="67400"/>
    <n v="0"/>
    <n v="67400"/>
    <s v="Jun-2023"/>
    <s v="Q2-2023"/>
    <s v="Tue"/>
    <s v="Medium"/>
  </r>
  <r>
    <s v="ORD-0410"/>
    <d v="2023-06-13T00:00:00"/>
    <s v="CUST-5060"/>
    <s v="Gaurav Bhatt"/>
    <s v="South"/>
    <s v="Bangalore"/>
    <x v="2"/>
    <s v="Samsung Galaxy Watch"/>
    <n v="1"/>
    <n v="20600"/>
    <n v="5"/>
    <s v="Vikram Singh"/>
    <n v="20600"/>
    <n v="1030"/>
    <n v="19570"/>
    <s v="Jun-2023"/>
    <s v="Q2-2023"/>
    <s v="Tue"/>
    <s v="Low"/>
  </r>
  <r>
    <s v="ORD-0411"/>
    <d v="2023-07-13T00:00:00"/>
    <s v="CUST-7724"/>
    <s v="Anjali Gupta"/>
    <s v="Central"/>
    <s v="Raipur"/>
    <x v="4"/>
    <s v="Dell Inspiron"/>
    <n v="1"/>
    <n v="74700"/>
    <n v="0"/>
    <s v="Kavya Iyer"/>
    <n v="74700"/>
    <n v="0"/>
    <n v="74700"/>
    <s v="Jul-2023"/>
    <s v="Q3-2023"/>
    <s v="Thu"/>
    <s v="Medium"/>
  </r>
  <r>
    <s v="ORD-0412"/>
    <d v="2023-07-13T00:00:00"/>
    <s v="CUST-6453"/>
    <s v="Karan Verma"/>
    <s v="North"/>
    <s v="Chandigarh"/>
    <x v="3"/>
    <s v="Lenovo Tab P11"/>
    <n v="1"/>
    <n v="38600"/>
    <n v="0"/>
    <s v="Vikram Singh"/>
    <n v="38600"/>
    <n v="0"/>
    <n v="38600"/>
    <s v="Jul-2023"/>
    <s v="Q3-2023"/>
    <s v="Thu"/>
    <s v="Low"/>
  </r>
  <r>
    <s v="ORD-0413"/>
    <d v="2023-08-13T00:00:00"/>
    <s v="CUST-4945"/>
    <s v="Ananya Bose"/>
    <s v="Central"/>
    <s v="Bhopal"/>
    <x v="4"/>
    <s v="HP Pavilion"/>
    <n v="1"/>
    <n v="59200"/>
    <n v="10"/>
    <s v="Priya Patel"/>
    <n v="59200"/>
    <n v="5920"/>
    <n v="53280"/>
    <s v="Aug-2023"/>
    <s v="Q3-2023"/>
    <s v="Sun"/>
    <s v="Medium"/>
  </r>
  <r>
    <s v="ORD-0414"/>
    <d v="2023-08-13T00:00:00"/>
    <s v="CUST-7270"/>
    <s v="Yash Dhawan"/>
    <s v="West"/>
    <s v="Surat"/>
    <x v="4"/>
    <s v="ASUS VivoBook"/>
    <n v="2"/>
    <n v="55900"/>
    <n v="0"/>
    <s v="Sneha Reddy"/>
    <n v="111800"/>
    <n v="0"/>
    <n v="111800"/>
    <s v="Aug-2023"/>
    <s v="Q3-2023"/>
    <s v="Sun"/>
    <s v="High"/>
  </r>
  <r>
    <s v="ORD-0415"/>
    <d v="2023-08-13T00:00:00"/>
    <s v="CUST-5560"/>
    <s v="Swati Nambiar"/>
    <s v="North"/>
    <s v="Jaipur"/>
    <x v="0"/>
    <s v="Realme GT"/>
    <n v="1"/>
    <n v="41400"/>
    <n v="10"/>
    <s v="Rohan Mehta"/>
    <n v="41400"/>
    <n v="4140"/>
    <n v="37260"/>
    <s v="Aug-2023"/>
    <s v="Q3-2023"/>
    <s v="Sun"/>
    <s v="Low"/>
  </r>
  <r>
    <s v="ORD-0416"/>
    <d v="2023-09-13T00:00:00"/>
    <s v="CUST-8995"/>
    <s v="Mohit Saxena"/>
    <s v="Central"/>
    <s v="Bhopal"/>
    <x v="2"/>
    <s v="Apple Watch Series 8"/>
    <n v="1"/>
    <n v="19000"/>
    <n v="10"/>
    <s v="Amit Kumar"/>
    <n v="19000"/>
    <n v="1900"/>
    <n v="17100"/>
    <s v="Sep-2023"/>
    <s v="Q3-2023"/>
    <s v="Wed"/>
    <s v="Low"/>
  </r>
  <r>
    <s v="ORD-0417"/>
    <d v="2023-09-13T00:00:00"/>
    <s v="CUST-0354"/>
    <s v="Meera Chawla"/>
    <s v="Central"/>
    <s v="Nagpur"/>
    <x v="3"/>
    <s v="Amazon Fire HD"/>
    <n v="1"/>
    <n v="26600"/>
    <n v="15"/>
    <s v="Amit Kumar"/>
    <n v="26600"/>
    <n v="3990"/>
    <n v="22610"/>
    <s v="Sep-2023"/>
    <s v="Q3-2023"/>
    <s v="Wed"/>
    <s v="Low"/>
  </r>
  <r>
    <s v="ORD-0418"/>
    <d v="2023-10-13T00:00:00"/>
    <s v="CUST-8923"/>
    <s v="Pooja Desai"/>
    <s v="Central"/>
    <s v="Indore"/>
    <x v="1"/>
    <s v="Mechanical Keyboard"/>
    <n v="3"/>
    <n v="1400"/>
    <n v="5"/>
    <s v="Anjali Gupta"/>
    <n v="4200"/>
    <n v="210"/>
    <n v="3990"/>
    <s v="Oct-2023"/>
    <s v="Q4-2023"/>
    <s v="Fri"/>
    <s v="Low"/>
  </r>
  <r>
    <s v="ORD-0419"/>
    <d v="2023-10-13T00:00:00"/>
    <s v="CUST-0354"/>
    <s v="Meera Chawla"/>
    <s v="Central"/>
    <s v="Raipur"/>
    <x v="4"/>
    <s v="Acer Aspire"/>
    <n v="1"/>
    <n v="57500"/>
    <n v="10"/>
    <s v="Rohan Mehta"/>
    <n v="57500"/>
    <n v="5750"/>
    <n v="51750"/>
    <s v="Oct-2023"/>
    <s v="Q4-2023"/>
    <s v="Fri"/>
    <s v="Medium"/>
  </r>
  <r>
    <s v="ORD-0420"/>
    <d v="2023-10-13T00:00:00"/>
    <s v="CUST-7270"/>
    <s v="Yash Dhawan"/>
    <s v="East"/>
    <s v="Kolkata"/>
    <x v="1"/>
    <s v="Wireless Mouse"/>
    <n v="2"/>
    <n v="2000"/>
    <n v="5"/>
    <s v="Priya Patel"/>
    <n v="4000"/>
    <n v="200"/>
    <n v="3800"/>
    <s v="Oct-2023"/>
    <s v="Q4-2023"/>
    <s v="Fri"/>
    <s v="Low"/>
  </r>
  <r>
    <s v="ORD-0421"/>
    <d v="2023-10-13T00:00:00"/>
    <s v="CUST-4945"/>
    <s v="Ananya Bose"/>
    <s v="East"/>
    <s v="Bhubaneswar"/>
    <x v="0"/>
    <s v="Realme GT"/>
    <n v="1"/>
    <n v="21900"/>
    <n v="20"/>
    <s v="Rahul Sharma"/>
    <n v="21900"/>
    <n v="4380"/>
    <n v="17520"/>
    <s v="Oct-2023"/>
    <s v="Q4-2023"/>
    <s v="Fri"/>
    <s v="Low"/>
  </r>
  <r>
    <s v="ORD-0422"/>
    <d v="2023-10-13T00:00:00"/>
    <s v="CUST-0895"/>
    <s v="Nikhil Jain"/>
    <s v="North"/>
    <s v="Delhi"/>
    <x v="3"/>
    <s v="Samsung Tab S8"/>
    <n v="1"/>
    <n v="32900"/>
    <n v="15"/>
    <s v="Rahul Sharma"/>
    <n v="32900"/>
    <n v="4935"/>
    <n v="27965"/>
    <s v="Oct-2023"/>
    <s v="Q4-2023"/>
    <s v="Fri"/>
    <s v="Low"/>
  </r>
  <r>
    <s v="ORD-0423"/>
    <d v="2023-11-13T00:00:00"/>
    <s v="CUST-7270"/>
    <s v="Yash Dhawan"/>
    <s v="Central"/>
    <s v="Raipur"/>
    <x v="1"/>
    <s v="Wireless Mouse"/>
    <n v="2"/>
    <n v="2000"/>
    <n v="0"/>
    <s v="Rohan Mehta"/>
    <n v="4000"/>
    <n v="0"/>
    <n v="4000"/>
    <s v="Nov-2023"/>
    <s v="Q4-2023"/>
    <s v="Mon"/>
    <s v="Low"/>
  </r>
  <r>
    <s v="ORD-0424"/>
    <d v="2023-11-13T00:00:00"/>
    <s v="CUST-9969"/>
    <s v="Ritika Menon"/>
    <s v="North"/>
    <s v="Delhi"/>
    <x v="3"/>
    <s v="Amazon Fire HD"/>
    <n v="1"/>
    <n v="33900"/>
    <n v="10"/>
    <s v="Kavya Iyer"/>
    <n v="33900"/>
    <n v="3390"/>
    <n v="30510"/>
    <s v="Nov-2023"/>
    <s v="Q4-2023"/>
    <s v="Mon"/>
    <s v="Low"/>
  </r>
  <r>
    <s v="ORD-0425"/>
    <d v="2023-11-13T00:00:00"/>
    <s v="CUST-1540"/>
    <s v="Simran Kaur"/>
    <s v="West"/>
    <s v="Ahmedabad"/>
    <x v="4"/>
    <s v="ASUS VivoBook"/>
    <n v="1"/>
    <n v="74100"/>
    <n v="0"/>
    <s v="Rohan Mehta"/>
    <n v="74100"/>
    <n v="0"/>
    <n v="74100"/>
    <s v="Nov-2023"/>
    <s v="Q4-2023"/>
    <s v="Mon"/>
    <s v="Medium"/>
  </r>
  <r>
    <s v="ORD-0426"/>
    <d v="2023-12-13T00:00:00"/>
    <s v="CUST-5409"/>
    <s v="Akash Pillai"/>
    <s v="Central"/>
    <s v="Raipur"/>
    <x v="2"/>
    <s v="Apple Watch Series 8"/>
    <n v="1"/>
    <n v="18200"/>
    <n v="0"/>
    <s v="Anjali Gupta"/>
    <n v="18200"/>
    <n v="0"/>
    <n v="18200"/>
    <s v="Dec-2023"/>
    <s v="Q4-2023"/>
    <s v="Wed"/>
    <s v="Low"/>
  </r>
  <r>
    <s v="ORD-0427"/>
    <d v="2023-12-13T00:00:00"/>
    <s v="CUST-4761"/>
    <s v="Rajesh Kumar"/>
    <s v="South"/>
    <s v="Hyderabad"/>
    <x v="1"/>
    <s v="Webcam"/>
    <n v="1"/>
    <n v="2300"/>
    <n v="0"/>
    <s v="Kavya Iyer"/>
    <n v="2300"/>
    <n v="0"/>
    <n v="2300"/>
    <s v="Dec-2023"/>
    <s v="Q4-2023"/>
    <s v="Wed"/>
    <s v="Low"/>
  </r>
  <r>
    <s v="ORD-0428"/>
    <d v="2023-12-13T00:00:00"/>
    <s v="CUST-8962"/>
    <s v="Priya Singh"/>
    <s v="Central"/>
    <s v="Bhopal"/>
    <x v="2"/>
    <s v="Mi Band 7"/>
    <n v="1"/>
    <n v="32000"/>
    <n v="0"/>
    <s v="Priya Patel"/>
    <n v="32000"/>
    <n v="0"/>
    <n v="32000"/>
    <s v="Dec-2023"/>
    <s v="Q4-2023"/>
    <s v="Wed"/>
    <s v="Low"/>
  </r>
  <r>
    <s v="ORD-0429"/>
    <d v="2023-12-13T00:00:00"/>
    <s v="CUST-4414"/>
    <s v="Vikram Reddy"/>
    <s v="South"/>
    <s v="Hyderabad"/>
    <x v="2"/>
    <s v="Apple Watch Series 8"/>
    <n v="1"/>
    <n v="16200"/>
    <n v="0"/>
    <s v="Rahul Sharma"/>
    <n v="16200"/>
    <n v="0"/>
    <n v="16200"/>
    <s v="Dec-2023"/>
    <s v="Q4-2023"/>
    <s v="Wed"/>
    <s v="Low"/>
  </r>
  <r>
    <s v="ORD-0430"/>
    <d v="2023-12-13T00:00:00"/>
    <s v="CUST-2917"/>
    <s v="Ishita Bansal"/>
    <s v="South"/>
    <s v="Hyderabad"/>
    <x v="1"/>
    <s v="Webcam"/>
    <n v="2"/>
    <n v="1900"/>
    <n v="0"/>
    <s v="Vikram Singh"/>
    <n v="3800"/>
    <n v="0"/>
    <n v="3800"/>
    <s v="Dec-2023"/>
    <s v="Q4-2023"/>
    <s v="Wed"/>
    <s v="Low"/>
  </r>
  <r>
    <s v="ORD-0431"/>
    <d v="2023-01-14T00:00:00"/>
    <s v="CUST-5560"/>
    <s v="Swati Nambiar"/>
    <s v="East"/>
    <s v="Patna"/>
    <x v="1"/>
    <s v="Webcam"/>
    <n v="2"/>
    <n v="1100"/>
    <n v="0"/>
    <s v="Priya Patel"/>
    <n v="2200"/>
    <n v="0"/>
    <n v="2200"/>
    <s v="Jan-2023"/>
    <s v="Q1-2023"/>
    <s v="Sat"/>
    <s v="Low"/>
  </r>
  <r>
    <s v="ORD-0432"/>
    <d v="2023-01-14T00:00:00"/>
    <s v="CUST-2243"/>
    <s v="Divya Shah"/>
    <s v="West"/>
    <s v="Mumbai"/>
    <x v="4"/>
    <s v="Lenovo ThinkPad"/>
    <n v="1"/>
    <n v="47100"/>
    <n v="25"/>
    <s v="Priya Patel"/>
    <n v="47100"/>
    <n v="11775"/>
    <n v="35325"/>
    <s v="Jan-2023"/>
    <s v="Q1-2023"/>
    <s v="Sat"/>
    <s v="Low"/>
  </r>
  <r>
    <s v="ORD-0433"/>
    <d v="2023-02-14T00:00:00"/>
    <s v="CUST-8923"/>
    <s v="Pooja Desai"/>
    <s v="East"/>
    <s v="Ranchi"/>
    <x v="0"/>
    <s v="Samsung Galaxy S23"/>
    <n v="1"/>
    <n v="50700"/>
    <n v="0"/>
    <s v="Amit Kumar"/>
    <n v="50700"/>
    <n v="0"/>
    <n v="50700"/>
    <s v="Feb-2023"/>
    <s v="Q1-2023"/>
    <s v="Tue"/>
    <s v="Medium"/>
  </r>
  <r>
    <s v="ORD-0434"/>
    <d v="2023-02-14T00:00:00"/>
    <s v="CUST-8593"/>
    <s v="Sneha Sharma"/>
    <s v="West"/>
    <s v="Mumbai"/>
    <x v="1"/>
    <s v="Webcam"/>
    <n v="2"/>
    <n v="2100"/>
    <n v="25"/>
    <s v="Vikram Singh"/>
    <n v="4200"/>
    <n v="1050"/>
    <n v="3150"/>
    <s v="Feb-2023"/>
    <s v="Q1-2023"/>
    <s v="Tue"/>
    <s v="Low"/>
  </r>
  <r>
    <s v="ORD-0435"/>
    <d v="2023-02-14T00:00:00"/>
    <s v="CUST-7808"/>
    <s v="Varun Chopra"/>
    <s v="Central"/>
    <s v="Raipur"/>
    <x v="4"/>
    <s v="Lenovo ThinkPad"/>
    <n v="1"/>
    <n v="52300"/>
    <n v="5"/>
    <s v="Vikram Singh"/>
    <n v="52300"/>
    <n v="2615"/>
    <n v="49685"/>
    <s v="Feb-2023"/>
    <s v="Q1-2023"/>
    <s v="Tue"/>
    <s v="Low"/>
  </r>
  <r>
    <s v="ORD-0436"/>
    <d v="2023-02-14T00:00:00"/>
    <s v="CUST-6126"/>
    <s v="Siddharth Tiwari"/>
    <s v="West"/>
    <s v="Surat"/>
    <x v="0"/>
    <s v="Realme GT"/>
    <n v="1"/>
    <n v="16500"/>
    <n v="25"/>
    <s v="Anjali Gupta"/>
    <n v="16500"/>
    <n v="4125"/>
    <n v="12375"/>
    <s v="Feb-2023"/>
    <s v="Q1-2023"/>
    <s v="Tue"/>
    <s v="Low"/>
  </r>
  <r>
    <s v="ORD-0437"/>
    <d v="2023-03-14T00:00:00"/>
    <s v="CUST-3922"/>
    <s v="Sakshi Rathore"/>
    <s v="Central"/>
    <s v="Nagpur"/>
    <x v="1"/>
    <s v="Webcam"/>
    <n v="1"/>
    <n v="2300"/>
    <n v="0"/>
    <s v="Priya Patel"/>
    <n v="2300"/>
    <n v="0"/>
    <n v="2300"/>
    <s v="Mar-2023"/>
    <s v="Q1-2023"/>
    <s v="Tue"/>
    <s v="Low"/>
  </r>
  <r>
    <s v="ORD-0438"/>
    <d v="2023-03-14T00:00:00"/>
    <s v="CUST-6453"/>
    <s v="Karan Verma"/>
    <s v="East"/>
    <s v="Kolkata"/>
    <x v="0"/>
    <s v="OnePlus Nord"/>
    <n v="1"/>
    <n v="29300"/>
    <n v="10"/>
    <s v="Priya Patel"/>
    <n v="29300"/>
    <n v="2930"/>
    <n v="26370"/>
    <s v="Mar-2023"/>
    <s v="Q1-2023"/>
    <s v="Tue"/>
    <s v="Low"/>
  </r>
  <r>
    <s v="ORD-0439"/>
    <d v="2023-04-14T00:00:00"/>
    <s v="CUST-5055"/>
    <s v="Riya Malhotra"/>
    <s v="East"/>
    <s v="Bhubaneswar"/>
    <x v="4"/>
    <s v="Acer Aspire"/>
    <n v="2"/>
    <n v="53900"/>
    <n v="0"/>
    <s v="Amit Kumar"/>
    <n v="107800"/>
    <n v="0"/>
    <n v="107800"/>
    <s v="Apr-2023"/>
    <s v="Q2-2023"/>
    <s v="Fri"/>
    <s v="High"/>
  </r>
  <r>
    <s v="ORD-0440"/>
    <d v="2023-05-14T00:00:00"/>
    <s v="CUST-4414"/>
    <s v="Vikram Reddy"/>
    <s v="South"/>
    <s v="Kochi"/>
    <x v="2"/>
    <s v="Apple Watch Series 8"/>
    <n v="1"/>
    <n v="22800"/>
    <n v="20"/>
    <s v="Vikram Singh"/>
    <n v="22800"/>
    <n v="4560"/>
    <n v="18240"/>
    <s v="May-2023"/>
    <s v="Q2-2023"/>
    <s v="Sun"/>
    <s v="Low"/>
  </r>
  <r>
    <s v="ORD-0441"/>
    <d v="2023-05-14T00:00:00"/>
    <s v="CUST-0018"/>
    <s v="Tanvi Kulkarni"/>
    <s v="South"/>
    <s v="Kochi"/>
    <x v="0"/>
    <s v="Realme GT"/>
    <n v="1"/>
    <n v="28400"/>
    <n v="0"/>
    <s v="Priya Patel"/>
    <n v="28400"/>
    <n v="0"/>
    <n v="28400"/>
    <s v="May-2023"/>
    <s v="Q2-2023"/>
    <s v="Sun"/>
    <s v="Low"/>
  </r>
  <r>
    <s v="ORD-0442"/>
    <d v="2023-05-14T00:00:00"/>
    <s v="CUST-6295"/>
    <s v="Arjun Nair"/>
    <s v="South"/>
    <s v="Hyderabad"/>
    <x v="4"/>
    <s v="Dell Inspiron"/>
    <n v="2"/>
    <n v="59100"/>
    <n v="20"/>
    <s v="Anjali Gupta"/>
    <n v="118200"/>
    <n v="23640"/>
    <n v="94560"/>
    <s v="May-2023"/>
    <s v="Q2-2023"/>
    <s v="Sun"/>
    <s v="Medium"/>
  </r>
  <r>
    <s v="ORD-0443"/>
    <d v="2023-06-14T00:00:00"/>
    <s v="CUST-4414"/>
    <s v="Vikram Reddy"/>
    <s v="South"/>
    <s v="Bangalore"/>
    <x v="2"/>
    <s v="Fitbit Versa 4"/>
    <n v="1"/>
    <n v="25300"/>
    <n v="10"/>
    <s v="Priya Patel"/>
    <n v="25300"/>
    <n v="2530"/>
    <n v="22770"/>
    <s v="Jun-2023"/>
    <s v="Q2-2023"/>
    <s v="Wed"/>
    <s v="Low"/>
  </r>
  <r>
    <s v="ORD-0444"/>
    <d v="2023-06-14T00:00:00"/>
    <s v="CUST-6126"/>
    <s v="Siddharth Tiwari"/>
    <s v="North"/>
    <s v="Delhi"/>
    <x v="3"/>
    <s v="Lenovo Tab P11"/>
    <n v="1"/>
    <n v="35600"/>
    <n v="5"/>
    <s v="Rohan Mehta"/>
    <n v="35600"/>
    <n v="1780"/>
    <n v="33820"/>
    <s v="Jun-2023"/>
    <s v="Q2-2023"/>
    <s v="Wed"/>
    <s v="Low"/>
  </r>
  <r>
    <s v="ORD-0445"/>
    <d v="2023-07-14T00:00:00"/>
    <s v="CUST-8962"/>
    <s v="Priya Singh"/>
    <s v="East"/>
    <s v="Ranchi"/>
    <x v="3"/>
    <s v="iPad Air"/>
    <n v="1"/>
    <n v="37200"/>
    <n v="15"/>
    <s v="Rahul Sharma"/>
    <n v="37200"/>
    <n v="5580"/>
    <n v="31620"/>
    <s v="Jul-2023"/>
    <s v="Q3-2023"/>
    <s v="Fri"/>
    <s v="Low"/>
  </r>
  <r>
    <s v="ORD-0446"/>
    <d v="2023-07-14T00:00:00"/>
    <s v="CUST-5060"/>
    <s v="Gaurav Bhatt"/>
    <s v="North"/>
    <s v="Chandigarh"/>
    <x v="2"/>
    <s v="Apple Watch Series 8"/>
    <n v="1"/>
    <n v="17200"/>
    <n v="5"/>
    <s v="Amit Kumar"/>
    <n v="17200"/>
    <n v="860"/>
    <n v="16340"/>
    <s v="Jul-2023"/>
    <s v="Q3-2023"/>
    <s v="Fri"/>
    <s v="Low"/>
  </r>
  <r>
    <s v="ORD-0447"/>
    <d v="2023-07-14T00:00:00"/>
    <s v="CUST-5409"/>
    <s v="Akash Pillai"/>
    <s v="West"/>
    <s v="Ahmedabad"/>
    <x v="3"/>
    <s v="Lenovo Tab P11"/>
    <n v="1"/>
    <n v="49100"/>
    <n v="10"/>
    <s v="Kavya Iyer"/>
    <n v="49100"/>
    <n v="4910"/>
    <n v="44190"/>
    <s v="Jul-2023"/>
    <s v="Q3-2023"/>
    <s v="Fri"/>
    <s v="Low"/>
  </r>
  <r>
    <s v="ORD-0448"/>
    <d v="2023-07-14T00:00:00"/>
    <s v="CUST-4064"/>
    <s v="Nisha Ghosh"/>
    <s v="West"/>
    <s v="Surat"/>
    <x v="3"/>
    <s v="Samsung Tab S8"/>
    <n v="1"/>
    <n v="32200"/>
    <n v="20"/>
    <s v="Rahul Sharma"/>
    <n v="32200"/>
    <n v="6440"/>
    <n v="25760"/>
    <s v="Jul-2023"/>
    <s v="Q3-2023"/>
    <s v="Fri"/>
    <s v="Low"/>
  </r>
  <r>
    <s v="ORD-0449"/>
    <d v="2023-07-14T00:00:00"/>
    <s v="CUST-4945"/>
    <s v="Ananya Bose"/>
    <s v="Central"/>
    <s v="Indore"/>
    <x v="2"/>
    <s v="Samsung Galaxy Watch"/>
    <n v="1"/>
    <n v="24000"/>
    <n v="0"/>
    <s v="Rahul Sharma"/>
    <n v="24000"/>
    <n v="0"/>
    <n v="24000"/>
    <s v="Jul-2023"/>
    <s v="Q3-2023"/>
    <s v="Fri"/>
    <s v="Low"/>
  </r>
  <r>
    <s v="ORD-0450"/>
    <d v="2023-08-14T00:00:00"/>
    <s v="CUST-7270"/>
    <s v="Yash Dhawan"/>
    <s v="West"/>
    <s v="Ahmedabad"/>
    <x v="2"/>
    <s v="Apple Watch Series 8"/>
    <n v="1"/>
    <n v="24300"/>
    <n v="15"/>
    <s v="Anjali Gupta"/>
    <n v="24300"/>
    <n v="3645"/>
    <n v="20655"/>
    <s v="Aug-2023"/>
    <s v="Q3-2023"/>
    <s v="Mon"/>
    <s v="Low"/>
  </r>
  <r>
    <s v="ORD-0451"/>
    <d v="2023-09-14T00:00:00"/>
    <s v="CUST-2917"/>
    <s v="Ishita Bansal"/>
    <s v="South"/>
    <s v="Chennai"/>
    <x v="3"/>
    <s v="Amazon Fire HD"/>
    <n v="1"/>
    <n v="50000"/>
    <n v="20"/>
    <s v="Anjali Gupta"/>
    <n v="50000"/>
    <n v="10000"/>
    <n v="40000"/>
    <s v="Sep-2023"/>
    <s v="Q3-2023"/>
    <s v="Thu"/>
    <s v="Low"/>
  </r>
  <r>
    <s v="ORD-0452"/>
    <d v="2023-09-14T00:00:00"/>
    <s v="CUST-9929"/>
    <s v="Kunal Dixit"/>
    <s v="North"/>
    <s v="Jaipur"/>
    <x v="2"/>
    <s v="Fitbit Versa 4"/>
    <n v="1"/>
    <n v="32500"/>
    <n v="10"/>
    <s v="Anjali Gupta"/>
    <n v="32500"/>
    <n v="3250"/>
    <n v="29250"/>
    <s v="Sep-2023"/>
    <s v="Q3-2023"/>
    <s v="Thu"/>
    <s v="Low"/>
  </r>
  <r>
    <s v="ORD-0453"/>
    <d v="2023-09-14T00:00:00"/>
    <s v="CUST-4767"/>
    <s v="Sanjay Joshi"/>
    <s v="West"/>
    <s v="Pune"/>
    <x v="0"/>
    <s v="Xiaomi 13"/>
    <n v="1"/>
    <n v="19300"/>
    <n v="20"/>
    <s v="Kavya Iyer"/>
    <n v="19300"/>
    <n v="3860"/>
    <n v="15440"/>
    <s v="Sep-2023"/>
    <s v="Q3-2023"/>
    <s v="Thu"/>
    <s v="Low"/>
  </r>
  <r>
    <s v="ORD-0454"/>
    <d v="2023-10-14T00:00:00"/>
    <s v="CUST-5247"/>
    <s v="Kavya Iyer"/>
    <s v="Central"/>
    <s v="Nagpur"/>
    <x v="3"/>
    <s v="iPad Air"/>
    <n v="1"/>
    <n v="29200"/>
    <n v="10"/>
    <s v="Anjali Gupta"/>
    <n v="29200"/>
    <n v="2920"/>
    <n v="26280"/>
    <s v="Oct-2023"/>
    <s v="Q4-2023"/>
    <s v="Sat"/>
    <s v="Low"/>
  </r>
  <r>
    <s v="ORD-0455"/>
    <d v="2023-10-14T00:00:00"/>
    <s v="CUST-5247"/>
    <s v="Kavya Iyer"/>
    <s v="Central"/>
    <s v="Bhopal"/>
    <x v="1"/>
    <s v="Laptop Bag"/>
    <n v="2"/>
    <n v="1300"/>
    <n v="0"/>
    <s v="Amit Kumar"/>
    <n v="2600"/>
    <n v="0"/>
    <n v="2600"/>
    <s v="Oct-2023"/>
    <s v="Q4-2023"/>
    <s v="Sat"/>
    <s v="Low"/>
  </r>
  <r>
    <s v="ORD-0456"/>
    <d v="2023-10-14T00:00:00"/>
    <s v="CUST-7270"/>
    <s v="Yash Dhawan"/>
    <s v="East"/>
    <s v="Ranchi"/>
    <x v="0"/>
    <s v="Realme GT"/>
    <n v="1"/>
    <n v="34100"/>
    <n v="0"/>
    <s v="Anjali Gupta"/>
    <n v="34100"/>
    <n v="0"/>
    <n v="34100"/>
    <s v="Oct-2023"/>
    <s v="Q4-2023"/>
    <s v="Sat"/>
    <s v="Low"/>
  </r>
  <r>
    <s v="ORD-0457"/>
    <d v="2023-11-14T00:00:00"/>
    <s v="CUST-8962"/>
    <s v="Priya Singh"/>
    <s v="South"/>
    <s v="Chennai"/>
    <x v="0"/>
    <s v="iPhone 14"/>
    <n v="1"/>
    <n v="21000"/>
    <n v="10"/>
    <s v="Amit Kumar"/>
    <n v="21000"/>
    <n v="2100"/>
    <n v="18900"/>
    <s v="Nov-2023"/>
    <s v="Q4-2023"/>
    <s v="Tue"/>
    <s v="Low"/>
  </r>
  <r>
    <s v="ORD-0458"/>
    <d v="2023-11-14T00:00:00"/>
    <s v="CUST-8923"/>
    <s v="Pooja Desai"/>
    <s v="North"/>
    <s v="Chandigarh"/>
    <x v="2"/>
    <s v="Samsung Galaxy Watch"/>
    <n v="1"/>
    <n v="32300"/>
    <n v="5"/>
    <s v="Anjali Gupta"/>
    <n v="32300"/>
    <n v="1615"/>
    <n v="30685"/>
    <s v="Nov-2023"/>
    <s v="Q4-2023"/>
    <s v="Tue"/>
    <s v="Low"/>
  </r>
  <r>
    <s v="ORD-0459"/>
    <d v="2023-11-14T00:00:00"/>
    <s v="CUST-7724"/>
    <s v="Anjali Gupta"/>
    <s v="East"/>
    <s v="Kolkata"/>
    <x v="0"/>
    <s v="Xiaomi 13"/>
    <n v="1"/>
    <n v="26500"/>
    <n v="0"/>
    <s v="Rohan Mehta"/>
    <n v="26500"/>
    <n v="0"/>
    <n v="26500"/>
    <s v="Nov-2023"/>
    <s v="Q4-2023"/>
    <s v="Tue"/>
    <s v="Low"/>
  </r>
  <r>
    <s v="ORD-0460"/>
    <d v="2023-11-14T00:00:00"/>
    <s v="CUST-0018"/>
    <s v="Tanvi Kulkarni"/>
    <s v="North"/>
    <s v="Jaipur"/>
    <x v="3"/>
    <s v="Amazon Fire HD"/>
    <n v="2"/>
    <n v="34600"/>
    <n v="15"/>
    <s v="Vikram Singh"/>
    <n v="69200"/>
    <n v="10380"/>
    <n v="58820"/>
    <s v="Nov-2023"/>
    <s v="Q4-2023"/>
    <s v="Tue"/>
    <s v="Medium"/>
  </r>
  <r>
    <s v="ORD-0461"/>
    <d v="2023-11-14T00:00:00"/>
    <s v="CUST-6126"/>
    <s v="Siddharth Tiwari"/>
    <s v="East"/>
    <s v="Bhubaneswar"/>
    <x v="4"/>
    <s v="Dell Inspiron"/>
    <n v="2"/>
    <n v="41400"/>
    <n v="5"/>
    <s v="Rahul Sharma"/>
    <n v="82800"/>
    <n v="4140"/>
    <n v="78660"/>
    <s v="Nov-2023"/>
    <s v="Q4-2023"/>
    <s v="Tue"/>
    <s v="Medium"/>
  </r>
  <r>
    <s v="ORD-0462"/>
    <d v="2023-12-14T00:00:00"/>
    <s v="CUST-5560"/>
    <s v="Swati Nambiar"/>
    <s v="Central"/>
    <s v="Bhopal"/>
    <x v="3"/>
    <s v="iPad Air"/>
    <n v="1"/>
    <n v="27000"/>
    <n v="10"/>
    <s v="Sneha Reddy"/>
    <n v="27000"/>
    <n v="2700"/>
    <n v="24300"/>
    <s v="Dec-2023"/>
    <s v="Q4-2023"/>
    <s v="Thu"/>
    <s v="Low"/>
  </r>
  <r>
    <s v="ORD-0463"/>
    <d v="2023-12-14T00:00:00"/>
    <s v="CUST-0895"/>
    <s v="Nikhil Jain"/>
    <s v="Central"/>
    <s v="Indore"/>
    <x v="2"/>
    <s v="Fitbit Versa 4"/>
    <n v="1"/>
    <n v="12800"/>
    <n v="5"/>
    <s v="Anjali Gupta"/>
    <n v="12800"/>
    <n v="640"/>
    <n v="12160"/>
    <s v="Dec-2023"/>
    <s v="Q4-2023"/>
    <s v="Thu"/>
    <s v="Low"/>
  </r>
  <r>
    <s v="ORD-0464"/>
    <d v="2023-12-14T00:00:00"/>
    <s v="CUST-2917"/>
    <s v="Ishita Bansal"/>
    <s v="East"/>
    <s v="Ranchi"/>
    <x v="1"/>
    <s v="Laptop Bag"/>
    <n v="2"/>
    <n v="1000"/>
    <n v="10"/>
    <s v="Kavya Iyer"/>
    <n v="2000"/>
    <n v="200"/>
    <n v="1800"/>
    <s v="Dec-2023"/>
    <s v="Q4-2023"/>
    <s v="Thu"/>
    <s v="Low"/>
  </r>
  <r>
    <s v="ORD-0465"/>
    <d v="2023-01-15T00:00:00"/>
    <s v="CUST-6295"/>
    <s v="Arjun Nair"/>
    <s v="West"/>
    <s v="Ahmedabad"/>
    <x v="1"/>
    <s v="Mechanical Keyboard"/>
    <n v="1"/>
    <n v="1900"/>
    <n v="15"/>
    <s v="Rahul Sharma"/>
    <n v="1900"/>
    <n v="285"/>
    <n v="1615"/>
    <s v="Jan-2023"/>
    <s v="Q1-2023"/>
    <s v="Sun"/>
    <s v="Low"/>
  </r>
  <r>
    <s v="ORD-0466"/>
    <d v="2023-01-15T00:00:00"/>
    <s v="CUST-8905"/>
    <s v="Rahul Kapoor"/>
    <s v="West"/>
    <s v="Mumbai"/>
    <x v="0"/>
    <s v="Realme GT"/>
    <n v="1"/>
    <n v="31200"/>
    <n v="5"/>
    <s v="Sneha Reddy"/>
    <n v="31200"/>
    <n v="1560"/>
    <n v="29640"/>
    <s v="Jan-2023"/>
    <s v="Q1-2023"/>
    <s v="Sun"/>
    <s v="Low"/>
  </r>
  <r>
    <s v="ORD-0467"/>
    <d v="2023-01-15T00:00:00"/>
    <s v="CUST-1540"/>
    <s v="Simran Kaur"/>
    <s v="East"/>
    <s v="Patna"/>
    <x v="0"/>
    <s v="Realme GT"/>
    <n v="1"/>
    <n v="45900"/>
    <n v="15"/>
    <s v="Anjali Gupta"/>
    <n v="45900"/>
    <n v="6885"/>
    <n v="39015"/>
    <s v="Jan-2023"/>
    <s v="Q1-2023"/>
    <s v="Sun"/>
    <s v="Low"/>
  </r>
  <r>
    <s v="ORD-0468"/>
    <d v="2023-02-15T00:00:00"/>
    <s v="CUST-5060"/>
    <s v="Gaurav Bhatt"/>
    <s v="South"/>
    <s v="Kochi"/>
    <x v="1"/>
    <s v="Laptop Bag"/>
    <n v="2"/>
    <n v="1300"/>
    <n v="10"/>
    <s v="Rohan Mehta"/>
    <n v="2600"/>
    <n v="260"/>
    <n v="2340"/>
    <s v="Feb-2023"/>
    <s v="Q1-2023"/>
    <s v="Wed"/>
    <s v="Low"/>
  </r>
  <r>
    <s v="ORD-0469"/>
    <d v="2023-02-15T00:00:00"/>
    <s v="CUST-4945"/>
    <s v="Ananya Bose"/>
    <s v="West"/>
    <s v="Pune"/>
    <x v="3"/>
    <s v="Samsung Tab S8"/>
    <n v="2"/>
    <n v="50000"/>
    <n v="0"/>
    <s v="Rohan Mehta"/>
    <n v="100000"/>
    <n v="0"/>
    <n v="100000"/>
    <s v="Feb-2023"/>
    <s v="Q1-2023"/>
    <s v="Wed"/>
    <s v="High"/>
  </r>
  <r>
    <s v="ORD-0470"/>
    <d v="2023-02-15T00:00:00"/>
    <s v="CUST-6967"/>
    <s v="Aarti Shetty"/>
    <s v="North"/>
    <s v="Chandigarh"/>
    <x v="3"/>
    <s v="Amazon Fire HD"/>
    <n v="1"/>
    <n v="21300"/>
    <n v="0"/>
    <s v="Kavya Iyer"/>
    <n v="21300"/>
    <n v="0"/>
    <n v="21300"/>
    <s v="Feb-2023"/>
    <s v="Q1-2023"/>
    <s v="Wed"/>
    <s v="Low"/>
  </r>
  <r>
    <s v="ORD-0471"/>
    <d v="2023-03-15T00:00:00"/>
    <s v="CUST-1661"/>
    <s v="Harsh Sinha"/>
    <s v="North"/>
    <s v="Jaipur"/>
    <x v="0"/>
    <s v="Samsung Galaxy S23"/>
    <n v="2"/>
    <n v="51100"/>
    <n v="15"/>
    <s v="Priya Patel"/>
    <n v="102200"/>
    <n v="15330"/>
    <n v="86870"/>
    <s v="Mar-2023"/>
    <s v="Q1-2023"/>
    <s v="Wed"/>
    <s v="Medium"/>
  </r>
  <r>
    <s v="ORD-0472"/>
    <d v="2023-03-15T00:00:00"/>
    <s v="CUST-9969"/>
    <s v="Ritika Menon"/>
    <s v="North"/>
    <s v="Jaipur"/>
    <x v="2"/>
    <s v="Samsung Galaxy Watch"/>
    <n v="1"/>
    <n v="14200"/>
    <n v="10"/>
    <s v="Rohan Mehta"/>
    <n v="14200"/>
    <n v="1420"/>
    <n v="12780"/>
    <s v="Mar-2023"/>
    <s v="Q1-2023"/>
    <s v="Wed"/>
    <s v="Low"/>
  </r>
  <r>
    <s v="ORD-0473"/>
    <d v="2023-03-15T00:00:00"/>
    <s v="CUST-1540"/>
    <s v="Simran Kaur"/>
    <s v="Central"/>
    <s v="Raipur"/>
    <x v="4"/>
    <s v="HP Pavilion"/>
    <n v="1"/>
    <n v="57100"/>
    <n v="0"/>
    <s v="Anjali Gupta"/>
    <n v="57100"/>
    <n v="0"/>
    <n v="57100"/>
    <s v="Mar-2023"/>
    <s v="Q1-2023"/>
    <s v="Wed"/>
    <s v="Medium"/>
  </r>
  <r>
    <s v="ORD-0474"/>
    <d v="2023-04-15T00:00:00"/>
    <s v="CUST-4064"/>
    <s v="Nisha Ghosh"/>
    <s v="East"/>
    <s v="Ranchi"/>
    <x v="3"/>
    <s v="iPad Air"/>
    <n v="1"/>
    <n v="31200"/>
    <n v="0"/>
    <s v="Vikram Singh"/>
    <n v="31200"/>
    <n v="0"/>
    <n v="31200"/>
    <s v="Apr-2023"/>
    <s v="Q2-2023"/>
    <s v="Sat"/>
    <s v="Low"/>
  </r>
  <r>
    <s v="ORD-0475"/>
    <d v="2023-04-15T00:00:00"/>
    <s v="CUST-4945"/>
    <s v="Ananya Bose"/>
    <s v="East"/>
    <s v="Bhubaneswar"/>
    <x v="3"/>
    <s v="Lenovo Tab P11"/>
    <n v="2"/>
    <n v="43400"/>
    <n v="10"/>
    <s v="Amit Kumar"/>
    <n v="86800"/>
    <n v="8680"/>
    <n v="78120"/>
    <s v="Apr-2023"/>
    <s v="Q2-2023"/>
    <s v="Sat"/>
    <s v="Medium"/>
  </r>
  <r>
    <s v="ORD-0476"/>
    <d v="2023-05-15T00:00:00"/>
    <s v="CUST-5055"/>
    <s v="Riya Malhotra"/>
    <s v="North"/>
    <s v="Chandigarh"/>
    <x v="0"/>
    <s v="Realme GT"/>
    <n v="1"/>
    <n v="48300"/>
    <n v="25"/>
    <s v="Vikram Singh"/>
    <n v="48300"/>
    <n v="12075"/>
    <n v="36225"/>
    <s v="May-2023"/>
    <s v="Q2-2023"/>
    <s v="Mon"/>
    <s v="Low"/>
  </r>
  <r>
    <s v="ORD-0477"/>
    <d v="2023-05-15T00:00:00"/>
    <s v="CUST-9969"/>
    <s v="Ritika Menon"/>
    <s v="East"/>
    <s v="Ranchi"/>
    <x v="0"/>
    <s v="Realme GT"/>
    <n v="1"/>
    <n v="25600"/>
    <n v="5"/>
    <s v="Sneha Reddy"/>
    <n v="25600"/>
    <n v="1280"/>
    <n v="24320"/>
    <s v="May-2023"/>
    <s v="Q2-2023"/>
    <s v="Mon"/>
    <s v="Low"/>
  </r>
  <r>
    <s v="ORD-0478"/>
    <d v="2023-05-15T00:00:00"/>
    <s v="CUST-1200"/>
    <s v="Pallavi Krishnan"/>
    <s v="North"/>
    <s v="Delhi"/>
    <x v="4"/>
    <s v="Acer Aspire"/>
    <n v="1"/>
    <n v="49000"/>
    <n v="0"/>
    <s v="Rohan Mehta"/>
    <n v="49000"/>
    <n v="0"/>
    <n v="49000"/>
    <s v="May-2023"/>
    <s v="Q2-2023"/>
    <s v="Mon"/>
    <s v="Low"/>
  </r>
  <r>
    <s v="ORD-0479"/>
    <d v="2023-05-15T00:00:00"/>
    <s v="CUST-6453"/>
    <s v="Karan Verma"/>
    <s v="Central"/>
    <s v="Nagpur"/>
    <x v="2"/>
    <s v="Samsung Galaxy Watch"/>
    <n v="1"/>
    <n v="25400"/>
    <n v="10"/>
    <s v="Anjali Gupta"/>
    <n v="25400"/>
    <n v="2540"/>
    <n v="22860"/>
    <s v="May-2023"/>
    <s v="Q2-2023"/>
    <s v="Mon"/>
    <s v="Low"/>
  </r>
  <r>
    <s v="ORD-0480"/>
    <d v="2023-06-15T00:00:00"/>
    <s v="CUST-0018"/>
    <s v="Tanvi Kulkarni"/>
    <s v="Central"/>
    <s v="Bhopal"/>
    <x v="1"/>
    <s v="Wireless Mouse"/>
    <n v="2"/>
    <n v="2000"/>
    <n v="5"/>
    <s v="Kavya Iyer"/>
    <n v="4000"/>
    <n v="200"/>
    <n v="3800"/>
    <s v="Jun-2023"/>
    <s v="Q2-2023"/>
    <s v="Thu"/>
    <s v="Low"/>
  </r>
  <r>
    <s v="ORD-0481"/>
    <d v="2023-06-15T00:00:00"/>
    <s v="CUST-4945"/>
    <s v="Ananya Bose"/>
    <s v="North"/>
    <s v="Delhi"/>
    <x v="2"/>
    <s v="Mi Band 7"/>
    <n v="1"/>
    <n v="35000"/>
    <n v="0"/>
    <s v="Vikram Singh"/>
    <n v="35000"/>
    <n v="0"/>
    <n v="35000"/>
    <s v="Jun-2023"/>
    <s v="Q2-2023"/>
    <s v="Thu"/>
    <s v="Low"/>
  </r>
  <r>
    <s v="ORD-0482"/>
    <d v="2023-06-15T00:00:00"/>
    <s v="CUST-4295"/>
    <s v="Manish Arora"/>
    <s v="Central"/>
    <s v="Nagpur"/>
    <x v="4"/>
    <s v="Dell Inspiron"/>
    <n v="1"/>
    <n v="70300"/>
    <n v="5"/>
    <s v="Rahul Sharma"/>
    <n v="70300"/>
    <n v="3515"/>
    <n v="66785"/>
    <s v="Jun-2023"/>
    <s v="Q2-2023"/>
    <s v="Thu"/>
    <s v="Medium"/>
  </r>
  <r>
    <s v="ORD-0483"/>
    <d v="2023-06-15T00:00:00"/>
    <s v="CUST-3922"/>
    <s v="Sakshi Rathore"/>
    <s v="West"/>
    <s v="Ahmedabad"/>
    <x v="2"/>
    <s v="Fitbit Versa 4"/>
    <n v="1"/>
    <n v="21300"/>
    <n v="0"/>
    <s v="Amit Kumar"/>
    <n v="21300"/>
    <n v="0"/>
    <n v="21300"/>
    <s v="Jun-2023"/>
    <s v="Q2-2023"/>
    <s v="Thu"/>
    <s v="Low"/>
  </r>
  <r>
    <s v="ORD-0484"/>
    <d v="2023-07-15T00:00:00"/>
    <s v="CUST-6453"/>
    <s v="Karan Verma"/>
    <s v="South"/>
    <s v="Bangalore"/>
    <x v="4"/>
    <s v="HP Pavilion"/>
    <n v="1"/>
    <n v="53300"/>
    <n v="5"/>
    <s v="Vikram Singh"/>
    <n v="53300"/>
    <n v="2665"/>
    <n v="50635"/>
    <s v="Jul-2023"/>
    <s v="Q3-2023"/>
    <s v="Sat"/>
    <s v="Medium"/>
  </r>
  <r>
    <s v="ORD-0485"/>
    <d v="2023-08-15T00:00:00"/>
    <s v="CUST-5409"/>
    <s v="Akash Pillai"/>
    <s v="East"/>
    <s v="Patna"/>
    <x v="2"/>
    <s v="Apple Watch Series 8"/>
    <n v="1"/>
    <n v="25000"/>
    <n v="10"/>
    <s v="Priya Patel"/>
    <n v="25000"/>
    <n v="2500"/>
    <n v="22500"/>
    <s v="Aug-2023"/>
    <s v="Q3-2023"/>
    <s v="Tue"/>
    <s v="Low"/>
  </r>
  <r>
    <s v="ORD-0486"/>
    <d v="2023-08-15T00:00:00"/>
    <s v="CUST-8593"/>
    <s v="Sneha Sharma"/>
    <s v="South"/>
    <s v="Kochi"/>
    <x v="1"/>
    <s v="Webcam"/>
    <n v="2"/>
    <n v="2000"/>
    <n v="10"/>
    <s v="Amit Kumar"/>
    <n v="4000"/>
    <n v="400"/>
    <n v="3600"/>
    <s v="Aug-2023"/>
    <s v="Q3-2023"/>
    <s v="Tue"/>
    <s v="Low"/>
  </r>
  <r>
    <s v="ORD-0487"/>
    <d v="2023-08-15T00:00:00"/>
    <s v="CUST-5060"/>
    <s v="Gaurav Bhatt"/>
    <s v="Central"/>
    <s v="Raipur"/>
    <x v="2"/>
    <s v="Mi Band 7"/>
    <n v="1"/>
    <n v="19400"/>
    <n v="0"/>
    <s v="Kavya Iyer"/>
    <n v="19400"/>
    <n v="0"/>
    <n v="19400"/>
    <s v="Aug-2023"/>
    <s v="Q3-2023"/>
    <s v="Tue"/>
    <s v="Low"/>
  </r>
  <r>
    <s v="ORD-0488"/>
    <d v="2023-09-15T00:00:00"/>
    <s v="CUST-4064"/>
    <s v="Nisha Ghosh"/>
    <s v="East"/>
    <s v="Bhubaneswar"/>
    <x v="2"/>
    <s v="Samsung Galaxy Watch"/>
    <n v="1"/>
    <n v="33600"/>
    <n v="10"/>
    <s v="Sneha Reddy"/>
    <n v="33600"/>
    <n v="3360"/>
    <n v="30240"/>
    <s v="Sep-2023"/>
    <s v="Q3-2023"/>
    <s v="Fri"/>
    <s v="Low"/>
  </r>
  <r>
    <s v="ORD-0489"/>
    <d v="2023-09-15T00:00:00"/>
    <s v="CUST-9969"/>
    <s v="Ritika Menon"/>
    <s v="Central"/>
    <s v="Raipur"/>
    <x v="3"/>
    <s v="Samsung Tab S8"/>
    <n v="1"/>
    <n v="43000"/>
    <n v="10"/>
    <s v="Kavya Iyer"/>
    <n v="43000"/>
    <n v="4300"/>
    <n v="38700"/>
    <s v="Sep-2023"/>
    <s v="Q3-2023"/>
    <s v="Fri"/>
    <s v="Low"/>
  </r>
  <r>
    <s v="ORD-0490"/>
    <d v="2023-09-15T00:00:00"/>
    <s v="CUST-6295"/>
    <s v="Arjun Nair"/>
    <s v="Central"/>
    <s v="Raipur"/>
    <x v="0"/>
    <s v="iPhone 14"/>
    <n v="1"/>
    <n v="32200"/>
    <n v="25"/>
    <s v="Vikram Singh"/>
    <n v="32200"/>
    <n v="8050"/>
    <n v="24150"/>
    <s v="Sep-2023"/>
    <s v="Q3-2023"/>
    <s v="Fri"/>
    <s v="Low"/>
  </r>
  <r>
    <s v="ORD-0491"/>
    <d v="2023-10-15T00:00:00"/>
    <s v="CUST-1661"/>
    <s v="Harsh Sinha"/>
    <s v="West"/>
    <s v="Surat"/>
    <x v="0"/>
    <s v="iPhone 14"/>
    <n v="1"/>
    <n v="35800"/>
    <n v="10"/>
    <s v="Sneha Reddy"/>
    <n v="35800"/>
    <n v="3580"/>
    <n v="32220"/>
    <s v="Oct-2023"/>
    <s v="Q4-2023"/>
    <s v="Sun"/>
    <s v="Low"/>
  </r>
  <r>
    <s v="ORD-0492"/>
    <d v="2023-10-15T00:00:00"/>
    <s v="CUST-4816"/>
    <s v="Amit Patel"/>
    <s v="North"/>
    <s v="Delhi"/>
    <x v="4"/>
    <s v="HP Pavilion"/>
    <n v="1"/>
    <n v="63300"/>
    <n v="20"/>
    <s v="Anjali Gupta"/>
    <n v="63300"/>
    <n v="12660"/>
    <n v="50640"/>
    <s v="Oct-2023"/>
    <s v="Q4-2023"/>
    <s v="Sun"/>
    <s v="Medium"/>
  </r>
  <r>
    <s v="ORD-0493"/>
    <d v="2023-10-15T00:00:00"/>
    <s v="CUST-4414"/>
    <s v="Vikram Reddy"/>
    <s v="Central"/>
    <s v="Nagpur"/>
    <x v="3"/>
    <s v="iPad Air"/>
    <n v="1"/>
    <n v="36800"/>
    <n v="15"/>
    <s v="Anjali Gupta"/>
    <n v="36800"/>
    <n v="5520"/>
    <n v="31280"/>
    <s v="Oct-2023"/>
    <s v="Q4-2023"/>
    <s v="Sun"/>
    <s v="Low"/>
  </r>
  <r>
    <s v="ORD-0494"/>
    <d v="2023-11-15T00:00:00"/>
    <s v="CUST-4816"/>
    <s v="Amit Patel"/>
    <s v="South"/>
    <s v="Bangalore"/>
    <x v="1"/>
    <s v="Webcam"/>
    <n v="2"/>
    <n v="1300"/>
    <n v="20"/>
    <s v="Vikram Singh"/>
    <n v="2600"/>
    <n v="520"/>
    <n v="2080"/>
    <s v="Nov-2023"/>
    <s v="Q4-2023"/>
    <s v="Wed"/>
    <s v="Low"/>
  </r>
  <r>
    <s v="ORD-0495"/>
    <d v="2023-11-15T00:00:00"/>
    <s v="CUST-5560"/>
    <s v="Swati Nambiar"/>
    <s v="Central"/>
    <s v="Indore"/>
    <x v="1"/>
    <s v="Wireless Mouse"/>
    <n v="2"/>
    <n v="1300"/>
    <n v="20"/>
    <s v="Priya Patel"/>
    <n v="2600"/>
    <n v="520"/>
    <n v="2080"/>
    <s v="Nov-2023"/>
    <s v="Q4-2023"/>
    <s v="Wed"/>
    <s v="Low"/>
  </r>
  <r>
    <s v="ORD-0496"/>
    <d v="2023-11-15T00:00:00"/>
    <s v="CUST-7270"/>
    <s v="Yash Dhawan"/>
    <s v="South"/>
    <s v="Kochi"/>
    <x v="3"/>
    <s v="Amazon Fire HD"/>
    <n v="1"/>
    <n v="32700"/>
    <n v="5"/>
    <s v="Sneha Reddy"/>
    <n v="32700"/>
    <n v="1635"/>
    <n v="31065"/>
    <s v="Nov-2023"/>
    <s v="Q4-2023"/>
    <s v="Wed"/>
    <s v="Low"/>
  </r>
  <r>
    <s v="ORD-0497"/>
    <d v="2023-11-15T00:00:00"/>
    <s v="CUST-4295"/>
    <s v="Manish Arora"/>
    <s v="South"/>
    <s v="Chennai"/>
    <x v="0"/>
    <s v="Xiaomi 13"/>
    <n v="1"/>
    <n v="40100"/>
    <n v="0"/>
    <s v="Sneha Reddy"/>
    <n v="40100"/>
    <n v="0"/>
    <n v="40100"/>
    <s v="Nov-2023"/>
    <s v="Q4-2023"/>
    <s v="Wed"/>
    <s v="Low"/>
  </r>
  <r>
    <s v="ORD-0498"/>
    <d v="2023-12-15T00:00:00"/>
    <s v="CUST-6126"/>
    <s v="Siddharth Tiwari"/>
    <s v="North"/>
    <s v="Jaipur"/>
    <x v="3"/>
    <s v="Amazon Fire HD"/>
    <n v="1"/>
    <n v="31200"/>
    <n v="25"/>
    <s v="Amit Kumar"/>
    <n v="31200"/>
    <n v="7800"/>
    <n v="23400"/>
    <s v="Dec-2023"/>
    <s v="Q4-2023"/>
    <s v="Fri"/>
    <s v="Low"/>
  </r>
  <r>
    <s v="ORD-0499"/>
    <d v="2023-12-15T00:00:00"/>
    <s v="CUST-2243"/>
    <s v="Divya Shah"/>
    <s v="North"/>
    <s v="Chandigarh"/>
    <x v="3"/>
    <s v="iPad Air"/>
    <n v="1"/>
    <n v="44500"/>
    <n v="10"/>
    <s v="Rahul Sharma"/>
    <n v="44500"/>
    <n v="4450"/>
    <n v="40050"/>
    <s v="Dec-2023"/>
    <s v="Q4-2023"/>
    <s v="Fri"/>
    <s v="Low"/>
  </r>
  <r>
    <s v="ORD-0500"/>
    <d v="2023-12-15T00:00:00"/>
    <s v="CUST-4414"/>
    <s v="Vikram Reddy"/>
    <s v="Central"/>
    <s v="Nagpur"/>
    <x v="3"/>
    <s v="Samsung Tab S8"/>
    <n v="1"/>
    <n v="46500"/>
    <n v="15"/>
    <s v="Kavya Iyer"/>
    <n v="46500"/>
    <n v="6975"/>
    <n v="39525"/>
    <s v="Dec-2023"/>
    <s v="Q4-2023"/>
    <s v="Fri"/>
    <s v="Low"/>
  </r>
  <r>
    <s v="ORD-0501"/>
    <d v="2023-12-15T00:00:00"/>
    <s v="CUST-5060"/>
    <s v="Gaurav Bhatt"/>
    <s v="West"/>
    <s v="Pune"/>
    <x v="1"/>
    <s v="Webcam"/>
    <n v="2"/>
    <n v="2600"/>
    <n v="20"/>
    <s v="Amit Kumar"/>
    <n v="5200"/>
    <n v="1040"/>
    <n v="4160"/>
    <s v="Dec-2023"/>
    <s v="Q4-2023"/>
    <s v="Fri"/>
    <s v="Low"/>
  </r>
  <r>
    <s v="ORD-0502"/>
    <d v="2023-01-16T00:00:00"/>
    <s v="CUST-4295"/>
    <s v="Manish Arora"/>
    <s v="East"/>
    <s v="Ranchi"/>
    <x v="3"/>
    <s v="iPad Air"/>
    <n v="1"/>
    <n v="22500"/>
    <n v="5"/>
    <s v="Priya Patel"/>
    <n v="22500"/>
    <n v="1125"/>
    <n v="21375"/>
    <s v="Jan-2023"/>
    <s v="Q1-2023"/>
    <s v="Mon"/>
    <s v="Low"/>
  </r>
  <r>
    <s v="ORD-0503"/>
    <d v="2023-02-16T00:00:00"/>
    <s v="CUST-2917"/>
    <s v="Ishita Bansal"/>
    <s v="West"/>
    <s v="Mumbai"/>
    <x v="4"/>
    <s v="ASUS VivoBook"/>
    <n v="2"/>
    <n v="62100"/>
    <n v="0"/>
    <s v="Rahul Sharma"/>
    <n v="124200"/>
    <n v="0"/>
    <n v="124200"/>
    <s v="Feb-2023"/>
    <s v="Q1-2023"/>
    <s v="Thu"/>
    <s v="High"/>
  </r>
  <r>
    <s v="ORD-0504"/>
    <d v="2023-02-16T00:00:00"/>
    <s v="CUST-6295"/>
    <s v="Arjun Nair"/>
    <s v="North"/>
    <s v="Delhi"/>
    <x v="1"/>
    <s v="Wireless Mouse"/>
    <n v="2"/>
    <n v="1600"/>
    <n v="10"/>
    <s v="Rahul Sharma"/>
    <n v="3200"/>
    <n v="320"/>
    <n v="2880"/>
    <s v="Feb-2023"/>
    <s v="Q1-2023"/>
    <s v="Thu"/>
    <s v="Low"/>
  </r>
  <r>
    <s v="ORD-0505"/>
    <d v="2023-02-16T00:00:00"/>
    <s v="CUST-8995"/>
    <s v="Mohit Saxena"/>
    <s v="South"/>
    <s v="Hyderabad"/>
    <x v="0"/>
    <s v="iPhone 14"/>
    <n v="1"/>
    <n v="33300"/>
    <n v="15"/>
    <s v="Rohan Mehta"/>
    <n v="33300"/>
    <n v="4995"/>
    <n v="28305"/>
    <s v="Feb-2023"/>
    <s v="Q1-2023"/>
    <s v="Thu"/>
    <s v="Low"/>
  </r>
  <r>
    <s v="ORD-0506"/>
    <d v="2023-02-16T00:00:00"/>
    <s v="CUST-4064"/>
    <s v="Nisha Ghosh"/>
    <s v="West"/>
    <s v="Ahmedabad"/>
    <x v="2"/>
    <s v="Fitbit Versa 4"/>
    <n v="1"/>
    <n v="21600"/>
    <n v="10"/>
    <s v="Priya Patel"/>
    <n v="21600"/>
    <n v="2160"/>
    <n v="19440"/>
    <s v="Feb-2023"/>
    <s v="Q1-2023"/>
    <s v="Thu"/>
    <s v="Low"/>
  </r>
  <r>
    <s v="ORD-0507"/>
    <d v="2023-02-16T00:00:00"/>
    <s v="CUST-0018"/>
    <s v="Tanvi Kulkarni"/>
    <s v="Central"/>
    <s v="Indore"/>
    <x v="1"/>
    <s v="Laptop Bag"/>
    <n v="2"/>
    <n v="1200"/>
    <n v="15"/>
    <s v="Amit Kumar"/>
    <n v="2400"/>
    <n v="360"/>
    <n v="2040"/>
    <s v="Feb-2023"/>
    <s v="Q1-2023"/>
    <s v="Thu"/>
    <s v="Low"/>
  </r>
  <r>
    <s v="ORD-0508"/>
    <d v="2023-02-16T00:00:00"/>
    <s v="CUST-0018"/>
    <s v="Tanvi Kulkarni"/>
    <s v="Central"/>
    <s v="Nagpur"/>
    <x v="2"/>
    <s v="Fitbit Versa 4"/>
    <n v="1"/>
    <n v="12100"/>
    <n v="15"/>
    <s v="Anjali Gupta"/>
    <n v="12100"/>
    <n v="1815"/>
    <n v="10285"/>
    <s v="Feb-2023"/>
    <s v="Q1-2023"/>
    <s v="Thu"/>
    <s v="Low"/>
  </r>
  <r>
    <s v="ORD-0509"/>
    <d v="2023-02-16T00:00:00"/>
    <s v="CUST-6453"/>
    <s v="Karan Verma"/>
    <s v="South"/>
    <s v="Hyderabad"/>
    <x v="2"/>
    <s v="Samsung Galaxy Watch"/>
    <n v="1"/>
    <n v="26700"/>
    <n v="10"/>
    <s v="Sneha Reddy"/>
    <n v="26700"/>
    <n v="2670"/>
    <n v="24030"/>
    <s v="Feb-2023"/>
    <s v="Q1-2023"/>
    <s v="Thu"/>
    <s v="Low"/>
  </r>
  <r>
    <s v="ORD-0510"/>
    <d v="2023-02-16T00:00:00"/>
    <s v="CUST-2243"/>
    <s v="Divya Shah"/>
    <s v="Central"/>
    <s v="Nagpur"/>
    <x v="4"/>
    <s v="Dell Inspiron"/>
    <n v="1"/>
    <n v="66700"/>
    <n v="10"/>
    <s v="Priya Patel"/>
    <n v="66700"/>
    <n v="6670"/>
    <n v="60030"/>
    <s v="Feb-2023"/>
    <s v="Q1-2023"/>
    <s v="Thu"/>
    <s v="Medium"/>
  </r>
  <r>
    <s v="ORD-0511"/>
    <d v="2023-03-16T00:00:00"/>
    <s v="CUST-7693"/>
    <s v="Sameer Dutta"/>
    <s v="East"/>
    <s v="Ranchi"/>
    <x v="3"/>
    <s v="Lenovo Tab P11"/>
    <n v="1"/>
    <n v="34900"/>
    <n v="0"/>
    <s v="Rahul Sharma"/>
    <n v="34900"/>
    <n v="0"/>
    <n v="34900"/>
    <s v="Mar-2023"/>
    <s v="Q1-2023"/>
    <s v="Thu"/>
    <s v="Low"/>
  </r>
  <r>
    <s v="ORD-0512"/>
    <d v="2023-03-16T00:00:00"/>
    <s v="CUST-6295"/>
    <s v="Arjun Nair"/>
    <s v="South"/>
    <s v="Hyderabad"/>
    <x v="0"/>
    <s v="Samsung Galaxy S23"/>
    <n v="1"/>
    <n v="41000"/>
    <n v="0"/>
    <s v="Rahul Sharma"/>
    <n v="41000"/>
    <n v="0"/>
    <n v="41000"/>
    <s v="Mar-2023"/>
    <s v="Q1-2023"/>
    <s v="Thu"/>
    <s v="Low"/>
  </r>
  <r>
    <s v="ORD-0513"/>
    <d v="2023-03-16T00:00:00"/>
    <s v="CUST-1540"/>
    <s v="Simran Kaur"/>
    <s v="Central"/>
    <s v="Indore"/>
    <x v="1"/>
    <s v="Laptop Bag"/>
    <n v="2"/>
    <n v="2500"/>
    <n v="10"/>
    <s v="Kavya Iyer"/>
    <n v="5000"/>
    <n v="500"/>
    <n v="4500"/>
    <s v="Mar-2023"/>
    <s v="Q1-2023"/>
    <s v="Thu"/>
    <s v="Low"/>
  </r>
  <r>
    <s v="ORD-0514"/>
    <d v="2023-04-16T00:00:00"/>
    <s v="CUST-2243"/>
    <s v="Divya Shah"/>
    <s v="Central"/>
    <s v="Nagpur"/>
    <x v="2"/>
    <s v="Samsung Galaxy Watch"/>
    <n v="1"/>
    <n v="28500"/>
    <n v="5"/>
    <s v="Vikram Singh"/>
    <n v="28500"/>
    <n v="1425"/>
    <n v="27075"/>
    <s v="Apr-2023"/>
    <s v="Q2-2023"/>
    <s v="Sun"/>
    <s v="Low"/>
  </r>
  <r>
    <s v="ORD-0515"/>
    <d v="2023-05-16T00:00:00"/>
    <s v="CUST-8593"/>
    <s v="Sneha Sharma"/>
    <s v="East"/>
    <s v="Ranchi"/>
    <x v="3"/>
    <s v="iPad Air"/>
    <n v="1"/>
    <n v="28500"/>
    <n v="10"/>
    <s v="Sneha Reddy"/>
    <n v="28500"/>
    <n v="2850"/>
    <n v="25650"/>
    <s v="May-2023"/>
    <s v="Q2-2023"/>
    <s v="Tue"/>
    <s v="Low"/>
  </r>
  <r>
    <s v="ORD-0516"/>
    <d v="2023-05-16T00:00:00"/>
    <s v="CUST-1661"/>
    <s v="Harsh Sinha"/>
    <s v="East"/>
    <s v="Ranchi"/>
    <x v="4"/>
    <s v="Lenovo ThinkPad"/>
    <n v="1"/>
    <n v="53700"/>
    <n v="20"/>
    <s v="Anjali Gupta"/>
    <n v="53700"/>
    <n v="10740"/>
    <n v="42960"/>
    <s v="May-2023"/>
    <s v="Q2-2023"/>
    <s v="Tue"/>
    <s v="Low"/>
  </r>
  <r>
    <s v="ORD-0517"/>
    <d v="2023-05-16T00:00:00"/>
    <s v="CUST-4064"/>
    <s v="Nisha Ghosh"/>
    <s v="South"/>
    <s v="Chennai"/>
    <x v="2"/>
    <s v="Samsung Galaxy Watch"/>
    <n v="1"/>
    <n v="23200"/>
    <n v="25"/>
    <s v="Rohan Mehta"/>
    <n v="23200"/>
    <n v="5800"/>
    <n v="17400"/>
    <s v="May-2023"/>
    <s v="Q2-2023"/>
    <s v="Tue"/>
    <s v="Low"/>
  </r>
  <r>
    <s v="ORD-0518"/>
    <d v="2023-05-16T00:00:00"/>
    <s v="CUST-2243"/>
    <s v="Divya Shah"/>
    <s v="West"/>
    <s v="Ahmedabad"/>
    <x v="1"/>
    <s v="Webcam"/>
    <n v="2"/>
    <n v="2600"/>
    <n v="15"/>
    <s v="Sneha Reddy"/>
    <n v="5200"/>
    <n v="780"/>
    <n v="4420"/>
    <s v="May-2023"/>
    <s v="Q2-2023"/>
    <s v="Tue"/>
    <s v="Low"/>
  </r>
  <r>
    <s v="ORD-0519"/>
    <d v="2023-05-16T00:00:00"/>
    <s v="CUST-6453"/>
    <s v="Karan Verma"/>
    <s v="Central"/>
    <s v="Indore"/>
    <x v="4"/>
    <s v="Acer Aspire"/>
    <n v="1"/>
    <n v="48200"/>
    <n v="15"/>
    <s v="Rohan Mehta"/>
    <n v="48200"/>
    <n v="7230"/>
    <n v="40970"/>
    <s v="May-2023"/>
    <s v="Q2-2023"/>
    <s v="Tue"/>
    <s v="Low"/>
  </r>
  <r>
    <s v="ORD-0520"/>
    <d v="2023-06-16T00:00:00"/>
    <s v="CUST-1661"/>
    <s v="Harsh Sinha"/>
    <s v="South"/>
    <s v="Bangalore"/>
    <x v="0"/>
    <s v="Xiaomi 13"/>
    <n v="1"/>
    <n v="43600"/>
    <n v="5"/>
    <s v="Sneha Reddy"/>
    <n v="43600"/>
    <n v="2180"/>
    <n v="41420"/>
    <s v="Jun-2023"/>
    <s v="Q2-2023"/>
    <s v="Fri"/>
    <s v="Low"/>
  </r>
  <r>
    <s v="ORD-0521"/>
    <d v="2023-07-16T00:00:00"/>
    <s v="CUST-4816"/>
    <s v="Amit Patel"/>
    <s v="West"/>
    <s v="Ahmedabad"/>
    <x v="1"/>
    <s v="Laptop Bag"/>
    <n v="2"/>
    <n v="1800"/>
    <n v="15"/>
    <s v="Rahul Sharma"/>
    <n v="3600"/>
    <n v="540"/>
    <n v="3060"/>
    <s v="Jul-2023"/>
    <s v="Q3-2023"/>
    <s v="Sun"/>
    <s v="Low"/>
  </r>
  <r>
    <s v="ORD-0522"/>
    <d v="2023-07-16T00:00:00"/>
    <s v="CUST-2917"/>
    <s v="Ishita Bansal"/>
    <s v="Central"/>
    <s v="Nagpur"/>
    <x v="0"/>
    <s v="Samsung Galaxy S23"/>
    <n v="1"/>
    <n v="46100"/>
    <n v="0"/>
    <s v="Vikram Singh"/>
    <n v="46100"/>
    <n v="0"/>
    <n v="46100"/>
    <s v="Jul-2023"/>
    <s v="Q3-2023"/>
    <s v="Sun"/>
    <s v="Low"/>
  </r>
  <r>
    <s v="ORD-0523"/>
    <d v="2023-08-16T00:00:00"/>
    <s v="CUST-1540"/>
    <s v="Simran Kaur"/>
    <s v="Central"/>
    <s v="Nagpur"/>
    <x v="1"/>
    <s v="Mechanical Keyboard"/>
    <n v="2"/>
    <n v="2100"/>
    <n v="20"/>
    <s v="Vikram Singh"/>
    <n v="4200"/>
    <n v="840"/>
    <n v="3360"/>
    <s v="Aug-2023"/>
    <s v="Q3-2023"/>
    <s v="Wed"/>
    <s v="Low"/>
  </r>
  <r>
    <s v="ORD-0524"/>
    <d v="2023-08-16T00:00:00"/>
    <s v="CUST-8995"/>
    <s v="Mohit Saxena"/>
    <s v="North"/>
    <s v="Jaipur"/>
    <x v="2"/>
    <s v="Samsung Galaxy Watch"/>
    <n v="1"/>
    <n v="26700"/>
    <n v="10"/>
    <s v="Vikram Singh"/>
    <n v="26700"/>
    <n v="2670"/>
    <n v="24030"/>
    <s v="Aug-2023"/>
    <s v="Q3-2023"/>
    <s v="Wed"/>
    <s v="Low"/>
  </r>
  <r>
    <s v="ORD-0525"/>
    <d v="2023-09-16T00:00:00"/>
    <s v="CUST-8923"/>
    <s v="Pooja Desai"/>
    <s v="Central"/>
    <s v="Raipur"/>
    <x v="4"/>
    <s v="Dell Inspiron"/>
    <n v="1"/>
    <n v="69900"/>
    <n v="20"/>
    <s v="Rohan Mehta"/>
    <n v="69900"/>
    <n v="13980"/>
    <n v="55920"/>
    <s v="Sep-2023"/>
    <s v="Q3-2023"/>
    <s v="Sat"/>
    <s v="Medium"/>
  </r>
  <r>
    <s v="ORD-0526"/>
    <d v="2023-09-16T00:00:00"/>
    <s v="CUST-3922"/>
    <s v="Sakshi Rathore"/>
    <s v="Central"/>
    <s v="Bhopal"/>
    <x v="4"/>
    <s v="Acer Aspire"/>
    <n v="1"/>
    <n v="49000"/>
    <n v="0"/>
    <s v="Sneha Reddy"/>
    <n v="49000"/>
    <n v="0"/>
    <n v="49000"/>
    <s v="Sep-2023"/>
    <s v="Q3-2023"/>
    <s v="Sat"/>
    <s v="Low"/>
  </r>
  <r>
    <s v="ORD-0527"/>
    <d v="2023-09-16T00:00:00"/>
    <s v="CUST-9929"/>
    <s v="Kunal Dixit"/>
    <s v="East"/>
    <s v="Ranchi"/>
    <x v="2"/>
    <s v="Samsung Galaxy Watch"/>
    <n v="1"/>
    <n v="24100"/>
    <n v="5"/>
    <s v="Rohan Mehta"/>
    <n v="24100"/>
    <n v="1205"/>
    <n v="22895"/>
    <s v="Sep-2023"/>
    <s v="Q3-2023"/>
    <s v="Sat"/>
    <s v="Low"/>
  </r>
  <r>
    <s v="ORD-0528"/>
    <d v="2023-09-16T00:00:00"/>
    <s v="CUST-8593"/>
    <s v="Sneha Sharma"/>
    <s v="West"/>
    <s v="Pune"/>
    <x v="0"/>
    <s v="Realme GT"/>
    <n v="2"/>
    <n v="47400"/>
    <n v="10"/>
    <s v="Rahul Sharma"/>
    <n v="94800"/>
    <n v="9480"/>
    <n v="85320"/>
    <s v="Sep-2023"/>
    <s v="Q3-2023"/>
    <s v="Sat"/>
    <s v="Medium"/>
  </r>
  <r>
    <s v="ORD-0529"/>
    <d v="2023-09-16T00:00:00"/>
    <s v="CUST-4064"/>
    <s v="Nisha Ghosh"/>
    <s v="East"/>
    <s v="Patna"/>
    <x v="2"/>
    <s v="Apple Watch Series 8"/>
    <n v="1"/>
    <n v="31300"/>
    <n v="0"/>
    <s v="Priya Patel"/>
    <n v="31300"/>
    <n v="0"/>
    <n v="31300"/>
    <s v="Sep-2023"/>
    <s v="Q3-2023"/>
    <s v="Sat"/>
    <s v="Low"/>
  </r>
  <r>
    <s v="ORD-0530"/>
    <d v="2023-10-16T00:00:00"/>
    <s v="CUST-7270"/>
    <s v="Yash Dhawan"/>
    <s v="North"/>
    <s v="Delhi"/>
    <x v="2"/>
    <s v="Fitbit Versa 4"/>
    <n v="1"/>
    <n v="19900"/>
    <n v="25"/>
    <s v="Amit Kumar"/>
    <n v="19900"/>
    <n v="4975"/>
    <n v="14925"/>
    <s v="Oct-2023"/>
    <s v="Q4-2023"/>
    <s v="Mon"/>
    <s v="Low"/>
  </r>
  <r>
    <s v="ORD-0531"/>
    <d v="2023-10-16T00:00:00"/>
    <s v="CUST-4295"/>
    <s v="Manish Arora"/>
    <s v="East"/>
    <s v="Kolkata"/>
    <x v="1"/>
    <s v="Webcam"/>
    <n v="2"/>
    <n v="1000"/>
    <n v="0"/>
    <s v="Rahul Sharma"/>
    <n v="2000"/>
    <n v="0"/>
    <n v="2000"/>
    <s v="Oct-2023"/>
    <s v="Q4-2023"/>
    <s v="Mon"/>
    <s v="Low"/>
  </r>
  <r>
    <s v="ORD-0532"/>
    <d v="2023-10-16T00:00:00"/>
    <s v="CUST-5369"/>
    <s v="Aditya Rao"/>
    <s v="North"/>
    <s v="Chandigarh"/>
    <x v="3"/>
    <s v="iPad Air"/>
    <n v="1"/>
    <n v="31900"/>
    <n v="10"/>
    <s v="Rahul Sharma"/>
    <n v="31900"/>
    <n v="3190"/>
    <n v="28710"/>
    <s v="Oct-2023"/>
    <s v="Q4-2023"/>
    <s v="Mon"/>
    <s v="Low"/>
  </r>
  <r>
    <s v="ORD-0533"/>
    <d v="2023-11-16T00:00:00"/>
    <s v="CUST-6126"/>
    <s v="Siddharth Tiwari"/>
    <s v="South"/>
    <s v="Kochi"/>
    <x v="2"/>
    <s v="Mi Band 7"/>
    <n v="1"/>
    <n v="24800"/>
    <n v="20"/>
    <s v="Rohan Mehta"/>
    <n v="24800"/>
    <n v="4960"/>
    <n v="19840"/>
    <s v="Nov-2023"/>
    <s v="Q4-2023"/>
    <s v="Thu"/>
    <s v="Low"/>
  </r>
  <r>
    <s v="ORD-0534"/>
    <d v="2023-11-16T00:00:00"/>
    <s v="CUST-2055"/>
    <s v="Shreya Pandey"/>
    <s v="Central"/>
    <s v="Bhopal"/>
    <x v="0"/>
    <s v="Samsung Galaxy S23"/>
    <n v="1"/>
    <n v="35400"/>
    <n v="10"/>
    <s v="Anjali Gupta"/>
    <n v="35400"/>
    <n v="3540"/>
    <n v="31860"/>
    <s v="Nov-2023"/>
    <s v="Q4-2023"/>
    <s v="Thu"/>
    <s v="Low"/>
  </r>
  <r>
    <s v="ORD-0535"/>
    <d v="2023-12-16T00:00:00"/>
    <s v="CUST-7270"/>
    <s v="Yash Dhawan"/>
    <s v="East"/>
    <s v="Bhubaneswar"/>
    <x v="4"/>
    <s v="Lenovo ThinkPad"/>
    <n v="1"/>
    <n v="35000"/>
    <n v="5"/>
    <s v="Rahul Sharma"/>
    <n v="35000"/>
    <n v="1750"/>
    <n v="33250"/>
    <s v="Dec-2023"/>
    <s v="Q4-2023"/>
    <s v="Sat"/>
    <s v="Low"/>
  </r>
  <r>
    <s v="ORD-0536"/>
    <d v="2023-12-16T00:00:00"/>
    <s v="CUST-7270"/>
    <s v="Yash Dhawan"/>
    <s v="East"/>
    <s v="Ranchi"/>
    <x v="4"/>
    <s v="Dell Inspiron"/>
    <n v="1"/>
    <n v="41300"/>
    <n v="10"/>
    <s v="Anjali Gupta"/>
    <n v="41300"/>
    <n v="4130"/>
    <n v="37170"/>
    <s v="Dec-2023"/>
    <s v="Q4-2023"/>
    <s v="Sat"/>
    <s v="Low"/>
  </r>
  <r>
    <s v="ORD-0537"/>
    <d v="2023-12-16T00:00:00"/>
    <s v="CUST-7270"/>
    <s v="Yash Dhawan"/>
    <s v="East"/>
    <s v="Ranchi"/>
    <x v="4"/>
    <s v="ASUS VivoBook"/>
    <n v="1"/>
    <n v="62300"/>
    <n v="5"/>
    <s v="Vikram Singh"/>
    <n v="62300"/>
    <n v="3115"/>
    <n v="59185"/>
    <s v="Dec-2023"/>
    <s v="Q4-2023"/>
    <s v="Sat"/>
    <s v="Medium"/>
  </r>
  <r>
    <s v="ORD-0538"/>
    <d v="2023-01-17T00:00:00"/>
    <s v="CUST-8185"/>
    <s v="Rohan Mehta"/>
    <s v="West"/>
    <s v="Mumbai"/>
    <x v="0"/>
    <s v="iPhone 14"/>
    <n v="1"/>
    <n v="50400"/>
    <n v="0"/>
    <s v="Rahul Sharma"/>
    <n v="50400"/>
    <n v="0"/>
    <n v="50400"/>
    <s v="Jan-2023"/>
    <s v="Q1-2023"/>
    <s v="Tue"/>
    <s v="Medium"/>
  </r>
  <r>
    <s v="ORD-0539"/>
    <d v="2023-02-17T00:00:00"/>
    <s v="CUST-4945"/>
    <s v="Ananya Bose"/>
    <s v="East"/>
    <s v="Patna"/>
    <x v="0"/>
    <s v="Samsung Galaxy S23"/>
    <n v="1"/>
    <n v="31500"/>
    <n v="10"/>
    <s v="Kavya Iyer"/>
    <n v="31500"/>
    <n v="3150"/>
    <n v="28350"/>
    <s v="Feb-2023"/>
    <s v="Q1-2023"/>
    <s v="Fri"/>
    <s v="Low"/>
  </r>
  <r>
    <s v="ORD-0540"/>
    <d v="2023-02-17T00:00:00"/>
    <s v="CUST-3922"/>
    <s v="Sakshi Rathore"/>
    <s v="West"/>
    <s v="Pune"/>
    <x v="2"/>
    <s v="Apple Watch Series 8"/>
    <n v="1"/>
    <n v="27800"/>
    <n v="10"/>
    <s v="Rohan Mehta"/>
    <n v="27800"/>
    <n v="2780"/>
    <n v="25020"/>
    <s v="Feb-2023"/>
    <s v="Q1-2023"/>
    <s v="Fri"/>
    <s v="Low"/>
  </r>
  <r>
    <s v="ORD-0541"/>
    <d v="2023-02-17T00:00:00"/>
    <s v="CUST-5060"/>
    <s v="Gaurav Bhatt"/>
    <s v="West"/>
    <s v="Mumbai"/>
    <x v="1"/>
    <s v="USB-C Cable"/>
    <n v="3"/>
    <n v="2100"/>
    <n v="15"/>
    <s v="Sneha Reddy"/>
    <n v="6300"/>
    <n v="945"/>
    <n v="5355"/>
    <s v="Feb-2023"/>
    <s v="Q1-2023"/>
    <s v="Fri"/>
    <s v="Low"/>
  </r>
  <r>
    <s v="ORD-0542"/>
    <d v="2023-03-17T00:00:00"/>
    <s v="CUST-9969"/>
    <s v="Ritika Menon"/>
    <s v="West"/>
    <s v="Mumbai"/>
    <x v="4"/>
    <s v="Lenovo ThinkPad"/>
    <n v="1"/>
    <n v="46400"/>
    <n v="15"/>
    <s v="Sneha Reddy"/>
    <n v="46400"/>
    <n v="6960"/>
    <n v="39440"/>
    <s v="Mar-2023"/>
    <s v="Q1-2023"/>
    <s v="Fri"/>
    <s v="Low"/>
  </r>
  <r>
    <s v="ORD-0543"/>
    <d v="2023-03-17T00:00:00"/>
    <s v="CUST-9965"/>
    <s v="Neha Agarwal"/>
    <s v="North"/>
    <s v="Lucknow"/>
    <x v="4"/>
    <s v="HP Pavilion"/>
    <n v="1"/>
    <n v="53300"/>
    <n v="5"/>
    <s v="Amit Kumar"/>
    <n v="53300"/>
    <n v="2665"/>
    <n v="50635"/>
    <s v="Mar-2023"/>
    <s v="Q1-2023"/>
    <s v="Fri"/>
    <s v="Medium"/>
  </r>
  <r>
    <s v="ORD-0544"/>
    <d v="2023-03-17T00:00:00"/>
    <s v="CUST-8962"/>
    <s v="Priya Singh"/>
    <s v="South"/>
    <s v="Bangalore"/>
    <x v="2"/>
    <s v="Apple Watch Series 8"/>
    <n v="1"/>
    <n v="22200"/>
    <n v="5"/>
    <s v="Kavya Iyer"/>
    <n v="22200"/>
    <n v="1110"/>
    <n v="21090"/>
    <s v="Mar-2023"/>
    <s v="Q1-2023"/>
    <s v="Fri"/>
    <s v="Low"/>
  </r>
  <r>
    <s v="ORD-0545"/>
    <d v="2023-03-17T00:00:00"/>
    <s v="CUST-7808"/>
    <s v="Varun Chopra"/>
    <s v="Central"/>
    <s v="Bhopal"/>
    <x v="4"/>
    <s v="Acer Aspire"/>
    <n v="1"/>
    <n v="60600"/>
    <n v="0"/>
    <s v="Anjali Gupta"/>
    <n v="60600"/>
    <n v="0"/>
    <n v="60600"/>
    <s v="Mar-2023"/>
    <s v="Q1-2023"/>
    <s v="Fri"/>
    <s v="Medium"/>
  </r>
  <r>
    <s v="ORD-0546"/>
    <d v="2023-04-17T00:00:00"/>
    <s v="CUST-6453"/>
    <s v="Karan Verma"/>
    <s v="Central"/>
    <s v="Indore"/>
    <x v="1"/>
    <s v="Wireless Mouse"/>
    <n v="2"/>
    <n v="1800"/>
    <n v="5"/>
    <s v="Sneha Reddy"/>
    <n v="3600"/>
    <n v="180"/>
    <n v="3420"/>
    <s v="Apr-2023"/>
    <s v="Q2-2023"/>
    <s v="Mon"/>
    <s v="Low"/>
  </r>
  <r>
    <s v="ORD-0547"/>
    <d v="2023-04-17T00:00:00"/>
    <s v="CUST-7724"/>
    <s v="Anjali Gupta"/>
    <s v="West"/>
    <s v="Ahmedabad"/>
    <x v="1"/>
    <s v="USB-C Cable"/>
    <n v="3"/>
    <n v="1500"/>
    <n v="0"/>
    <s v="Amit Kumar"/>
    <n v="4500"/>
    <n v="0"/>
    <n v="4500"/>
    <s v="Apr-2023"/>
    <s v="Q2-2023"/>
    <s v="Mon"/>
    <s v="Low"/>
  </r>
  <r>
    <s v="ORD-0548"/>
    <d v="2023-04-17T00:00:00"/>
    <s v="CUST-7724"/>
    <s v="Anjali Gupta"/>
    <s v="West"/>
    <s v="Ahmedabad"/>
    <x v="0"/>
    <s v="Samsung Galaxy S23"/>
    <n v="1"/>
    <n v="43900"/>
    <n v="0"/>
    <s v="Priya Patel"/>
    <n v="43900"/>
    <n v="0"/>
    <n v="43900"/>
    <s v="Apr-2023"/>
    <s v="Q2-2023"/>
    <s v="Mon"/>
    <s v="Low"/>
  </r>
  <r>
    <s v="ORD-0549"/>
    <d v="2023-04-17T00:00:00"/>
    <s v="CUST-5055"/>
    <s v="Riya Malhotra"/>
    <s v="Central"/>
    <s v="Nagpur"/>
    <x v="3"/>
    <s v="iPad Air"/>
    <n v="1"/>
    <n v="42000"/>
    <n v="0"/>
    <s v="Rahul Sharma"/>
    <n v="42000"/>
    <n v="0"/>
    <n v="42000"/>
    <s v="Apr-2023"/>
    <s v="Q2-2023"/>
    <s v="Mon"/>
    <s v="Low"/>
  </r>
  <r>
    <s v="ORD-0550"/>
    <d v="2023-04-17T00:00:00"/>
    <s v="CUST-1200"/>
    <s v="Pallavi Krishnan"/>
    <s v="East"/>
    <s v="Ranchi"/>
    <x v="2"/>
    <s v="Samsung Galaxy Watch"/>
    <n v="1"/>
    <n v="26700"/>
    <n v="0"/>
    <s v="Rohan Mehta"/>
    <n v="26700"/>
    <n v="0"/>
    <n v="26700"/>
    <s v="Apr-2023"/>
    <s v="Q2-2023"/>
    <s v="Mon"/>
    <s v="Low"/>
  </r>
  <r>
    <s v="ORD-0551"/>
    <d v="2023-05-17T00:00:00"/>
    <s v="CUST-2055"/>
    <s v="Shreya Pandey"/>
    <s v="Central"/>
    <s v="Raipur"/>
    <x v="3"/>
    <s v="iPad Air"/>
    <n v="1"/>
    <n v="33200"/>
    <n v="0"/>
    <s v="Anjali Gupta"/>
    <n v="33200"/>
    <n v="0"/>
    <n v="33200"/>
    <s v="May-2023"/>
    <s v="Q2-2023"/>
    <s v="Wed"/>
    <s v="Low"/>
  </r>
  <r>
    <s v="ORD-0552"/>
    <d v="2023-05-17T00:00:00"/>
    <s v="CUST-2055"/>
    <s v="Shreya Pandey"/>
    <s v="East"/>
    <s v="Patna"/>
    <x v="2"/>
    <s v="Apple Watch Series 8"/>
    <n v="1"/>
    <n v="18700"/>
    <n v="5"/>
    <s v="Sneha Reddy"/>
    <n v="18700"/>
    <n v="935"/>
    <n v="17765"/>
    <s v="May-2023"/>
    <s v="Q2-2023"/>
    <s v="Wed"/>
    <s v="Low"/>
  </r>
  <r>
    <s v="ORD-0553"/>
    <d v="2023-05-17T00:00:00"/>
    <s v="CUST-1540"/>
    <s v="Simran Kaur"/>
    <s v="East"/>
    <s v="Bhubaneswar"/>
    <x v="3"/>
    <s v="Samsung Tab S8"/>
    <n v="1"/>
    <n v="31900"/>
    <n v="10"/>
    <s v="Priya Patel"/>
    <n v="31900"/>
    <n v="3190"/>
    <n v="28710"/>
    <s v="May-2023"/>
    <s v="Q2-2023"/>
    <s v="Wed"/>
    <s v="Low"/>
  </r>
  <r>
    <s v="ORD-0554"/>
    <d v="2023-05-17T00:00:00"/>
    <s v="CUST-1661"/>
    <s v="Harsh Sinha"/>
    <s v="North"/>
    <s v="Chandigarh"/>
    <x v="2"/>
    <s v="Apple Watch Series 8"/>
    <n v="1"/>
    <n v="17100"/>
    <n v="10"/>
    <s v="Rohan Mehta"/>
    <n v="17100"/>
    <n v="1710"/>
    <n v="15390"/>
    <s v="May-2023"/>
    <s v="Q2-2023"/>
    <s v="Wed"/>
    <s v="Low"/>
  </r>
  <r>
    <s v="ORD-0555"/>
    <d v="2023-06-17T00:00:00"/>
    <s v="CUST-9929"/>
    <s v="Kunal Dixit"/>
    <s v="West"/>
    <s v="Ahmedabad"/>
    <x v="2"/>
    <s v="Fitbit Versa 4"/>
    <n v="1"/>
    <n v="35000"/>
    <n v="5"/>
    <s v="Rohan Mehta"/>
    <n v="35000"/>
    <n v="1750"/>
    <n v="33250"/>
    <s v="Jun-2023"/>
    <s v="Q2-2023"/>
    <s v="Sat"/>
    <s v="Low"/>
  </r>
  <r>
    <s v="ORD-0556"/>
    <d v="2023-06-17T00:00:00"/>
    <s v="CUST-0895"/>
    <s v="Nikhil Jain"/>
    <s v="North"/>
    <s v="Lucknow"/>
    <x v="1"/>
    <s v="Laptop Bag"/>
    <n v="2"/>
    <n v="800"/>
    <n v="5"/>
    <s v="Rohan Mehta"/>
    <n v="1600"/>
    <n v="80"/>
    <n v="1520"/>
    <s v="Jun-2023"/>
    <s v="Q2-2023"/>
    <s v="Sat"/>
    <s v="Low"/>
  </r>
  <r>
    <s v="ORD-0557"/>
    <d v="2023-07-17T00:00:00"/>
    <s v="CUST-6967"/>
    <s v="Aarti Shetty"/>
    <s v="North"/>
    <s v="Lucknow"/>
    <x v="1"/>
    <s v="Laptop Bag"/>
    <n v="3"/>
    <n v="1800"/>
    <n v="0"/>
    <s v="Sneha Reddy"/>
    <n v="5400"/>
    <n v="0"/>
    <n v="5400"/>
    <s v="Jul-2023"/>
    <s v="Q3-2023"/>
    <s v="Mon"/>
    <s v="Low"/>
  </r>
  <r>
    <s v="ORD-0558"/>
    <d v="2023-07-17T00:00:00"/>
    <s v="CUST-3922"/>
    <s v="Sakshi Rathore"/>
    <s v="East"/>
    <s v="Bhubaneswar"/>
    <x v="1"/>
    <s v="Laptop Bag"/>
    <n v="1"/>
    <n v="500"/>
    <n v="10"/>
    <s v="Vikram Singh"/>
    <n v="500"/>
    <n v="50"/>
    <n v="450"/>
    <s v="Jul-2023"/>
    <s v="Q3-2023"/>
    <s v="Mon"/>
    <s v="Low"/>
  </r>
  <r>
    <s v="ORD-0559"/>
    <d v="2023-08-17T00:00:00"/>
    <s v="CUST-4767"/>
    <s v="Sanjay Joshi"/>
    <s v="East"/>
    <s v="Kolkata"/>
    <x v="3"/>
    <s v="iPad Air"/>
    <n v="1"/>
    <n v="47800"/>
    <n v="25"/>
    <s v="Sneha Reddy"/>
    <n v="47800"/>
    <n v="11950"/>
    <n v="35850"/>
    <s v="Aug-2023"/>
    <s v="Q3-2023"/>
    <s v="Thu"/>
    <s v="Low"/>
  </r>
  <r>
    <s v="ORD-0560"/>
    <d v="2023-08-17T00:00:00"/>
    <s v="CUST-2243"/>
    <s v="Divya Shah"/>
    <s v="East"/>
    <s v="Ranchi"/>
    <x v="1"/>
    <s v="Webcam"/>
    <n v="1"/>
    <n v="2200"/>
    <n v="20"/>
    <s v="Anjali Gupta"/>
    <n v="2200"/>
    <n v="440"/>
    <n v="1760"/>
    <s v="Aug-2023"/>
    <s v="Q3-2023"/>
    <s v="Thu"/>
    <s v="Low"/>
  </r>
  <r>
    <s v="ORD-0561"/>
    <d v="2023-08-17T00:00:00"/>
    <s v="CUST-6126"/>
    <s v="Siddharth Tiwari"/>
    <s v="Central"/>
    <s v="Bhopal"/>
    <x v="0"/>
    <s v="Samsung Galaxy S23"/>
    <n v="1"/>
    <n v="32800"/>
    <n v="10"/>
    <s v="Sneha Reddy"/>
    <n v="32800"/>
    <n v="3280"/>
    <n v="29520"/>
    <s v="Aug-2023"/>
    <s v="Q3-2023"/>
    <s v="Thu"/>
    <s v="Low"/>
  </r>
  <r>
    <s v="ORD-0562"/>
    <d v="2023-09-17T00:00:00"/>
    <s v="CUST-1661"/>
    <s v="Harsh Sinha"/>
    <s v="Central"/>
    <s v="Bhopal"/>
    <x v="3"/>
    <s v="Samsung Tab S8"/>
    <n v="1"/>
    <n v="49100"/>
    <n v="25"/>
    <s v="Amit Kumar"/>
    <n v="49100"/>
    <n v="12275"/>
    <n v="36825"/>
    <s v="Sep-2023"/>
    <s v="Q3-2023"/>
    <s v="Sun"/>
    <s v="Low"/>
  </r>
  <r>
    <s v="ORD-0563"/>
    <d v="2023-09-17T00:00:00"/>
    <s v="CUST-7270"/>
    <s v="Yash Dhawan"/>
    <s v="East"/>
    <s v="Ranchi"/>
    <x v="1"/>
    <s v="Laptop Bag"/>
    <n v="2"/>
    <n v="1600"/>
    <n v="0"/>
    <s v="Amit Kumar"/>
    <n v="3200"/>
    <n v="0"/>
    <n v="3200"/>
    <s v="Sep-2023"/>
    <s v="Q3-2023"/>
    <s v="Sun"/>
    <s v="Low"/>
  </r>
  <r>
    <s v="ORD-0564"/>
    <d v="2023-09-17T00:00:00"/>
    <s v="CUST-2055"/>
    <s v="Shreya Pandey"/>
    <s v="North"/>
    <s v="Lucknow"/>
    <x v="2"/>
    <s v="Fitbit Versa 4"/>
    <n v="1"/>
    <n v="14900"/>
    <n v="0"/>
    <s v="Amit Kumar"/>
    <n v="14900"/>
    <n v="0"/>
    <n v="14900"/>
    <s v="Sep-2023"/>
    <s v="Q3-2023"/>
    <s v="Sun"/>
    <s v="Low"/>
  </r>
  <r>
    <s v="ORD-0565"/>
    <d v="2023-10-17T00:00:00"/>
    <s v="CUST-1540"/>
    <s v="Simran Kaur"/>
    <s v="North"/>
    <s v="Jaipur"/>
    <x v="3"/>
    <s v="Amazon Fire HD"/>
    <n v="1"/>
    <n v="22500"/>
    <n v="0"/>
    <s v="Amit Kumar"/>
    <n v="22500"/>
    <n v="0"/>
    <n v="22500"/>
    <s v="Oct-2023"/>
    <s v="Q4-2023"/>
    <s v="Tue"/>
    <s v="Low"/>
  </r>
  <r>
    <s v="ORD-0566"/>
    <d v="2023-10-17T00:00:00"/>
    <s v="CUST-0354"/>
    <s v="Meera Chawla"/>
    <s v="West"/>
    <s v="Ahmedabad"/>
    <x v="4"/>
    <s v="Dell Inspiron"/>
    <n v="1"/>
    <n v="49300"/>
    <n v="0"/>
    <s v="Rahul Sharma"/>
    <n v="49300"/>
    <n v="0"/>
    <n v="49300"/>
    <s v="Oct-2023"/>
    <s v="Q4-2023"/>
    <s v="Tue"/>
    <s v="Low"/>
  </r>
  <r>
    <s v="ORD-0567"/>
    <d v="2023-11-17T00:00:00"/>
    <s v="CUST-9965"/>
    <s v="Neha Agarwal"/>
    <s v="South"/>
    <s v="Hyderabad"/>
    <x v="4"/>
    <s v="HP Pavilion"/>
    <n v="1"/>
    <n v="44600"/>
    <n v="5"/>
    <s v="Priya Patel"/>
    <n v="44600"/>
    <n v="2230"/>
    <n v="42370"/>
    <s v="Nov-2023"/>
    <s v="Q4-2023"/>
    <s v="Fri"/>
    <s v="Low"/>
  </r>
  <r>
    <s v="ORD-0568"/>
    <d v="2023-11-17T00:00:00"/>
    <s v="CUST-1200"/>
    <s v="Pallavi Krishnan"/>
    <s v="East"/>
    <s v="Kolkata"/>
    <x v="2"/>
    <s v="Fitbit Versa 4"/>
    <n v="1"/>
    <n v="18900"/>
    <n v="25"/>
    <s v="Amit Kumar"/>
    <n v="18900"/>
    <n v="4725"/>
    <n v="14175"/>
    <s v="Nov-2023"/>
    <s v="Q4-2023"/>
    <s v="Fri"/>
    <s v="Low"/>
  </r>
  <r>
    <s v="ORD-0569"/>
    <d v="2023-11-17T00:00:00"/>
    <s v="CUST-8905"/>
    <s v="Rahul Kapoor"/>
    <s v="East"/>
    <s v="Ranchi"/>
    <x v="4"/>
    <s v="Acer Aspire"/>
    <n v="2"/>
    <n v="65600"/>
    <n v="5"/>
    <s v="Amit Kumar"/>
    <n v="131200"/>
    <n v="6560"/>
    <n v="124640"/>
    <s v="Nov-2023"/>
    <s v="Q4-2023"/>
    <s v="Fri"/>
    <s v="High"/>
  </r>
  <r>
    <s v="ORD-0570"/>
    <d v="2023-11-17T00:00:00"/>
    <s v="CUST-7808"/>
    <s v="Varun Chopra"/>
    <s v="West"/>
    <s v="Mumbai"/>
    <x v="2"/>
    <s v="Apple Watch Series 8"/>
    <n v="1"/>
    <n v="18400"/>
    <n v="5"/>
    <s v="Sneha Reddy"/>
    <n v="18400"/>
    <n v="920"/>
    <n v="17480"/>
    <s v="Nov-2023"/>
    <s v="Q4-2023"/>
    <s v="Fri"/>
    <s v="Low"/>
  </r>
  <r>
    <s v="ORD-0571"/>
    <d v="2023-11-17T00:00:00"/>
    <s v="CUST-8923"/>
    <s v="Pooja Desai"/>
    <s v="North"/>
    <s v="Jaipur"/>
    <x v="0"/>
    <s v="Xiaomi 13"/>
    <n v="1"/>
    <n v="37100"/>
    <n v="0"/>
    <s v="Rohan Mehta"/>
    <n v="37100"/>
    <n v="0"/>
    <n v="37100"/>
    <s v="Nov-2023"/>
    <s v="Q4-2023"/>
    <s v="Fri"/>
    <s v="Low"/>
  </r>
  <r>
    <s v="ORD-0572"/>
    <d v="2023-11-17T00:00:00"/>
    <s v="CUST-0895"/>
    <s v="Nikhil Jain"/>
    <s v="Central"/>
    <s v="Nagpur"/>
    <x v="1"/>
    <s v="Webcam"/>
    <n v="2"/>
    <n v="1400"/>
    <n v="20"/>
    <s v="Priya Patel"/>
    <n v="2800"/>
    <n v="560"/>
    <n v="2240"/>
    <s v="Nov-2023"/>
    <s v="Q4-2023"/>
    <s v="Fri"/>
    <s v="Low"/>
  </r>
  <r>
    <s v="ORD-0573"/>
    <d v="2023-12-17T00:00:00"/>
    <s v="CUST-8923"/>
    <s v="Pooja Desai"/>
    <s v="East"/>
    <s v="Ranchi"/>
    <x v="1"/>
    <s v="USB-C Cable"/>
    <n v="3"/>
    <n v="2500"/>
    <n v="0"/>
    <s v="Rohan Mehta"/>
    <n v="7500"/>
    <n v="0"/>
    <n v="7500"/>
    <s v="Dec-2023"/>
    <s v="Q4-2023"/>
    <s v="Sun"/>
    <s v="Low"/>
  </r>
  <r>
    <s v="ORD-0574"/>
    <d v="2023-12-17T00:00:00"/>
    <s v="CUST-7724"/>
    <s v="Anjali Gupta"/>
    <s v="Central"/>
    <s v="Raipur"/>
    <x v="3"/>
    <s v="Amazon Fire HD"/>
    <n v="1"/>
    <n v="23000"/>
    <n v="0"/>
    <s v="Sneha Reddy"/>
    <n v="23000"/>
    <n v="0"/>
    <n v="23000"/>
    <s v="Dec-2023"/>
    <s v="Q4-2023"/>
    <s v="Sun"/>
    <s v="Low"/>
  </r>
  <r>
    <s v="ORD-0575"/>
    <d v="2023-12-17T00:00:00"/>
    <s v="CUST-1200"/>
    <s v="Pallavi Krishnan"/>
    <s v="East"/>
    <s v="Patna"/>
    <x v="3"/>
    <s v="iPad Air"/>
    <n v="1"/>
    <n v="36500"/>
    <n v="20"/>
    <s v="Anjali Gupta"/>
    <n v="36500"/>
    <n v="7300"/>
    <n v="29200"/>
    <s v="Dec-2023"/>
    <s v="Q4-2023"/>
    <s v="Sun"/>
    <s v="Low"/>
  </r>
  <r>
    <s v="ORD-0576"/>
    <d v="2023-12-17T00:00:00"/>
    <s v="CUST-4945"/>
    <s v="Ananya Bose"/>
    <s v="East"/>
    <s v="Kolkata"/>
    <x v="0"/>
    <s v="Samsung Galaxy S23"/>
    <n v="2"/>
    <n v="35000"/>
    <n v="10"/>
    <s v="Vikram Singh"/>
    <n v="70000"/>
    <n v="7000"/>
    <n v="63000"/>
    <s v="Dec-2023"/>
    <s v="Q4-2023"/>
    <s v="Sun"/>
    <s v="Medium"/>
  </r>
  <r>
    <s v="ORD-0577"/>
    <d v="2023-12-17T00:00:00"/>
    <s v="CUST-5409"/>
    <s v="Akash Pillai"/>
    <s v="Central"/>
    <s v="Indore"/>
    <x v="3"/>
    <s v="iPad Air"/>
    <n v="1"/>
    <n v="39800"/>
    <n v="10"/>
    <s v="Sneha Reddy"/>
    <n v="39800"/>
    <n v="3980"/>
    <n v="35820"/>
    <s v="Dec-2023"/>
    <s v="Q4-2023"/>
    <s v="Sun"/>
    <s v="Low"/>
  </r>
  <r>
    <s v="ORD-0578"/>
    <d v="2023-12-17T00:00:00"/>
    <s v="CUST-4295"/>
    <s v="Manish Arora"/>
    <s v="East"/>
    <s v="Bhubaneswar"/>
    <x v="2"/>
    <s v="Mi Band 7"/>
    <n v="1"/>
    <n v="23700"/>
    <n v="5"/>
    <s v="Rahul Sharma"/>
    <n v="23700"/>
    <n v="1185"/>
    <n v="22515"/>
    <s v="Dec-2023"/>
    <s v="Q4-2023"/>
    <s v="Sun"/>
    <s v="Low"/>
  </r>
  <r>
    <s v="ORD-0579"/>
    <d v="2023-01-18T00:00:00"/>
    <s v="CUST-0018"/>
    <s v="Tanvi Kulkarni"/>
    <s v="East"/>
    <s v="Kolkata"/>
    <x v="1"/>
    <s v="Laptop Bag"/>
    <n v="2"/>
    <n v="2700"/>
    <n v="10"/>
    <s v="Rohan Mehta"/>
    <n v="5400"/>
    <n v="540"/>
    <n v="4860"/>
    <s v="Jan-2023"/>
    <s v="Q1-2023"/>
    <s v="Wed"/>
    <s v="Low"/>
  </r>
  <r>
    <s v="ORD-0580"/>
    <d v="2023-01-18T00:00:00"/>
    <s v="CUST-4761"/>
    <s v="Rajesh Kumar"/>
    <s v="East"/>
    <s v="Kolkata"/>
    <x v="2"/>
    <s v="Fitbit Versa 4"/>
    <n v="1"/>
    <n v="11200"/>
    <n v="5"/>
    <s v="Vikram Singh"/>
    <n v="11200"/>
    <n v="560"/>
    <n v="10640"/>
    <s v="Jan-2023"/>
    <s v="Q1-2023"/>
    <s v="Wed"/>
    <s v="Low"/>
  </r>
  <r>
    <s v="ORD-0581"/>
    <d v="2023-02-18T00:00:00"/>
    <s v="CUST-7724"/>
    <s v="Anjali Gupta"/>
    <s v="West"/>
    <s v="Ahmedabad"/>
    <x v="3"/>
    <s v="Lenovo Tab P11"/>
    <n v="1"/>
    <n v="42100"/>
    <n v="25"/>
    <s v="Rahul Sharma"/>
    <n v="42100"/>
    <n v="10525"/>
    <n v="31575"/>
    <s v="Feb-2023"/>
    <s v="Q1-2023"/>
    <s v="Sat"/>
    <s v="Low"/>
  </r>
  <r>
    <s v="ORD-0582"/>
    <d v="2023-02-18T00:00:00"/>
    <s v="CUST-8995"/>
    <s v="Mohit Saxena"/>
    <s v="Central"/>
    <s v="Indore"/>
    <x v="1"/>
    <s v="Laptop Bag"/>
    <n v="2"/>
    <n v="2400"/>
    <n v="5"/>
    <s v="Amit Kumar"/>
    <n v="4800"/>
    <n v="240"/>
    <n v="4560"/>
    <s v="Feb-2023"/>
    <s v="Q1-2023"/>
    <s v="Sat"/>
    <s v="Low"/>
  </r>
  <r>
    <s v="ORD-0583"/>
    <d v="2023-02-18T00:00:00"/>
    <s v="CUST-5369"/>
    <s v="Aditya Rao"/>
    <s v="North"/>
    <s v="Chandigarh"/>
    <x v="3"/>
    <s v="Samsung Tab S8"/>
    <n v="1"/>
    <n v="20000"/>
    <n v="0"/>
    <s v="Anjali Gupta"/>
    <n v="20000"/>
    <n v="0"/>
    <n v="20000"/>
    <s v="Feb-2023"/>
    <s v="Q1-2023"/>
    <s v="Sat"/>
    <s v="Low"/>
  </r>
  <r>
    <s v="ORD-0584"/>
    <d v="2023-02-18T00:00:00"/>
    <s v="CUST-2243"/>
    <s v="Divya Shah"/>
    <s v="Central"/>
    <s v="Raipur"/>
    <x v="3"/>
    <s v="Lenovo Tab P11"/>
    <n v="1"/>
    <n v="36400"/>
    <n v="25"/>
    <s v="Anjali Gupta"/>
    <n v="36400"/>
    <n v="9100"/>
    <n v="27300"/>
    <s v="Feb-2023"/>
    <s v="Q1-2023"/>
    <s v="Sat"/>
    <s v="Low"/>
  </r>
  <r>
    <s v="ORD-0585"/>
    <d v="2023-03-18T00:00:00"/>
    <s v="CUST-6967"/>
    <s v="Aarti Shetty"/>
    <s v="South"/>
    <s v="Hyderabad"/>
    <x v="4"/>
    <s v="Dell Inspiron"/>
    <n v="1"/>
    <n v="52400"/>
    <n v="25"/>
    <s v="Priya Patel"/>
    <n v="52400"/>
    <n v="13100"/>
    <n v="39300"/>
    <s v="Mar-2023"/>
    <s v="Q1-2023"/>
    <s v="Sat"/>
    <s v="Low"/>
  </r>
  <r>
    <s v="ORD-0586"/>
    <d v="2023-03-18T00:00:00"/>
    <s v="CUST-6967"/>
    <s v="Aarti Shetty"/>
    <s v="Central"/>
    <s v="Nagpur"/>
    <x v="4"/>
    <s v="HP Pavilion"/>
    <n v="1"/>
    <n v="43500"/>
    <n v="0"/>
    <s v="Rohan Mehta"/>
    <n v="43500"/>
    <n v="0"/>
    <n v="43500"/>
    <s v="Mar-2023"/>
    <s v="Q1-2023"/>
    <s v="Sat"/>
    <s v="Low"/>
  </r>
  <r>
    <s v="ORD-0587"/>
    <d v="2023-03-18T00:00:00"/>
    <s v="CUST-9969"/>
    <s v="Ritika Menon"/>
    <s v="South"/>
    <s v="Bangalore"/>
    <x v="0"/>
    <s v="OnePlus Nord"/>
    <n v="1"/>
    <n v="35100"/>
    <n v="15"/>
    <s v="Rohan Mehta"/>
    <n v="35100"/>
    <n v="5265"/>
    <n v="29835"/>
    <s v="Mar-2023"/>
    <s v="Q1-2023"/>
    <s v="Sat"/>
    <s v="Low"/>
  </r>
  <r>
    <s v="ORD-0588"/>
    <d v="2023-04-18T00:00:00"/>
    <s v="CUST-5409"/>
    <s v="Akash Pillai"/>
    <s v="Central"/>
    <s v="Nagpur"/>
    <x v="3"/>
    <s v="Samsung Tab S8"/>
    <n v="1"/>
    <n v="37000"/>
    <n v="0"/>
    <s v="Anjali Gupta"/>
    <n v="37000"/>
    <n v="0"/>
    <n v="37000"/>
    <s v="Apr-2023"/>
    <s v="Q2-2023"/>
    <s v="Tue"/>
    <s v="Low"/>
  </r>
  <r>
    <s v="ORD-0589"/>
    <d v="2023-04-18T00:00:00"/>
    <s v="CUST-5060"/>
    <s v="Gaurav Bhatt"/>
    <s v="South"/>
    <s v="Kochi"/>
    <x v="4"/>
    <s v="Dell Inspiron"/>
    <n v="1"/>
    <n v="58400"/>
    <n v="0"/>
    <s v="Rahul Sharma"/>
    <n v="58400"/>
    <n v="0"/>
    <n v="58400"/>
    <s v="Apr-2023"/>
    <s v="Q2-2023"/>
    <s v="Tue"/>
    <s v="Medium"/>
  </r>
  <r>
    <s v="ORD-0590"/>
    <d v="2023-04-18T00:00:00"/>
    <s v="CUST-5369"/>
    <s v="Aditya Rao"/>
    <s v="Central"/>
    <s v="Indore"/>
    <x v="0"/>
    <s v="Realme GT"/>
    <n v="1"/>
    <n v="55100"/>
    <n v="20"/>
    <s v="Kavya Iyer"/>
    <n v="55100"/>
    <n v="11020"/>
    <n v="44080"/>
    <s v="Apr-2023"/>
    <s v="Q2-2023"/>
    <s v="Tue"/>
    <s v="Low"/>
  </r>
  <r>
    <s v="ORD-0591"/>
    <d v="2023-04-18T00:00:00"/>
    <s v="CUST-8923"/>
    <s v="Pooja Desai"/>
    <s v="West"/>
    <s v="Ahmedabad"/>
    <x v="1"/>
    <s v="Laptop Bag"/>
    <n v="2"/>
    <n v="1000"/>
    <n v="15"/>
    <s v="Kavya Iyer"/>
    <n v="2000"/>
    <n v="300"/>
    <n v="1700"/>
    <s v="Apr-2023"/>
    <s v="Q2-2023"/>
    <s v="Tue"/>
    <s v="Low"/>
  </r>
  <r>
    <s v="ORD-0592"/>
    <d v="2023-05-18T00:00:00"/>
    <s v="CUST-6967"/>
    <s v="Aarti Shetty"/>
    <s v="West"/>
    <s v="Mumbai"/>
    <x v="4"/>
    <s v="HP Pavilion"/>
    <n v="1"/>
    <n v="61700"/>
    <n v="25"/>
    <s v="Sneha Reddy"/>
    <n v="61700"/>
    <n v="15425"/>
    <n v="46275"/>
    <s v="May-2023"/>
    <s v="Q2-2023"/>
    <s v="Thu"/>
    <s v="Low"/>
  </r>
  <r>
    <s v="ORD-0593"/>
    <d v="2023-05-18T00:00:00"/>
    <s v="CUST-5055"/>
    <s v="Riya Malhotra"/>
    <s v="West"/>
    <s v="Pune"/>
    <x v="4"/>
    <s v="HP Pavilion"/>
    <n v="1"/>
    <n v="55900"/>
    <n v="10"/>
    <s v="Rohan Mehta"/>
    <n v="55900"/>
    <n v="5590"/>
    <n v="50310"/>
    <s v="May-2023"/>
    <s v="Q2-2023"/>
    <s v="Thu"/>
    <s v="Medium"/>
  </r>
  <r>
    <s v="ORD-0594"/>
    <d v="2023-06-18T00:00:00"/>
    <s v="CUST-2917"/>
    <s v="Ishita Bansal"/>
    <s v="West"/>
    <s v="Ahmedabad"/>
    <x v="1"/>
    <s v="Webcam"/>
    <n v="2"/>
    <n v="1800"/>
    <n v="0"/>
    <s v="Anjali Gupta"/>
    <n v="3600"/>
    <n v="0"/>
    <n v="3600"/>
    <s v="Jun-2023"/>
    <s v="Q2-2023"/>
    <s v="Sun"/>
    <s v="Low"/>
  </r>
  <r>
    <s v="ORD-0595"/>
    <d v="2023-07-18T00:00:00"/>
    <s v="CUST-6126"/>
    <s v="Siddharth Tiwari"/>
    <s v="East"/>
    <s v="Kolkata"/>
    <x v="3"/>
    <s v="Lenovo Tab P11"/>
    <n v="1"/>
    <n v="47200"/>
    <n v="0"/>
    <s v="Priya Patel"/>
    <n v="47200"/>
    <n v="0"/>
    <n v="47200"/>
    <s v="Jul-2023"/>
    <s v="Q3-2023"/>
    <s v="Tue"/>
    <s v="Low"/>
  </r>
  <r>
    <s v="ORD-0596"/>
    <d v="2023-07-18T00:00:00"/>
    <s v="CUST-4414"/>
    <s v="Vikram Reddy"/>
    <s v="West"/>
    <s v="Ahmedabad"/>
    <x v="2"/>
    <s v="Apple Watch Series 8"/>
    <n v="2"/>
    <n v="17700"/>
    <n v="10"/>
    <s v="Anjali Gupta"/>
    <n v="35400"/>
    <n v="3540"/>
    <n v="31860"/>
    <s v="Jul-2023"/>
    <s v="Q3-2023"/>
    <s v="Tue"/>
    <s v="Low"/>
  </r>
  <r>
    <s v="ORD-0597"/>
    <d v="2023-07-18T00:00:00"/>
    <s v="CUST-4414"/>
    <s v="Vikram Reddy"/>
    <s v="Central"/>
    <s v="Raipur"/>
    <x v="3"/>
    <s v="Samsung Tab S8"/>
    <n v="1"/>
    <n v="42300"/>
    <n v="15"/>
    <s v="Rahul Sharma"/>
    <n v="42300"/>
    <n v="6345"/>
    <n v="35955"/>
    <s v="Jul-2023"/>
    <s v="Q3-2023"/>
    <s v="Tue"/>
    <s v="Low"/>
  </r>
  <r>
    <s v="ORD-0598"/>
    <d v="2023-08-18T00:00:00"/>
    <s v="CUST-0018"/>
    <s v="Tanvi Kulkarni"/>
    <s v="Central"/>
    <s v="Nagpur"/>
    <x v="4"/>
    <s v="HP Pavilion"/>
    <n v="2"/>
    <n v="66100"/>
    <n v="10"/>
    <s v="Vikram Singh"/>
    <n v="132200"/>
    <n v="13220"/>
    <n v="118980"/>
    <s v="Aug-2023"/>
    <s v="Q3-2023"/>
    <s v="Fri"/>
    <s v="High"/>
  </r>
  <r>
    <s v="ORD-0599"/>
    <d v="2023-08-18T00:00:00"/>
    <s v="CUST-5409"/>
    <s v="Akash Pillai"/>
    <s v="Central"/>
    <s v="Raipur"/>
    <x v="2"/>
    <s v="Mi Band 7"/>
    <n v="1"/>
    <n v="33500"/>
    <n v="20"/>
    <s v="Rohan Mehta"/>
    <n v="33500"/>
    <n v="6700"/>
    <n v="26800"/>
    <s v="Aug-2023"/>
    <s v="Q3-2023"/>
    <s v="Fri"/>
    <s v="Low"/>
  </r>
  <r>
    <s v="ORD-0600"/>
    <d v="2023-08-18T00:00:00"/>
    <s v="CUST-1540"/>
    <s v="Simran Kaur"/>
    <s v="North"/>
    <s v="Delhi"/>
    <x v="3"/>
    <s v="Samsung Tab S8"/>
    <n v="1"/>
    <n v="41200"/>
    <n v="10"/>
    <s v="Vikram Singh"/>
    <n v="41200"/>
    <n v="4120"/>
    <n v="37080"/>
    <s v="Aug-2023"/>
    <s v="Q3-2023"/>
    <s v="Fri"/>
    <s v="Low"/>
  </r>
  <r>
    <s v="ORD-0601"/>
    <d v="2023-09-18T00:00:00"/>
    <s v="CUST-8923"/>
    <s v="Pooja Desai"/>
    <s v="East"/>
    <s v="Kolkata"/>
    <x v="3"/>
    <s v="Lenovo Tab P11"/>
    <n v="1"/>
    <n v="31100"/>
    <n v="0"/>
    <s v="Anjali Gupta"/>
    <n v="31100"/>
    <n v="0"/>
    <n v="31100"/>
    <s v="Sep-2023"/>
    <s v="Q3-2023"/>
    <s v="Mon"/>
    <s v="Low"/>
  </r>
  <r>
    <s v="ORD-0602"/>
    <d v="2023-09-18T00:00:00"/>
    <s v="CUST-4295"/>
    <s v="Manish Arora"/>
    <s v="East"/>
    <s v="Bhubaneswar"/>
    <x v="2"/>
    <s v="Apple Watch Series 8"/>
    <n v="1"/>
    <n v="22300"/>
    <n v="20"/>
    <s v="Amit Kumar"/>
    <n v="22300"/>
    <n v="4460"/>
    <n v="17840"/>
    <s v="Sep-2023"/>
    <s v="Q3-2023"/>
    <s v="Mon"/>
    <s v="Low"/>
  </r>
  <r>
    <s v="ORD-0603"/>
    <d v="2023-10-18T00:00:00"/>
    <s v="CUST-5409"/>
    <s v="Akash Pillai"/>
    <s v="West"/>
    <s v="Ahmedabad"/>
    <x v="1"/>
    <s v="Mechanical Keyboard"/>
    <n v="1"/>
    <n v="900"/>
    <n v="0"/>
    <s v="Anjali Gupta"/>
    <n v="900"/>
    <n v="0"/>
    <n v="900"/>
    <s v="Oct-2023"/>
    <s v="Q4-2023"/>
    <s v="Wed"/>
    <s v="Low"/>
  </r>
  <r>
    <s v="ORD-0604"/>
    <d v="2023-11-18T00:00:00"/>
    <s v="CUST-4945"/>
    <s v="Ananya Bose"/>
    <s v="West"/>
    <s v="Surat"/>
    <x v="1"/>
    <s v="Wireless Mouse"/>
    <n v="2"/>
    <n v="2400"/>
    <n v="0"/>
    <s v="Vikram Singh"/>
    <n v="4800"/>
    <n v="0"/>
    <n v="4800"/>
    <s v="Nov-2023"/>
    <s v="Q4-2023"/>
    <s v="Sat"/>
    <s v="Low"/>
  </r>
  <r>
    <s v="ORD-0605"/>
    <d v="2023-11-18T00:00:00"/>
    <s v="CUST-4064"/>
    <s v="Nisha Ghosh"/>
    <s v="North"/>
    <s v="Chandigarh"/>
    <x v="3"/>
    <s v="iPad Air"/>
    <n v="1"/>
    <n v="49500"/>
    <n v="5"/>
    <s v="Vikram Singh"/>
    <n v="49500"/>
    <n v="2475"/>
    <n v="47025"/>
    <s v="Nov-2023"/>
    <s v="Q4-2023"/>
    <s v="Sat"/>
    <s v="Low"/>
  </r>
  <r>
    <s v="ORD-0606"/>
    <d v="2023-11-18T00:00:00"/>
    <s v="CUST-9969"/>
    <s v="Ritika Menon"/>
    <s v="South"/>
    <s v="Bangalore"/>
    <x v="4"/>
    <s v="Dell Inspiron"/>
    <n v="1"/>
    <n v="58400"/>
    <n v="0"/>
    <s v="Rahul Sharma"/>
    <n v="58400"/>
    <n v="0"/>
    <n v="58400"/>
    <s v="Nov-2023"/>
    <s v="Q4-2023"/>
    <s v="Sat"/>
    <s v="Medium"/>
  </r>
  <r>
    <s v="ORD-0607"/>
    <d v="2023-11-18T00:00:00"/>
    <s v="CUST-8995"/>
    <s v="Mohit Saxena"/>
    <s v="South"/>
    <s v="Bangalore"/>
    <x v="2"/>
    <s v="Fitbit Versa 4"/>
    <n v="1"/>
    <n v="33100"/>
    <n v="20"/>
    <s v="Anjali Gupta"/>
    <n v="33100"/>
    <n v="6620"/>
    <n v="26480"/>
    <s v="Nov-2023"/>
    <s v="Q4-2023"/>
    <s v="Sat"/>
    <s v="Low"/>
  </r>
  <r>
    <s v="ORD-0608"/>
    <d v="2023-12-18T00:00:00"/>
    <s v="CUST-4414"/>
    <s v="Vikram Reddy"/>
    <s v="South"/>
    <s v="Kochi"/>
    <x v="1"/>
    <s v="Webcam"/>
    <n v="3"/>
    <n v="1200"/>
    <n v="5"/>
    <s v="Priya Patel"/>
    <n v="3600"/>
    <n v="180"/>
    <n v="3420"/>
    <s v="Dec-2023"/>
    <s v="Q4-2023"/>
    <s v="Mon"/>
    <s v="Low"/>
  </r>
  <r>
    <s v="ORD-0609"/>
    <d v="2023-12-18T00:00:00"/>
    <s v="CUST-7724"/>
    <s v="Anjali Gupta"/>
    <s v="East"/>
    <s v="Kolkata"/>
    <x v="0"/>
    <s v="OnePlus Nord"/>
    <n v="1"/>
    <n v="53800"/>
    <n v="0"/>
    <s v="Sneha Reddy"/>
    <n v="53800"/>
    <n v="0"/>
    <n v="53800"/>
    <s v="Dec-2023"/>
    <s v="Q4-2023"/>
    <s v="Mon"/>
    <s v="Medium"/>
  </r>
  <r>
    <s v="ORD-0610"/>
    <d v="2023-12-18T00:00:00"/>
    <s v="CUST-4064"/>
    <s v="Nisha Ghosh"/>
    <s v="West"/>
    <s v="Pune"/>
    <x v="2"/>
    <s v="Mi Band 7"/>
    <n v="1"/>
    <n v="25700"/>
    <n v="5"/>
    <s v="Sneha Reddy"/>
    <n v="25700"/>
    <n v="1285"/>
    <n v="24415"/>
    <s v="Dec-2023"/>
    <s v="Q4-2023"/>
    <s v="Mon"/>
    <s v="Low"/>
  </r>
  <r>
    <s v="ORD-0611"/>
    <d v="2023-01-19T00:00:00"/>
    <s v="CUST-7724"/>
    <s v="Anjali Gupta"/>
    <s v="South"/>
    <s v="Bangalore"/>
    <x v="2"/>
    <s v="Samsung Galaxy Watch"/>
    <n v="1"/>
    <n v="24900"/>
    <n v="10"/>
    <s v="Rahul Sharma"/>
    <n v="24900"/>
    <n v="2490"/>
    <n v="22410"/>
    <s v="Jan-2023"/>
    <s v="Q1-2023"/>
    <s v="Thu"/>
    <s v="Low"/>
  </r>
  <r>
    <s v="ORD-0612"/>
    <d v="2023-01-19T00:00:00"/>
    <s v="CUST-4816"/>
    <s v="Amit Patel"/>
    <s v="South"/>
    <s v="Kochi"/>
    <x v="4"/>
    <s v="ASUS VivoBook"/>
    <n v="1"/>
    <n v="53000"/>
    <n v="25"/>
    <s v="Sneha Reddy"/>
    <n v="53000"/>
    <n v="13250"/>
    <n v="39750"/>
    <s v="Jan-2023"/>
    <s v="Q1-2023"/>
    <s v="Thu"/>
    <s v="Low"/>
  </r>
  <r>
    <s v="ORD-0613"/>
    <d v="2023-01-19T00:00:00"/>
    <s v="CUST-8995"/>
    <s v="Mohit Saxena"/>
    <s v="East"/>
    <s v="Bhubaneswar"/>
    <x v="4"/>
    <s v="HP Pavilion"/>
    <n v="1"/>
    <n v="72900"/>
    <n v="0"/>
    <s v="Vikram Singh"/>
    <n v="72900"/>
    <n v="0"/>
    <n v="72900"/>
    <s v="Jan-2023"/>
    <s v="Q1-2023"/>
    <s v="Thu"/>
    <s v="Medium"/>
  </r>
  <r>
    <s v="ORD-0614"/>
    <d v="2023-02-19T00:00:00"/>
    <s v="CUST-6967"/>
    <s v="Aarti Shetty"/>
    <s v="South"/>
    <s v="Bangalore"/>
    <x v="3"/>
    <s v="Lenovo Tab P11"/>
    <n v="1"/>
    <n v="46800"/>
    <n v="5"/>
    <s v="Anjali Gupta"/>
    <n v="46800"/>
    <n v="2340"/>
    <n v="44460"/>
    <s v="Feb-2023"/>
    <s v="Q1-2023"/>
    <s v="Sun"/>
    <s v="Low"/>
  </r>
  <r>
    <s v="ORD-0615"/>
    <d v="2023-03-19T00:00:00"/>
    <s v="CUST-2917"/>
    <s v="Ishita Bansal"/>
    <s v="North"/>
    <s v="Chandigarh"/>
    <x v="0"/>
    <s v="OnePlus Nord"/>
    <n v="1"/>
    <n v="46900"/>
    <n v="10"/>
    <s v="Kavya Iyer"/>
    <n v="46900"/>
    <n v="4690"/>
    <n v="42210"/>
    <s v="Mar-2023"/>
    <s v="Q1-2023"/>
    <s v="Sun"/>
    <s v="Low"/>
  </r>
  <r>
    <s v="ORD-0616"/>
    <d v="2023-03-19T00:00:00"/>
    <s v="CUST-0354"/>
    <s v="Meera Chawla"/>
    <s v="South"/>
    <s v="Chennai"/>
    <x v="3"/>
    <s v="Amazon Fire HD"/>
    <n v="1"/>
    <n v="48500"/>
    <n v="25"/>
    <s v="Amit Kumar"/>
    <n v="48500"/>
    <n v="12125"/>
    <n v="36375"/>
    <s v="Mar-2023"/>
    <s v="Q1-2023"/>
    <s v="Sun"/>
    <s v="Low"/>
  </r>
  <r>
    <s v="ORD-0617"/>
    <d v="2023-03-19T00:00:00"/>
    <s v="CUST-0895"/>
    <s v="Nikhil Jain"/>
    <s v="North"/>
    <s v="Chandigarh"/>
    <x v="4"/>
    <s v="HP Pavilion"/>
    <n v="1"/>
    <n v="52100"/>
    <n v="20"/>
    <s v="Rahul Sharma"/>
    <n v="52100"/>
    <n v="10420"/>
    <n v="41680"/>
    <s v="Mar-2023"/>
    <s v="Q1-2023"/>
    <s v="Sun"/>
    <s v="Low"/>
  </r>
  <r>
    <s v="ORD-0618"/>
    <d v="2023-04-19T00:00:00"/>
    <s v="CUST-8905"/>
    <s v="Rahul Kapoor"/>
    <s v="Central"/>
    <s v="Raipur"/>
    <x v="2"/>
    <s v="Fitbit Versa 4"/>
    <n v="1"/>
    <n v="28900"/>
    <n v="25"/>
    <s v="Priya Patel"/>
    <n v="28900"/>
    <n v="7225"/>
    <n v="21675"/>
    <s v="Apr-2023"/>
    <s v="Q2-2023"/>
    <s v="Wed"/>
    <s v="Low"/>
  </r>
  <r>
    <s v="ORD-0619"/>
    <d v="2023-05-19T00:00:00"/>
    <s v="CUST-9965"/>
    <s v="Neha Agarwal"/>
    <s v="North"/>
    <s v="Lucknow"/>
    <x v="4"/>
    <s v="Acer Aspire"/>
    <n v="1"/>
    <n v="57800"/>
    <n v="0"/>
    <s v="Sneha Reddy"/>
    <n v="57800"/>
    <n v="0"/>
    <n v="57800"/>
    <s v="May-2023"/>
    <s v="Q2-2023"/>
    <s v="Fri"/>
    <s v="Medium"/>
  </r>
  <r>
    <s v="ORD-0620"/>
    <d v="2023-05-19T00:00:00"/>
    <s v="CUST-8995"/>
    <s v="Mohit Saxena"/>
    <s v="North"/>
    <s v="Delhi"/>
    <x v="3"/>
    <s v="iPad Air"/>
    <n v="1"/>
    <n v="22600"/>
    <n v="0"/>
    <s v="Rahul Sharma"/>
    <n v="22600"/>
    <n v="0"/>
    <n v="22600"/>
    <s v="May-2023"/>
    <s v="Q2-2023"/>
    <s v="Fri"/>
    <s v="Low"/>
  </r>
  <r>
    <s v="ORD-0621"/>
    <d v="2023-06-19T00:00:00"/>
    <s v="CUST-5060"/>
    <s v="Gaurav Bhatt"/>
    <s v="East"/>
    <s v="Patna"/>
    <x v="0"/>
    <s v="Realme GT"/>
    <n v="1"/>
    <n v="33600"/>
    <n v="20"/>
    <s v="Rahul Sharma"/>
    <n v="33600"/>
    <n v="6720"/>
    <n v="26880"/>
    <s v="Jun-2023"/>
    <s v="Q2-2023"/>
    <s v="Mon"/>
    <s v="Low"/>
  </r>
  <r>
    <s v="ORD-0622"/>
    <d v="2023-06-19T00:00:00"/>
    <s v="CUST-7693"/>
    <s v="Sameer Dutta"/>
    <s v="North"/>
    <s v="Chandigarh"/>
    <x v="2"/>
    <s v="Samsung Galaxy Watch"/>
    <n v="1"/>
    <n v="17100"/>
    <n v="0"/>
    <s v="Kavya Iyer"/>
    <n v="17100"/>
    <n v="0"/>
    <n v="17100"/>
    <s v="Jun-2023"/>
    <s v="Q2-2023"/>
    <s v="Mon"/>
    <s v="Low"/>
  </r>
  <r>
    <s v="ORD-0623"/>
    <d v="2023-07-19T00:00:00"/>
    <s v="CUST-7270"/>
    <s v="Yash Dhawan"/>
    <s v="West"/>
    <s v="Mumbai"/>
    <x v="2"/>
    <s v="Mi Band 7"/>
    <n v="1"/>
    <n v="24300"/>
    <n v="20"/>
    <s v="Kavya Iyer"/>
    <n v="24300"/>
    <n v="4860"/>
    <n v="19440"/>
    <s v="Jul-2023"/>
    <s v="Q3-2023"/>
    <s v="Wed"/>
    <s v="Low"/>
  </r>
  <r>
    <s v="ORD-0624"/>
    <d v="2023-07-19T00:00:00"/>
    <s v="CUST-2917"/>
    <s v="Ishita Bansal"/>
    <s v="Central"/>
    <s v="Raipur"/>
    <x v="0"/>
    <s v="iPhone 14"/>
    <n v="1"/>
    <n v="15000"/>
    <n v="10"/>
    <s v="Vikram Singh"/>
    <n v="15000"/>
    <n v="1500"/>
    <n v="13500"/>
    <s v="Jul-2023"/>
    <s v="Q3-2023"/>
    <s v="Wed"/>
    <s v="Low"/>
  </r>
  <r>
    <s v="ORD-0625"/>
    <d v="2023-08-19T00:00:00"/>
    <s v="CUST-0354"/>
    <s v="Meera Chawla"/>
    <s v="North"/>
    <s v="Jaipur"/>
    <x v="1"/>
    <s v="Webcam"/>
    <n v="2"/>
    <n v="2200"/>
    <n v="5"/>
    <s v="Priya Patel"/>
    <n v="4400"/>
    <n v="220"/>
    <n v="4180"/>
    <s v="Aug-2023"/>
    <s v="Q3-2023"/>
    <s v="Sat"/>
    <s v="Low"/>
  </r>
  <r>
    <s v="ORD-0626"/>
    <d v="2023-08-19T00:00:00"/>
    <s v="CUST-8923"/>
    <s v="Pooja Desai"/>
    <s v="Central"/>
    <s v="Raipur"/>
    <x v="1"/>
    <s v="Wireless Mouse"/>
    <n v="2"/>
    <n v="1600"/>
    <n v="5"/>
    <s v="Vikram Singh"/>
    <n v="3200"/>
    <n v="160"/>
    <n v="3040"/>
    <s v="Aug-2023"/>
    <s v="Q3-2023"/>
    <s v="Sat"/>
    <s v="Low"/>
  </r>
  <r>
    <s v="ORD-0627"/>
    <d v="2023-08-19T00:00:00"/>
    <s v="CUST-4816"/>
    <s v="Amit Patel"/>
    <s v="North"/>
    <s v="Lucknow"/>
    <x v="4"/>
    <s v="Acer Aspire"/>
    <n v="1"/>
    <n v="63100"/>
    <n v="0"/>
    <s v="Sneha Reddy"/>
    <n v="63100"/>
    <n v="0"/>
    <n v="63100"/>
    <s v="Aug-2023"/>
    <s v="Q3-2023"/>
    <s v="Sat"/>
    <s v="Medium"/>
  </r>
  <r>
    <s v="ORD-0628"/>
    <d v="2023-08-19T00:00:00"/>
    <s v="CUST-4761"/>
    <s v="Rajesh Kumar"/>
    <s v="East"/>
    <s v="Patna"/>
    <x v="2"/>
    <s v="Samsung Galaxy Watch"/>
    <n v="1"/>
    <n v="25800"/>
    <n v="15"/>
    <s v="Rohan Mehta"/>
    <n v="25800"/>
    <n v="3870"/>
    <n v="21930"/>
    <s v="Aug-2023"/>
    <s v="Q3-2023"/>
    <s v="Sat"/>
    <s v="Low"/>
  </r>
  <r>
    <s v="ORD-0629"/>
    <d v="2023-08-19T00:00:00"/>
    <s v="CUST-1661"/>
    <s v="Harsh Sinha"/>
    <s v="South"/>
    <s v="Chennai"/>
    <x v="4"/>
    <s v="Dell Inspiron"/>
    <n v="1"/>
    <n v="59800"/>
    <n v="5"/>
    <s v="Rohan Mehta"/>
    <n v="59800"/>
    <n v="2990"/>
    <n v="56810"/>
    <s v="Aug-2023"/>
    <s v="Q3-2023"/>
    <s v="Sat"/>
    <s v="Medium"/>
  </r>
  <r>
    <s v="ORD-0630"/>
    <d v="2023-09-19T00:00:00"/>
    <s v="CUST-8995"/>
    <s v="Mohit Saxena"/>
    <s v="East"/>
    <s v="Kolkata"/>
    <x v="1"/>
    <s v="Laptop Bag"/>
    <n v="2"/>
    <n v="1000"/>
    <n v="10"/>
    <s v="Rahul Sharma"/>
    <n v="2000"/>
    <n v="200"/>
    <n v="1800"/>
    <s v="Sep-2023"/>
    <s v="Q3-2023"/>
    <s v="Tue"/>
    <s v="Low"/>
  </r>
  <r>
    <s v="ORD-0631"/>
    <d v="2023-09-19T00:00:00"/>
    <s v="CUST-9929"/>
    <s v="Kunal Dixit"/>
    <s v="West"/>
    <s v="Mumbai"/>
    <x v="1"/>
    <s v="Mechanical Keyboard"/>
    <n v="2"/>
    <n v="1500"/>
    <n v="20"/>
    <s v="Kavya Iyer"/>
    <n v="3000"/>
    <n v="600"/>
    <n v="2400"/>
    <s v="Sep-2023"/>
    <s v="Q3-2023"/>
    <s v="Tue"/>
    <s v="Low"/>
  </r>
  <r>
    <s v="ORD-0632"/>
    <d v="2023-09-19T00:00:00"/>
    <s v="CUST-8593"/>
    <s v="Sneha Sharma"/>
    <s v="East"/>
    <s v="Ranchi"/>
    <x v="0"/>
    <s v="Realme GT"/>
    <n v="1"/>
    <n v="36000"/>
    <n v="0"/>
    <s v="Rohan Mehta"/>
    <n v="36000"/>
    <n v="0"/>
    <n v="36000"/>
    <s v="Sep-2023"/>
    <s v="Q3-2023"/>
    <s v="Tue"/>
    <s v="Low"/>
  </r>
  <r>
    <s v="ORD-0633"/>
    <d v="2023-10-19T00:00:00"/>
    <s v="CUST-9969"/>
    <s v="Ritika Menon"/>
    <s v="South"/>
    <s v="Bangalore"/>
    <x v="3"/>
    <s v="Amazon Fire HD"/>
    <n v="1"/>
    <n v="36400"/>
    <n v="0"/>
    <s v="Priya Patel"/>
    <n v="36400"/>
    <n v="0"/>
    <n v="36400"/>
    <s v="Oct-2023"/>
    <s v="Q4-2023"/>
    <s v="Thu"/>
    <s v="Low"/>
  </r>
  <r>
    <s v="ORD-0634"/>
    <d v="2023-11-19T00:00:00"/>
    <s v="CUST-7270"/>
    <s v="Yash Dhawan"/>
    <s v="Central"/>
    <s v="Bhopal"/>
    <x v="1"/>
    <s v="USB-C Cable"/>
    <n v="2"/>
    <n v="2100"/>
    <n v="15"/>
    <s v="Kavya Iyer"/>
    <n v="4200"/>
    <n v="630"/>
    <n v="3570"/>
    <s v="Nov-2023"/>
    <s v="Q4-2023"/>
    <s v="Sun"/>
    <s v="Low"/>
  </r>
  <r>
    <s v="ORD-0635"/>
    <d v="2023-11-19T00:00:00"/>
    <s v="CUST-4767"/>
    <s v="Sanjay Joshi"/>
    <s v="North"/>
    <s v="Delhi"/>
    <x v="3"/>
    <s v="Amazon Fire HD"/>
    <n v="1"/>
    <n v="29300"/>
    <n v="5"/>
    <s v="Anjali Gupta"/>
    <n v="29300"/>
    <n v="1465"/>
    <n v="27835"/>
    <s v="Nov-2023"/>
    <s v="Q4-2023"/>
    <s v="Sun"/>
    <s v="Low"/>
  </r>
  <r>
    <s v="ORD-0636"/>
    <d v="2023-11-19T00:00:00"/>
    <s v="CUST-5560"/>
    <s v="Swati Nambiar"/>
    <s v="South"/>
    <s v="Chennai"/>
    <x v="1"/>
    <s v="Laptop Bag"/>
    <n v="2"/>
    <n v="1000"/>
    <n v="0"/>
    <s v="Sneha Reddy"/>
    <n v="2000"/>
    <n v="0"/>
    <n v="2000"/>
    <s v="Nov-2023"/>
    <s v="Q4-2023"/>
    <s v="Sun"/>
    <s v="Low"/>
  </r>
  <r>
    <s v="ORD-0637"/>
    <d v="2023-12-19T00:00:00"/>
    <s v="CUST-4945"/>
    <s v="Ananya Bose"/>
    <s v="East"/>
    <s v="Bhubaneswar"/>
    <x v="0"/>
    <s v="Samsung Galaxy S23"/>
    <n v="1"/>
    <n v="60000"/>
    <n v="25"/>
    <s v="Rahul Sharma"/>
    <n v="60000"/>
    <n v="15000"/>
    <n v="45000"/>
    <s v="Dec-2023"/>
    <s v="Q4-2023"/>
    <s v="Tue"/>
    <s v="Low"/>
  </r>
  <r>
    <s v="ORD-0638"/>
    <d v="2023-12-19T00:00:00"/>
    <s v="CUST-9969"/>
    <s v="Ritika Menon"/>
    <s v="West"/>
    <s v="Ahmedabad"/>
    <x v="0"/>
    <s v="OnePlus Nord"/>
    <n v="1"/>
    <n v="22700"/>
    <n v="0"/>
    <s v="Kavya Iyer"/>
    <n v="22700"/>
    <n v="0"/>
    <n v="22700"/>
    <s v="Dec-2023"/>
    <s v="Q4-2023"/>
    <s v="Tue"/>
    <s v="Low"/>
  </r>
  <r>
    <s v="ORD-0639"/>
    <d v="2023-12-19T00:00:00"/>
    <s v="CUST-6453"/>
    <s v="Karan Verma"/>
    <s v="Central"/>
    <s v="Indore"/>
    <x v="3"/>
    <s v="iPad Air"/>
    <n v="1"/>
    <n v="38600"/>
    <n v="5"/>
    <s v="Kavya Iyer"/>
    <n v="38600"/>
    <n v="1930"/>
    <n v="36670"/>
    <s v="Dec-2023"/>
    <s v="Q4-2023"/>
    <s v="Tue"/>
    <s v="Low"/>
  </r>
  <r>
    <s v="ORD-0640"/>
    <d v="2023-12-19T00:00:00"/>
    <s v="CUST-4816"/>
    <s v="Amit Patel"/>
    <s v="East"/>
    <s v="Ranchi"/>
    <x v="0"/>
    <s v="Xiaomi 13"/>
    <n v="2"/>
    <n v="25100"/>
    <n v="10"/>
    <s v="Rohan Mehta"/>
    <n v="50200"/>
    <n v="5020"/>
    <n v="45180"/>
    <s v="Dec-2023"/>
    <s v="Q4-2023"/>
    <s v="Tue"/>
    <s v="Low"/>
  </r>
  <r>
    <s v="ORD-0641"/>
    <d v="2023-01-20T00:00:00"/>
    <s v="CUST-5060"/>
    <s v="Gaurav Bhatt"/>
    <s v="Central"/>
    <s v="Raipur"/>
    <x v="3"/>
    <s v="iPad Air"/>
    <n v="1"/>
    <n v="29400"/>
    <n v="25"/>
    <s v="Priya Patel"/>
    <n v="29400"/>
    <n v="7350"/>
    <n v="22050"/>
    <s v="Jan-2023"/>
    <s v="Q1-2023"/>
    <s v="Fri"/>
    <s v="Low"/>
  </r>
  <r>
    <s v="ORD-0642"/>
    <d v="2023-01-20T00:00:00"/>
    <s v="CUST-4295"/>
    <s v="Manish Arora"/>
    <s v="West"/>
    <s v="Ahmedabad"/>
    <x v="0"/>
    <s v="OnePlus Nord"/>
    <n v="1"/>
    <n v="60000"/>
    <n v="10"/>
    <s v="Rahul Sharma"/>
    <n v="60000"/>
    <n v="6000"/>
    <n v="54000"/>
    <s v="Jan-2023"/>
    <s v="Q1-2023"/>
    <s v="Fri"/>
    <s v="Medium"/>
  </r>
  <r>
    <s v="ORD-0643"/>
    <d v="2023-03-20T00:00:00"/>
    <s v="CUST-7270"/>
    <s v="Yash Dhawan"/>
    <s v="West"/>
    <s v="Ahmedabad"/>
    <x v="1"/>
    <s v="Webcam"/>
    <n v="2"/>
    <n v="1500"/>
    <n v="15"/>
    <s v="Sneha Reddy"/>
    <n v="3000"/>
    <n v="450"/>
    <n v="2550"/>
    <s v="Mar-2023"/>
    <s v="Q1-2023"/>
    <s v="Mon"/>
    <s v="Low"/>
  </r>
  <r>
    <s v="ORD-0644"/>
    <d v="2023-03-20T00:00:00"/>
    <s v="CUST-1661"/>
    <s v="Harsh Sinha"/>
    <s v="South"/>
    <s v="Kochi"/>
    <x v="2"/>
    <s v="Apple Watch Series 8"/>
    <n v="1"/>
    <n v="20700"/>
    <n v="10"/>
    <s v="Kavya Iyer"/>
    <n v="20700"/>
    <n v="2070"/>
    <n v="18630"/>
    <s v="Mar-2023"/>
    <s v="Q1-2023"/>
    <s v="Mon"/>
    <s v="Low"/>
  </r>
  <r>
    <s v="ORD-0645"/>
    <d v="2023-03-20T00:00:00"/>
    <s v="CUST-5409"/>
    <s v="Akash Pillai"/>
    <s v="North"/>
    <s v="Chandigarh"/>
    <x v="1"/>
    <s v="Webcam"/>
    <n v="2"/>
    <n v="1200"/>
    <n v="25"/>
    <s v="Priya Patel"/>
    <n v="2400"/>
    <n v="600"/>
    <n v="1800"/>
    <s v="Mar-2023"/>
    <s v="Q1-2023"/>
    <s v="Mon"/>
    <s v="Low"/>
  </r>
  <r>
    <s v="ORD-0646"/>
    <d v="2023-05-20T00:00:00"/>
    <s v="CUST-4816"/>
    <s v="Amit Patel"/>
    <s v="Central"/>
    <s v="Raipur"/>
    <x v="1"/>
    <s v="Wireless Mouse"/>
    <n v="2"/>
    <n v="3000"/>
    <n v="25"/>
    <s v="Rohan Mehta"/>
    <n v="6000"/>
    <n v="1500"/>
    <n v="4500"/>
    <s v="May-2023"/>
    <s v="Q2-2023"/>
    <s v="Sat"/>
    <s v="Low"/>
  </r>
  <r>
    <s v="ORD-0647"/>
    <d v="2023-05-20T00:00:00"/>
    <s v="CUST-6295"/>
    <s v="Arjun Nair"/>
    <s v="West"/>
    <s v="Surat"/>
    <x v="1"/>
    <s v="Mechanical Keyboard"/>
    <n v="3"/>
    <n v="1900"/>
    <n v="0"/>
    <s v="Rahul Sharma"/>
    <n v="5700"/>
    <n v="0"/>
    <n v="5700"/>
    <s v="May-2023"/>
    <s v="Q2-2023"/>
    <s v="Sat"/>
    <s v="Low"/>
  </r>
  <r>
    <s v="ORD-0648"/>
    <d v="2023-05-20T00:00:00"/>
    <s v="CUST-5369"/>
    <s v="Aditya Rao"/>
    <s v="South"/>
    <s v="Bangalore"/>
    <x v="3"/>
    <s v="Samsung Tab S8"/>
    <n v="1"/>
    <n v="26500"/>
    <n v="15"/>
    <s v="Amit Kumar"/>
    <n v="26500"/>
    <n v="3975"/>
    <n v="22525"/>
    <s v="May-2023"/>
    <s v="Q2-2023"/>
    <s v="Sat"/>
    <s v="Low"/>
  </r>
  <r>
    <s v="ORD-0649"/>
    <d v="2023-06-20T00:00:00"/>
    <s v="CUST-1200"/>
    <s v="Pallavi Krishnan"/>
    <s v="North"/>
    <s v="Delhi"/>
    <x v="1"/>
    <s v="Laptop Bag"/>
    <n v="2"/>
    <n v="1300"/>
    <n v="15"/>
    <s v="Vikram Singh"/>
    <n v="2600"/>
    <n v="390"/>
    <n v="2210"/>
    <s v="Jun-2023"/>
    <s v="Q2-2023"/>
    <s v="Tue"/>
    <s v="Low"/>
  </r>
  <r>
    <s v="ORD-0650"/>
    <d v="2023-06-20T00:00:00"/>
    <s v="CUST-1661"/>
    <s v="Harsh Sinha"/>
    <s v="West"/>
    <s v="Pune"/>
    <x v="3"/>
    <s v="Samsung Tab S8"/>
    <n v="1"/>
    <n v="37000"/>
    <n v="0"/>
    <s v="Rahul Sharma"/>
    <n v="37000"/>
    <n v="0"/>
    <n v="37000"/>
    <s v="Jun-2023"/>
    <s v="Q2-2023"/>
    <s v="Tue"/>
    <s v="Low"/>
  </r>
  <r>
    <s v="ORD-0651"/>
    <d v="2023-06-20T00:00:00"/>
    <s v="CUST-6967"/>
    <s v="Aarti Shetty"/>
    <s v="South"/>
    <s v="Chennai"/>
    <x v="2"/>
    <s v="Fitbit Versa 4"/>
    <n v="1"/>
    <n v="27800"/>
    <n v="0"/>
    <s v="Sneha Reddy"/>
    <n v="27800"/>
    <n v="0"/>
    <n v="27800"/>
    <s v="Jun-2023"/>
    <s v="Q2-2023"/>
    <s v="Tue"/>
    <s v="Low"/>
  </r>
  <r>
    <s v="ORD-0652"/>
    <d v="2023-06-20T00:00:00"/>
    <s v="CUST-9969"/>
    <s v="Ritika Menon"/>
    <s v="East"/>
    <s v="Kolkata"/>
    <x v="0"/>
    <s v="OnePlus Nord"/>
    <n v="1"/>
    <n v="34800"/>
    <n v="10"/>
    <s v="Vikram Singh"/>
    <n v="34800"/>
    <n v="3480"/>
    <n v="31320"/>
    <s v="Jun-2023"/>
    <s v="Q2-2023"/>
    <s v="Tue"/>
    <s v="Low"/>
  </r>
  <r>
    <s v="ORD-0653"/>
    <d v="2023-07-20T00:00:00"/>
    <s v="CUST-1661"/>
    <s v="Harsh Sinha"/>
    <s v="North"/>
    <s v="Chandigarh"/>
    <x v="0"/>
    <s v="iPhone 14"/>
    <n v="1"/>
    <n v="34200"/>
    <n v="5"/>
    <s v="Rahul Sharma"/>
    <n v="34200"/>
    <n v="1710"/>
    <n v="32490"/>
    <s v="Jul-2023"/>
    <s v="Q3-2023"/>
    <s v="Thu"/>
    <s v="Low"/>
  </r>
  <r>
    <s v="ORD-0654"/>
    <d v="2023-07-20T00:00:00"/>
    <s v="CUST-5247"/>
    <s v="Kavya Iyer"/>
    <s v="East"/>
    <s v="Kolkata"/>
    <x v="0"/>
    <s v="Xiaomi 13"/>
    <n v="1"/>
    <n v="57900"/>
    <n v="10"/>
    <s v="Sneha Reddy"/>
    <n v="57900"/>
    <n v="5790"/>
    <n v="52110"/>
    <s v="Jul-2023"/>
    <s v="Q3-2023"/>
    <s v="Thu"/>
    <s v="Medium"/>
  </r>
  <r>
    <s v="ORD-0655"/>
    <d v="2023-07-20T00:00:00"/>
    <s v="CUST-8593"/>
    <s v="Sneha Sharma"/>
    <s v="Central"/>
    <s v="Bhopal"/>
    <x v="3"/>
    <s v="Amazon Fire HD"/>
    <n v="1"/>
    <n v="25000"/>
    <n v="5"/>
    <s v="Sneha Reddy"/>
    <n v="25000"/>
    <n v="1250"/>
    <n v="23750"/>
    <s v="Jul-2023"/>
    <s v="Q3-2023"/>
    <s v="Thu"/>
    <s v="Low"/>
  </r>
  <r>
    <s v="ORD-0656"/>
    <d v="2023-08-20T00:00:00"/>
    <s v="CUST-7808"/>
    <s v="Varun Chopra"/>
    <s v="West"/>
    <s v="Mumbai"/>
    <x v="1"/>
    <s v="Webcam"/>
    <n v="2"/>
    <n v="2900"/>
    <n v="20"/>
    <s v="Kavya Iyer"/>
    <n v="5800"/>
    <n v="1160"/>
    <n v="4640"/>
    <s v="Aug-2023"/>
    <s v="Q3-2023"/>
    <s v="Sun"/>
    <s v="Low"/>
  </r>
  <r>
    <s v="ORD-0657"/>
    <d v="2023-08-20T00:00:00"/>
    <s v="CUST-9929"/>
    <s v="Kunal Dixit"/>
    <s v="South"/>
    <s v="Kochi"/>
    <x v="3"/>
    <s v="Amazon Fire HD"/>
    <n v="1"/>
    <n v="41100"/>
    <n v="10"/>
    <s v="Priya Patel"/>
    <n v="41100"/>
    <n v="4110"/>
    <n v="36990"/>
    <s v="Aug-2023"/>
    <s v="Q3-2023"/>
    <s v="Sun"/>
    <s v="Low"/>
  </r>
  <r>
    <s v="ORD-0658"/>
    <d v="2023-08-20T00:00:00"/>
    <s v="CUST-2917"/>
    <s v="Ishita Bansal"/>
    <s v="Central"/>
    <s v="Indore"/>
    <x v="2"/>
    <s v="Apple Watch Series 8"/>
    <n v="1"/>
    <n v="26300"/>
    <n v="20"/>
    <s v="Kavya Iyer"/>
    <n v="26300"/>
    <n v="5260"/>
    <n v="21040"/>
    <s v="Aug-2023"/>
    <s v="Q3-2023"/>
    <s v="Sun"/>
    <s v="Low"/>
  </r>
  <r>
    <s v="ORD-0659"/>
    <d v="2023-08-20T00:00:00"/>
    <s v="CUST-6295"/>
    <s v="Arjun Nair"/>
    <s v="Central"/>
    <s v="Indore"/>
    <x v="4"/>
    <s v="ASUS VivoBook"/>
    <n v="1"/>
    <n v="54300"/>
    <n v="0"/>
    <s v="Priya Patel"/>
    <n v="54300"/>
    <n v="0"/>
    <n v="54300"/>
    <s v="Aug-2023"/>
    <s v="Q3-2023"/>
    <s v="Sun"/>
    <s v="Medium"/>
  </r>
  <r>
    <s v="ORD-0660"/>
    <d v="2023-10-20T00:00:00"/>
    <s v="CUST-2243"/>
    <s v="Divya Shah"/>
    <s v="South"/>
    <s v="Hyderabad"/>
    <x v="2"/>
    <s v="Mi Band 7"/>
    <n v="1"/>
    <n v="17700"/>
    <n v="20"/>
    <s v="Rahul Sharma"/>
    <n v="17700"/>
    <n v="3540"/>
    <n v="14160"/>
    <s v="Oct-2023"/>
    <s v="Q4-2023"/>
    <s v="Fri"/>
    <s v="Low"/>
  </r>
  <r>
    <s v="ORD-0661"/>
    <d v="2023-10-20T00:00:00"/>
    <s v="CUST-5055"/>
    <s v="Riya Malhotra"/>
    <s v="Central"/>
    <s v="Indore"/>
    <x v="1"/>
    <s v="Mechanical Keyboard"/>
    <n v="2"/>
    <n v="1700"/>
    <n v="0"/>
    <s v="Vikram Singh"/>
    <n v="3400"/>
    <n v="0"/>
    <n v="3400"/>
    <s v="Oct-2023"/>
    <s v="Q4-2023"/>
    <s v="Fri"/>
    <s v="Low"/>
  </r>
  <r>
    <s v="ORD-0662"/>
    <d v="2023-10-20T00:00:00"/>
    <s v="CUST-2055"/>
    <s v="Shreya Pandey"/>
    <s v="West"/>
    <s v="Surat"/>
    <x v="2"/>
    <s v="Samsung Galaxy Watch"/>
    <n v="1"/>
    <n v="30100"/>
    <n v="0"/>
    <s v="Sneha Reddy"/>
    <n v="30100"/>
    <n v="0"/>
    <n v="30100"/>
    <s v="Oct-2023"/>
    <s v="Q4-2023"/>
    <s v="Fri"/>
    <s v="Low"/>
  </r>
  <r>
    <s v="ORD-0663"/>
    <d v="2023-11-20T00:00:00"/>
    <s v="CUST-8962"/>
    <s v="Priya Singh"/>
    <s v="West"/>
    <s v="Pune"/>
    <x v="0"/>
    <s v="Samsung Galaxy S23"/>
    <n v="1"/>
    <n v="51900"/>
    <n v="5"/>
    <s v="Sneha Reddy"/>
    <n v="51900"/>
    <n v="2595"/>
    <n v="49305"/>
    <s v="Nov-2023"/>
    <s v="Q4-2023"/>
    <s v="Mon"/>
    <s v="Low"/>
  </r>
  <r>
    <s v="ORD-0664"/>
    <d v="2023-12-20T00:00:00"/>
    <s v="CUST-6967"/>
    <s v="Aarti Shetty"/>
    <s v="North"/>
    <s v="Chandigarh"/>
    <x v="1"/>
    <s v="Laptop Bag"/>
    <n v="2"/>
    <n v="1800"/>
    <n v="0"/>
    <s v="Vikram Singh"/>
    <n v="3600"/>
    <n v="0"/>
    <n v="3600"/>
    <s v="Dec-2023"/>
    <s v="Q4-2023"/>
    <s v="Wed"/>
    <s v="Low"/>
  </r>
  <r>
    <s v="ORD-0665"/>
    <d v="2023-12-20T00:00:00"/>
    <s v="CUST-4761"/>
    <s v="Rajesh Kumar"/>
    <s v="West"/>
    <s v="Ahmedabad"/>
    <x v="4"/>
    <s v="HP Pavilion"/>
    <n v="1"/>
    <n v="62400"/>
    <n v="0"/>
    <s v="Sneha Reddy"/>
    <n v="62400"/>
    <n v="0"/>
    <n v="62400"/>
    <s v="Dec-2023"/>
    <s v="Q4-2023"/>
    <s v="Wed"/>
    <s v="Medium"/>
  </r>
  <r>
    <s v="ORD-0666"/>
    <d v="2023-12-20T00:00:00"/>
    <s v="CUST-5409"/>
    <s v="Akash Pillai"/>
    <s v="North"/>
    <s v="Lucknow"/>
    <x v="0"/>
    <s v="Realme GT"/>
    <n v="1"/>
    <n v="57400"/>
    <n v="25"/>
    <s v="Sneha Reddy"/>
    <n v="57400"/>
    <n v="14350"/>
    <n v="43050"/>
    <s v="Dec-2023"/>
    <s v="Q4-2023"/>
    <s v="Wed"/>
    <s v="Low"/>
  </r>
  <r>
    <s v="ORD-0667"/>
    <d v="2023-12-20T00:00:00"/>
    <s v="CUST-6295"/>
    <s v="Arjun Nair"/>
    <s v="North"/>
    <s v="Lucknow"/>
    <x v="3"/>
    <s v="Samsung Tab S8"/>
    <n v="1"/>
    <n v="36900"/>
    <n v="5"/>
    <s v="Kavya Iyer"/>
    <n v="36900"/>
    <n v="1845"/>
    <n v="35055"/>
    <s v="Dec-2023"/>
    <s v="Q4-2023"/>
    <s v="Wed"/>
    <s v="Low"/>
  </r>
  <r>
    <s v="ORD-0668"/>
    <d v="2023-01-21T00:00:00"/>
    <s v="CUST-6453"/>
    <s v="Karan Verma"/>
    <s v="South"/>
    <s v="Hyderabad"/>
    <x v="3"/>
    <s v="Amazon Fire HD"/>
    <n v="1"/>
    <n v="30100"/>
    <n v="10"/>
    <s v="Rahul Sharma"/>
    <n v="30100"/>
    <n v="3010"/>
    <n v="27090"/>
    <s v="Jan-2023"/>
    <s v="Q1-2023"/>
    <s v="Sat"/>
    <s v="Low"/>
  </r>
  <r>
    <s v="ORD-0669"/>
    <d v="2023-01-21T00:00:00"/>
    <s v="CUST-9969"/>
    <s v="Ritika Menon"/>
    <s v="Central"/>
    <s v="Nagpur"/>
    <x v="1"/>
    <s v="Mechanical Keyboard"/>
    <n v="2"/>
    <n v="2500"/>
    <n v="0"/>
    <s v="Priya Patel"/>
    <n v="5000"/>
    <n v="0"/>
    <n v="5000"/>
    <s v="Jan-2023"/>
    <s v="Q1-2023"/>
    <s v="Sat"/>
    <s v="Low"/>
  </r>
  <r>
    <s v="ORD-0670"/>
    <d v="2023-01-21T00:00:00"/>
    <s v="CUST-6967"/>
    <s v="Aarti Shetty"/>
    <s v="East"/>
    <s v="Bhubaneswar"/>
    <x v="0"/>
    <s v="Samsung Galaxy S23"/>
    <n v="1"/>
    <n v="33800"/>
    <n v="10"/>
    <s v="Rohan Mehta"/>
    <n v="33800"/>
    <n v="3380"/>
    <n v="30420"/>
    <s v="Jan-2023"/>
    <s v="Q1-2023"/>
    <s v="Sat"/>
    <s v="Low"/>
  </r>
  <r>
    <s v="ORD-0671"/>
    <d v="2023-02-21T00:00:00"/>
    <s v="CUST-9929"/>
    <s v="Kunal Dixit"/>
    <s v="South"/>
    <s v="Hyderabad"/>
    <x v="2"/>
    <s v="Apple Watch Series 8"/>
    <n v="1"/>
    <n v="20700"/>
    <n v="10"/>
    <s v="Anjali Gupta"/>
    <n v="20700"/>
    <n v="2070"/>
    <n v="18630"/>
    <s v="Feb-2023"/>
    <s v="Q1-2023"/>
    <s v="Tue"/>
    <s v="Low"/>
  </r>
  <r>
    <s v="ORD-0672"/>
    <d v="2023-03-21T00:00:00"/>
    <s v="CUST-8185"/>
    <s v="Rohan Mehta"/>
    <s v="South"/>
    <s v="Hyderabad"/>
    <x v="4"/>
    <s v="Dell Inspiron"/>
    <n v="1"/>
    <n v="63600"/>
    <n v="10"/>
    <s v="Anjali Gupta"/>
    <n v="63600"/>
    <n v="6360"/>
    <n v="57240"/>
    <s v="Mar-2023"/>
    <s v="Q1-2023"/>
    <s v="Tue"/>
    <s v="Medium"/>
  </r>
  <r>
    <s v="ORD-0673"/>
    <d v="2023-03-21T00:00:00"/>
    <s v="CUST-4761"/>
    <s v="Rajesh Kumar"/>
    <s v="North"/>
    <s v="Delhi"/>
    <x v="4"/>
    <s v="ASUS VivoBook"/>
    <n v="1"/>
    <n v="61000"/>
    <n v="25"/>
    <s v="Rahul Sharma"/>
    <n v="61000"/>
    <n v="15250"/>
    <n v="45750"/>
    <s v="Mar-2023"/>
    <s v="Q1-2023"/>
    <s v="Tue"/>
    <s v="Low"/>
  </r>
  <r>
    <s v="ORD-0674"/>
    <d v="2023-03-21T00:00:00"/>
    <s v="CUST-2055"/>
    <s v="Shreya Pandey"/>
    <s v="West"/>
    <s v="Pune"/>
    <x v="4"/>
    <s v="Lenovo ThinkPad"/>
    <n v="1"/>
    <n v="80000"/>
    <n v="20"/>
    <s v="Priya Patel"/>
    <n v="80000"/>
    <n v="16000"/>
    <n v="64000"/>
    <s v="Mar-2023"/>
    <s v="Q1-2023"/>
    <s v="Tue"/>
    <s v="Medium"/>
  </r>
  <r>
    <s v="ORD-0675"/>
    <d v="2023-03-21T00:00:00"/>
    <s v="CUST-2243"/>
    <s v="Divya Shah"/>
    <s v="North"/>
    <s v="Delhi"/>
    <x v="4"/>
    <s v="HP Pavilion"/>
    <n v="2"/>
    <n v="50700"/>
    <n v="25"/>
    <s v="Vikram Singh"/>
    <n v="101400"/>
    <n v="25350"/>
    <n v="76050"/>
    <s v="Mar-2023"/>
    <s v="Q1-2023"/>
    <s v="Tue"/>
    <s v="Medium"/>
  </r>
  <r>
    <s v="ORD-0676"/>
    <d v="2023-04-21T00:00:00"/>
    <s v="CUST-4064"/>
    <s v="Nisha Ghosh"/>
    <s v="Central"/>
    <s v="Raipur"/>
    <x v="1"/>
    <s v="USB-C Cable"/>
    <n v="2"/>
    <n v="1700"/>
    <n v="0"/>
    <s v="Sneha Reddy"/>
    <n v="3400"/>
    <n v="0"/>
    <n v="3400"/>
    <s v="Apr-2023"/>
    <s v="Q2-2023"/>
    <s v="Fri"/>
    <s v="Low"/>
  </r>
  <r>
    <s v="ORD-0677"/>
    <d v="2023-04-21T00:00:00"/>
    <s v="CUST-2917"/>
    <s v="Ishita Bansal"/>
    <s v="South"/>
    <s v="Kochi"/>
    <x v="4"/>
    <s v="Lenovo ThinkPad"/>
    <n v="1"/>
    <n v="63300"/>
    <n v="5"/>
    <s v="Priya Patel"/>
    <n v="63300"/>
    <n v="3165"/>
    <n v="60135"/>
    <s v="Apr-2023"/>
    <s v="Q2-2023"/>
    <s v="Fri"/>
    <s v="Medium"/>
  </r>
  <r>
    <s v="ORD-0678"/>
    <d v="2023-05-21T00:00:00"/>
    <s v="CUST-6453"/>
    <s v="Karan Verma"/>
    <s v="South"/>
    <s v="Kochi"/>
    <x v="0"/>
    <s v="OnePlus Nord"/>
    <n v="1"/>
    <n v="42300"/>
    <n v="20"/>
    <s v="Kavya Iyer"/>
    <n v="42300"/>
    <n v="8460"/>
    <n v="33840"/>
    <s v="May-2023"/>
    <s v="Q2-2023"/>
    <s v="Sun"/>
    <s v="Low"/>
  </r>
  <r>
    <s v="ORD-0679"/>
    <d v="2023-05-21T00:00:00"/>
    <s v="CUST-6453"/>
    <s v="Karan Verma"/>
    <s v="North"/>
    <s v="Delhi"/>
    <x v="1"/>
    <s v="USB-C Cable"/>
    <n v="1"/>
    <n v="1700"/>
    <n v="20"/>
    <s v="Rahul Sharma"/>
    <n v="1700"/>
    <n v="340"/>
    <n v="1360"/>
    <s v="May-2023"/>
    <s v="Q2-2023"/>
    <s v="Sun"/>
    <s v="Low"/>
  </r>
  <r>
    <s v="ORD-0680"/>
    <d v="2023-05-21T00:00:00"/>
    <s v="CUST-6295"/>
    <s v="Arjun Nair"/>
    <s v="West"/>
    <s v="Ahmedabad"/>
    <x v="3"/>
    <s v="Amazon Fire HD"/>
    <n v="1"/>
    <n v="45400"/>
    <n v="0"/>
    <s v="Rohan Mehta"/>
    <n v="45400"/>
    <n v="0"/>
    <n v="45400"/>
    <s v="May-2023"/>
    <s v="Q2-2023"/>
    <s v="Sun"/>
    <s v="Low"/>
  </r>
  <r>
    <s v="ORD-0681"/>
    <d v="2023-06-21T00:00:00"/>
    <s v="CUST-5409"/>
    <s v="Akash Pillai"/>
    <s v="East"/>
    <s v="Ranchi"/>
    <x v="2"/>
    <s v="Mi Band 7"/>
    <n v="1"/>
    <n v="18900"/>
    <n v="0"/>
    <s v="Kavya Iyer"/>
    <n v="18900"/>
    <n v="0"/>
    <n v="18900"/>
    <s v="Jun-2023"/>
    <s v="Q2-2023"/>
    <s v="Wed"/>
    <s v="Low"/>
  </r>
  <r>
    <s v="ORD-0682"/>
    <d v="2023-06-21T00:00:00"/>
    <s v="CUST-3922"/>
    <s v="Sakshi Rathore"/>
    <s v="North"/>
    <s v="Chandigarh"/>
    <x v="3"/>
    <s v="iPad Air"/>
    <n v="1"/>
    <n v="28300"/>
    <n v="5"/>
    <s v="Sneha Reddy"/>
    <n v="28300"/>
    <n v="1415"/>
    <n v="26885"/>
    <s v="Jun-2023"/>
    <s v="Q2-2023"/>
    <s v="Wed"/>
    <s v="Low"/>
  </r>
  <r>
    <s v="ORD-0683"/>
    <d v="2023-07-21T00:00:00"/>
    <s v="CUST-4761"/>
    <s v="Rajesh Kumar"/>
    <s v="Central"/>
    <s v="Raipur"/>
    <x v="0"/>
    <s v="Samsung Galaxy S23"/>
    <n v="1"/>
    <n v="43200"/>
    <n v="10"/>
    <s v="Rohan Mehta"/>
    <n v="43200"/>
    <n v="4320"/>
    <n v="38880"/>
    <s v="Jul-2023"/>
    <s v="Q3-2023"/>
    <s v="Fri"/>
    <s v="Low"/>
  </r>
  <r>
    <s v="ORD-0684"/>
    <d v="2023-07-21T00:00:00"/>
    <s v="CUST-0354"/>
    <s v="Meera Chawla"/>
    <s v="Central"/>
    <s v="Bhopal"/>
    <x v="4"/>
    <s v="ASUS VivoBook"/>
    <n v="1"/>
    <n v="66300"/>
    <n v="0"/>
    <s v="Amit Kumar"/>
    <n v="66300"/>
    <n v="0"/>
    <n v="66300"/>
    <s v="Jul-2023"/>
    <s v="Q3-2023"/>
    <s v="Fri"/>
    <s v="Medium"/>
  </r>
  <r>
    <s v="ORD-0685"/>
    <d v="2023-08-21T00:00:00"/>
    <s v="CUST-0895"/>
    <s v="Nikhil Jain"/>
    <s v="West"/>
    <s v="Mumbai"/>
    <x v="4"/>
    <s v="ASUS VivoBook"/>
    <n v="2"/>
    <n v="64000"/>
    <n v="0"/>
    <s v="Kavya Iyer"/>
    <n v="128000"/>
    <n v="0"/>
    <n v="128000"/>
    <s v="Aug-2023"/>
    <s v="Q3-2023"/>
    <s v="Mon"/>
    <s v="High"/>
  </r>
  <r>
    <s v="ORD-0686"/>
    <d v="2023-08-21T00:00:00"/>
    <s v="CUST-4761"/>
    <s v="Rajesh Kumar"/>
    <s v="West"/>
    <s v="Surat"/>
    <x v="4"/>
    <s v="Acer Aspire"/>
    <n v="1"/>
    <n v="80000"/>
    <n v="25"/>
    <s v="Sneha Reddy"/>
    <n v="80000"/>
    <n v="20000"/>
    <n v="60000"/>
    <s v="Aug-2023"/>
    <s v="Q3-2023"/>
    <s v="Mon"/>
    <s v="Medium"/>
  </r>
  <r>
    <s v="ORD-0687"/>
    <d v="2023-08-21T00:00:00"/>
    <s v="CUST-5055"/>
    <s v="Riya Malhotra"/>
    <s v="North"/>
    <s v="Delhi"/>
    <x v="3"/>
    <s v="iPad Air"/>
    <n v="1"/>
    <n v="45300"/>
    <n v="20"/>
    <s v="Vikram Singh"/>
    <n v="45300"/>
    <n v="9060"/>
    <n v="36240"/>
    <s v="Aug-2023"/>
    <s v="Q3-2023"/>
    <s v="Mon"/>
    <s v="Low"/>
  </r>
  <r>
    <s v="ORD-0688"/>
    <d v="2023-08-21T00:00:00"/>
    <s v="CUST-0354"/>
    <s v="Meera Chawla"/>
    <s v="West"/>
    <s v="Pune"/>
    <x v="1"/>
    <s v="Mechanical Keyboard"/>
    <n v="2"/>
    <n v="900"/>
    <n v="10"/>
    <s v="Rahul Sharma"/>
    <n v="1800"/>
    <n v="180"/>
    <n v="1620"/>
    <s v="Aug-2023"/>
    <s v="Q3-2023"/>
    <s v="Mon"/>
    <s v="Low"/>
  </r>
  <r>
    <s v="ORD-0689"/>
    <d v="2023-08-21T00:00:00"/>
    <s v="CUST-8185"/>
    <s v="Rohan Mehta"/>
    <s v="East"/>
    <s v="Patna"/>
    <x v="2"/>
    <s v="Mi Band 7"/>
    <n v="1"/>
    <n v="18700"/>
    <n v="10"/>
    <s v="Sneha Reddy"/>
    <n v="18700"/>
    <n v="1870"/>
    <n v="16830"/>
    <s v="Aug-2023"/>
    <s v="Q3-2023"/>
    <s v="Mon"/>
    <s v="Low"/>
  </r>
  <r>
    <s v="ORD-0690"/>
    <d v="2023-08-21T00:00:00"/>
    <s v="CUST-4761"/>
    <s v="Rajesh Kumar"/>
    <s v="North"/>
    <s v="Delhi"/>
    <x v="0"/>
    <s v="Xiaomi 13"/>
    <n v="1"/>
    <n v="33700"/>
    <n v="0"/>
    <s v="Rohan Mehta"/>
    <n v="33700"/>
    <n v="0"/>
    <n v="33700"/>
    <s v="Aug-2023"/>
    <s v="Q3-2023"/>
    <s v="Mon"/>
    <s v="Low"/>
  </r>
  <r>
    <s v="ORD-0691"/>
    <d v="2023-08-21T00:00:00"/>
    <s v="CUST-5060"/>
    <s v="Gaurav Bhatt"/>
    <s v="North"/>
    <s v="Delhi"/>
    <x v="0"/>
    <s v="Xiaomi 13"/>
    <n v="1"/>
    <n v="41000"/>
    <n v="10"/>
    <s v="Kavya Iyer"/>
    <n v="41000"/>
    <n v="4100"/>
    <n v="36900"/>
    <s v="Aug-2023"/>
    <s v="Q3-2023"/>
    <s v="Mon"/>
    <s v="Low"/>
  </r>
  <r>
    <s v="ORD-0692"/>
    <d v="2023-08-21T00:00:00"/>
    <s v="CUST-5055"/>
    <s v="Riya Malhotra"/>
    <s v="East"/>
    <s v="Bhubaneswar"/>
    <x v="3"/>
    <s v="Lenovo Tab P11"/>
    <n v="1"/>
    <n v="37400"/>
    <n v="5"/>
    <s v="Priya Patel"/>
    <n v="37400"/>
    <n v="1870"/>
    <n v="35530"/>
    <s v="Aug-2023"/>
    <s v="Q3-2023"/>
    <s v="Mon"/>
    <s v="Low"/>
  </r>
  <r>
    <s v="ORD-0693"/>
    <d v="2023-09-21T00:00:00"/>
    <s v="CUST-6295"/>
    <s v="Arjun Nair"/>
    <s v="North"/>
    <s v="Jaipur"/>
    <x v="1"/>
    <s v="Wireless Mouse"/>
    <n v="2"/>
    <n v="700"/>
    <n v="5"/>
    <s v="Amit Kumar"/>
    <n v="1400"/>
    <n v="70"/>
    <n v="1330"/>
    <s v="Sep-2023"/>
    <s v="Q3-2023"/>
    <s v="Thu"/>
    <s v="Low"/>
  </r>
  <r>
    <s v="ORD-0694"/>
    <d v="2023-09-21T00:00:00"/>
    <s v="CUST-7724"/>
    <s v="Anjali Gupta"/>
    <s v="West"/>
    <s v="Surat"/>
    <x v="3"/>
    <s v="Amazon Fire HD"/>
    <n v="1"/>
    <n v="26900"/>
    <n v="0"/>
    <s v="Rohan Mehta"/>
    <n v="26900"/>
    <n v="0"/>
    <n v="26900"/>
    <s v="Sep-2023"/>
    <s v="Q3-2023"/>
    <s v="Thu"/>
    <s v="Low"/>
  </r>
  <r>
    <s v="ORD-0695"/>
    <d v="2023-09-21T00:00:00"/>
    <s v="CUST-7808"/>
    <s v="Varun Chopra"/>
    <s v="West"/>
    <s v="Surat"/>
    <x v="3"/>
    <s v="iPad Air"/>
    <n v="1"/>
    <n v="40100"/>
    <n v="5"/>
    <s v="Anjali Gupta"/>
    <n v="40100"/>
    <n v="2005"/>
    <n v="38095"/>
    <s v="Sep-2023"/>
    <s v="Q3-2023"/>
    <s v="Thu"/>
    <s v="Low"/>
  </r>
  <r>
    <s v="ORD-0696"/>
    <d v="2023-09-21T00:00:00"/>
    <s v="CUST-7270"/>
    <s v="Yash Dhawan"/>
    <s v="West"/>
    <s v="Surat"/>
    <x v="1"/>
    <s v="Laptop Bag"/>
    <n v="2"/>
    <n v="1300"/>
    <n v="0"/>
    <s v="Sneha Reddy"/>
    <n v="2600"/>
    <n v="0"/>
    <n v="2600"/>
    <s v="Sep-2023"/>
    <s v="Q3-2023"/>
    <s v="Thu"/>
    <s v="Low"/>
  </r>
  <r>
    <s v="ORD-0697"/>
    <d v="2023-10-21T00:00:00"/>
    <s v="CUST-8185"/>
    <s v="Rohan Mehta"/>
    <s v="West"/>
    <s v="Pune"/>
    <x v="4"/>
    <s v="Acer Aspire"/>
    <n v="2"/>
    <n v="67900"/>
    <n v="0"/>
    <s v="Vikram Singh"/>
    <n v="135800"/>
    <n v="0"/>
    <n v="135800"/>
    <s v="Oct-2023"/>
    <s v="Q4-2023"/>
    <s v="Sat"/>
    <s v="High"/>
  </r>
  <r>
    <s v="ORD-0698"/>
    <d v="2023-10-21T00:00:00"/>
    <s v="CUST-0018"/>
    <s v="Tanvi Kulkarni"/>
    <s v="South"/>
    <s v="Chennai"/>
    <x v="4"/>
    <s v="Lenovo ThinkPad"/>
    <n v="1"/>
    <n v="74100"/>
    <n v="25"/>
    <s v="Kavya Iyer"/>
    <n v="74100"/>
    <n v="18525"/>
    <n v="55575"/>
    <s v="Oct-2023"/>
    <s v="Q4-2023"/>
    <s v="Sat"/>
    <s v="Medium"/>
  </r>
  <r>
    <s v="ORD-0699"/>
    <d v="2023-10-21T00:00:00"/>
    <s v="CUST-4064"/>
    <s v="Nisha Ghosh"/>
    <s v="West"/>
    <s v="Surat"/>
    <x v="1"/>
    <s v="Wireless Mouse"/>
    <n v="3"/>
    <n v="1100"/>
    <n v="10"/>
    <s v="Amit Kumar"/>
    <n v="3300"/>
    <n v="330"/>
    <n v="2970"/>
    <s v="Oct-2023"/>
    <s v="Q4-2023"/>
    <s v="Sat"/>
    <s v="Low"/>
  </r>
  <r>
    <s v="ORD-0700"/>
    <d v="2023-10-21T00:00:00"/>
    <s v="CUST-4816"/>
    <s v="Amit Patel"/>
    <s v="South"/>
    <s v="Kochi"/>
    <x v="3"/>
    <s v="iPad Air"/>
    <n v="1"/>
    <n v="22900"/>
    <n v="15"/>
    <s v="Amit Kumar"/>
    <n v="22900"/>
    <n v="3435"/>
    <n v="19465"/>
    <s v="Oct-2023"/>
    <s v="Q4-2023"/>
    <s v="Sat"/>
    <s v="Low"/>
  </r>
  <r>
    <s v="ORD-0701"/>
    <d v="2023-10-21T00:00:00"/>
    <s v="CUST-4816"/>
    <s v="Amit Patel"/>
    <s v="South"/>
    <s v="Kochi"/>
    <x v="3"/>
    <s v="iPad Air"/>
    <n v="1"/>
    <n v="35300"/>
    <n v="10"/>
    <s v="Amit Kumar"/>
    <n v="35300"/>
    <n v="3530"/>
    <n v="31770"/>
    <s v="Oct-2023"/>
    <s v="Q4-2023"/>
    <s v="Sat"/>
    <s v="Low"/>
  </r>
  <r>
    <s v="ORD-0702"/>
    <d v="2023-10-21T00:00:00"/>
    <s v="CUST-4295"/>
    <s v="Manish Arora"/>
    <s v="Central"/>
    <s v="Indore"/>
    <x v="0"/>
    <s v="Realme GT"/>
    <n v="2"/>
    <n v="48900"/>
    <n v="0"/>
    <s v="Amit Kumar"/>
    <n v="97800"/>
    <n v="0"/>
    <n v="97800"/>
    <s v="Oct-2023"/>
    <s v="Q4-2023"/>
    <s v="Sat"/>
    <s v="Medium"/>
  </r>
  <r>
    <s v="ORD-0703"/>
    <d v="2023-11-21T00:00:00"/>
    <s v="CUST-1661"/>
    <s v="Harsh Sinha"/>
    <s v="East"/>
    <s v="Bhubaneswar"/>
    <x v="3"/>
    <s v="Samsung Tab S8"/>
    <n v="1"/>
    <n v="29200"/>
    <n v="10"/>
    <s v="Priya Patel"/>
    <n v="29200"/>
    <n v="2920"/>
    <n v="26280"/>
    <s v="Nov-2023"/>
    <s v="Q4-2023"/>
    <s v="Tue"/>
    <s v="Low"/>
  </r>
  <r>
    <s v="ORD-0704"/>
    <d v="2023-12-21T00:00:00"/>
    <s v="CUST-1540"/>
    <s v="Simran Kaur"/>
    <s v="West"/>
    <s v="Pune"/>
    <x v="0"/>
    <s v="OnePlus Nord"/>
    <n v="1"/>
    <n v="34600"/>
    <n v="5"/>
    <s v="Priya Patel"/>
    <n v="34600"/>
    <n v="1730"/>
    <n v="32870"/>
    <s v="Dec-2023"/>
    <s v="Q4-2023"/>
    <s v="Thu"/>
    <s v="Low"/>
  </r>
  <r>
    <s v="ORD-0705"/>
    <d v="2023-01-22T00:00:00"/>
    <s v="CUST-8905"/>
    <s v="Rahul Kapoor"/>
    <s v="East"/>
    <s v="Patna"/>
    <x v="1"/>
    <s v="Webcam"/>
    <n v="2"/>
    <n v="2300"/>
    <n v="15"/>
    <s v="Rahul Sharma"/>
    <n v="4600"/>
    <n v="690"/>
    <n v="3910"/>
    <s v="Jan-2023"/>
    <s v="Q1-2023"/>
    <s v="Sun"/>
    <s v="Low"/>
  </r>
  <r>
    <s v="ORD-0706"/>
    <d v="2023-02-22T00:00:00"/>
    <s v="CUST-8923"/>
    <s v="Pooja Desai"/>
    <s v="Central"/>
    <s v="Nagpur"/>
    <x v="4"/>
    <s v="Acer Aspire"/>
    <n v="1"/>
    <n v="51300"/>
    <n v="5"/>
    <s v="Anjali Gupta"/>
    <n v="51300"/>
    <n v="2565"/>
    <n v="48735"/>
    <s v="Feb-2023"/>
    <s v="Q1-2023"/>
    <s v="Wed"/>
    <s v="Low"/>
  </r>
  <r>
    <s v="ORD-0707"/>
    <d v="2023-02-22T00:00:00"/>
    <s v="CUST-8905"/>
    <s v="Rahul Kapoor"/>
    <s v="East"/>
    <s v="Patna"/>
    <x v="0"/>
    <s v="Xiaomi 13"/>
    <n v="1"/>
    <n v="60000"/>
    <n v="0"/>
    <s v="Priya Patel"/>
    <n v="60000"/>
    <n v="0"/>
    <n v="60000"/>
    <s v="Feb-2023"/>
    <s v="Q1-2023"/>
    <s v="Wed"/>
    <s v="Medium"/>
  </r>
  <r>
    <s v="ORD-0708"/>
    <d v="2023-02-22T00:00:00"/>
    <s v="CUST-7693"/>
    <s v="Sameer Dutta"/>
    <s v="North"/>
    <s v="Delhi"/>
    <x v="3"/>
    <s v="iPad Air"/>
    <n v="1"/>
    <n v="26700"/>
    <n v="25"/>
    <s v="Anjali Gupta"/>
    <n v="26700"/>
    <n v="6675"/>
    <n v="20025"/>
    <s v="Feb-2023"/>
    <s v="Q1-2023"/>
    <s v="Wed"/>
    <s v="Low"/>
  </r>
  <r>
    <s v="ORD-0709"/>
    <d v="2023-03-22T00:00:00"/>
    <s v="CUST-7808"/>
    <s v="Varun Chopra"/>
    <s v="North"/>
    <s v="Chandigarh"/>
    <x v="1"/>
    <s v="Webcam"/>
    <n v="2"/>
    <n v="2100"/>
    <n v="15"/>
    <s v="Rahul Sharma"/>
    <n v="4200"/>
    <n v="630"/>
    <n v="3570"/>
    <s v="Mar-2023"/>
    <s v="Q1-2023"/>
    <s v="Wed"/>
    <s v="Low"/>
  </r>
  <r>
    <s v="ORD-0710"/>
    <d v="2023-03-22T00:00:00"/>
    <s v="CUST-5409"/>
    <s v="Akash Pillai"/>
    <s v="East"/>
    <s v="Kolkata"/>
    <x v="2"/>
    <s v="Apple Watch Series 8"/>
    <n v="1"/>
    <n v="14500"/>
    <n v="5"/>
    <s v="Rahul Sharma"/>
    <n v="14500"/>
    <n v="725"/>
    <n v="13775"/>
    <s v="Mar-2023"/>
    <s v="Q1-2023"/>
    <s v="Wed"/>
    <s v="Low"/>
  </r>
  <r>
    <s v="ORD-0711"/>
    <d v="2023-04-22T00:00:00"/>
    <s v="CUST-9929"/>
    <s v="Kunal Dixit"/>
    <s v="South"/>
    <s v="Bangalore"/>
    <x v="2"/>
    <s v="Fitbit Versa 4"/>
    <n v="1"/>
    <n v="21000"/>
    <n v="20"/>
    <s v="Sneha Reddy"/>
    <n v="21000"/>
    <n v="4200"/>
    <n v="16800"/>
    <s v="Apr-2023"/>
    <s v="Q2-2023"/>
    <s v="Sat"/>
    <s v="Low"/>
  </r>
  <r>
    <s v="ORD-0712"/>
    <d v="2023-04-22T00:00:00"/>
    <s v="CUST-4767"/>
    <s v="Sanjay Joshi"/>
    <s v="Central"/>
    <s v="Nagpur"/>
    <x v="0"/>
    <s v="iPhone 14"/>
    <n v="1"/>
    <n v="40600"/>
    <n v="15"/>
    <s v="Sneha Reddy"/>
    <n v="40600"/>
    <n v="6090"/>
    <n v="34510"/>
    <s v="Apr-2023"/>
    <s v="Q2-2023"/>
    <s v="Sat"/>
    <s v="Low"/>
  </r>
  <r>
    <s v="ORD-0713"/>
    <d v="2023-04-22T00:00:00"/>
    <s v="CUST-1661"/>
    <s v="Harsh Sinha"/>
    <s v="North"/>
    <s v="Delhi"/>
    <x v="0"/>
    <s v="Samsung Galaxy S23"/>
    <n v="2"/>
    <n v="36400"/>
    <n v="25"/>
    <s v="Anjali Gupta"/>
    <n v="72800"/>
    <n v="18200"/>
    <n v="54600"/>
    <s v="Apr-2023"/>
    <s v="Q2-2023"/>
    <s v="Sat"/>
    <s v="Medium"/>
  </r>
  <r>
    <s v="ORD-0714"/>
    <d v="2023-04-22T00:00:00"/>
    <s v="CUST-4414"/>
    <s v="Vikram Reddy"/>
    <s v="Central"/>
    <s v="Bhopal"/>
    <x v="4"/>
    <s v="ASUS VivoBook"/>
    <n v="1"/>
    <n v="46200"/>
    <n v="10"/>
    <s v="Rahul Sharma"/>
    <n v="46200"/>
    <n v="4620"/>
    <n v="41580"/>
    <s v="Apr-2023"/>
    <s v="Q2-2023"/>
    <s v="Sat"/>
    <s v="Low"/>
  </r>
  <r>
    <s v="ORD-0715"/>
    <d v="2023-04-22T00:00:00"/>
    <s v="CUST-4816"/>
    <s v="Amit Patel"/>
    <s v="Central"/>
    <s v="Bhopal"/>
    <x v="1"/>
    <s v="USB-C Cable"/>
    <n v="2"/>
    <n v="800"/>
    <n v="0"/>
    <s v="Priya Patel"/>
    <n v="1600"/>
    <n v="0"/>
    <n v="1600"/>
    <s v="Apr-2023"/>
    <s v="Q2-2023"/>
    <s v="Sat"/>
    <s v="Low"/>
  </r>
  <r>
    <s v="ORD-0716"/>
    <d v="2023-05-22T00:00:00"/>
    <s v="CUST-4767"/>
    <s v="Sanjay Joshi"/>
    <s v="West"/>
    <s v="Ahmedabad"/>
    <x v="1"/>
    <s v="Laptop Bag"/>
    <n v="2"/>
    <n v="2600"/>
    <n v="25"/>
    <s v="Rahul Sharma"/>
    <n v="5200"/>
    <n v="1300"/>
    <n v="3900"/>
    <s v="May-2023"/>
    <s v="Q2-2023"/>
    <s v="Mon"/>
    <s v="Low"/>
  </r>
  <r>
    <s v="ORD-0717"/>
    <d v="2023-05-22T00:00:00"/>
    <s v="CUST-2243"/>
    <s v="Divya Shah"/>
    <s v="East"/>
    <s v="Patna"/>
    <x v="3"/>
    <s v="Lenovo Tab P11"/>
    <n v="1"/>
    <n v="37600"/>
    <n v="5"/>
    <s v="Sneha Reddy"/>
    <n v="37600"/>
    <n v="1880"/>
    <n v="35720"/>
    <s v="May-2023"/>
    <s v="Q2-2023"/>
    <s v="Mon"/>
    <s v="Low"/>
  </r>
  <r>
    <s v="ORD-0718"/>
    <d v="2023-05-22T00:00:00"/>
    <s v="CUST-4816"/>
    <s v="Amit Patel"/>
    <s v="Central"/>
    <s v="Bhopal"/>
    <x v="1"/>
    <s v="Mechanical Keyboard"/>
    <n v="2"/>
    <n v="1700"/>
    <n v="0"/>
    <s v="Kavya Iyer"/>
    <n v="3400"/>
    <n v="0"/>
    <n v="3400"/>
    <s v="May-2023"/>
    <s v="Q2-2023"/>
    <s v="Mon"/>
    <s v="Low"/>
  </r>
  <r>
    <s v="ORD-0719"/>
    <d v="2023-06-22T00:00:00"/>
    <s v="CUST-8923"/>
    <s v="Pooja Desai"/>
    <s v="North"/>
    <s v="Chandigarh"/>
    <x v="3"/>
    <s v="Samsung Tab S8"/>
    <n v="1"/>
    <n v="29300"/>
    <n v="15"/>
    <s v="Anjali Gupta"/>
    <n v="29300"/>
    <n v="4395"/>
    <n v="24905"/>
    <s v="Jun-2023"/>
    <s v="Q2-2023"/>
    <s v="Thu"/>
    <s v="Low"/>
  </r>
  <r>
    <s v="ORD-0720"/>
    <d v="2023-06-22T00:00:00"/>
    <s v="CUST-9969"/>
    <s v="Ritika Menon"/>
    <s v="East"/>
    <s v="Patna"/>
    <x v="0"/>
    <s v="iPhone 14"/>
    <n v="1"/>
    <n v="33100"/>
    <n v="10"/>
    <s v="Anjali Gupta"/>
    <n v="33100"/>
    <n v="3310"/>
    <n v="29790"/>
    <s v="Jun-2023"/>
    <s v="Q2-2023"/>
    <s v="Thu"/>
    <s v="Low"/>
  </r>
  <r>
    <s v="ORD-0721"/>
    <d v="2023-06-22T00:00:00"/>
    <s v="CUST-8905"/>
    <s v="Rahul Kapoor"/>
    <s v="East"/>
    <s v="Patna"/>
    <x v="3"/>
    <s v="Amazon Fire HD"/>
    <n v="1"/>
    <n v="29700"/>
    <n v="0"/>
    <s v="Amit Kumar"/>
    <n v="29700"/>
    <n v="0"/>
    <n v="29700"/>
    <s v="Jun-2023"/>
    <s v="Q2-2023"/>
    <s v="Thu"/>
    <s v="Low"/>
  </r>
  <r>
    <s v="ORD-0722"/>
    <d v="2023-07-22T00:00:00"/>
    <s v="CUST-4414"/>
    <s v="Vikram Reddy"/>
    <s v="Central"/>
    <s v="Indore"/>
    <x v="2"/>
    <s v="Fitbit Versa 4"/>
    <n v="1"/>
    <n v="21200"/>
    <n v="5"/>
    <s v="Vikram Singh"/>
    <n v="21200"/>
    <n v="1060"/>
    <n v="20140"/>
    <s v="Jul-2023"/>
    <s v="Q3-2023"/>
    <s v="Sat"/>
    <s v="Low"/>
  </r>
  <r>
    <s v="ORD-0723"/>
    <d v="2023-07-22T00:00:00"/>
    <s v="CUST-2055"/>
    <s v="Shreya Pandey"/>
    <s v="East"/>
    <s v="Bhubaneswar"/>
    <x v="4"/>
    <s v="ASUS VivoBook"/>
    <n v="2"/>
    <n v="46000"/>
    <n v="5"/>
    <s v="Rahul Sharma"/>
    <n v="92000"/>
    <n v="4600"/>
    <n v="87400"/>
    <s v="Jul-2023"/>
    <s v="Q3-2023"/>
    <s v="Sat"/>
    <s v="Medium"/>
  </r>
  <r>
    <s v="ORD-0724"/>
    <d v="2023-08-22T00:00:00"/>
    <s v="CUST-9969"/>
    <s v="Ritika Menon"/>
    <s v="Central"/>
    <s v="Nagpur"/>
    <x v="1"/>
    <s v="Mechanical Keyboard"/>
    <n v="2"/>
    <n v="2000"/>
    <n v="10"/>
    <s v="Anjali Gupta"/>
    <n v="4000"/>
    <n v="400"/>
    <n v="3600"/>
    <s v="Aug-2023"/>
    <s v="Q3-2023"/>
    <s v="Tue"/>
    <s v="Low"/>
  </r>
  <r>
    <s v="ORD-0725"/>
    <d v="2023-08-22T00:00:00"/>
    <s v="CUST-8995"/>
    <s v="Mohit Saxena"/>
    <s v="Central"/>
    <s v="Nagpur"/>
    <x v="4"/>
    <s v="Dell Inspiron"/>
    <n v="1"/>
    <n v="43700"/>
    <n v="5"/>
    <s v="Anjali Gupta"/>
    <n v="43700"/>
    <n v="2185"/>
    <n v="41515"/>
    <s v="Aug-2023"/>
    <s v="Q3-2023"/>
    <s v="Tue"/>
    <s v="Low"/>
  </r>
  <r>
    <s v="ORD-0726"/>
    <d v="2023-08-22T00:00:00"/>
    <s v="CUST-1540"/>
    <s v="Simran Kaur"/>
    <s v="West"/>
    <s v="Pune"/>
    <x v="1"/>
    <s v="Laptop Bag"/>
    <n v="3"/>
    <n v="900"/>
    <n v="10"/>
    <s v="Amit Kumar"/>
    <n v="2700"/>
    <n v="270"/>
    <n v="2430"/>
    <s v="Aug-2023"/>
    <s v="Q3-2023"/>
    <s v="Tue"/>
    <s v="Low"/>
  </r>
  <r>
    <s v="ORD-0727"/>
    <d v="2023-09-22T00:00:00"/>
    <s v="CUST-2917"/>
    <s v="Ishita Bansal"/>
    <s v="North"/>
    <s v="Chandigarh"/>
    <x v="4"/>
    <s v="ASUS VivoBook"/>
    <n v="1"/>
    <n v="51700"/>
    <n v="5"/>
    <s v="Anjali Gupta"/>
    <n v="51700"/>
    <n v="2585"/>
    <n v="49115"/>
    <s v="Sep-2023"/>
    <s v="Q3-2023"/>
    <s v="Fri"/>
    <s v="Low"/>
  </r>
  <r>
    <s v="ORD-0728"/>
    <d v="2023-09-22T00:00:00"/>
    <s v="CUST-0895"/>
    <s v="Nikhil Jain"/>
    <s v="East"/>
    <s v="Ranchi"/>
    <x v="0"/>
    <s v="Realme GT"/>
    <n v="1"/>
    <n v="37700"/>
    <n v="10"/>
    <s v="Anjali Gupta"/>
    <n v="37700"/>
    <n v="3770"/>
    <n v="33930"/>
    <s v="Sep-2023"/>
    <s v="Q3-2023"/>
    <s v="Fri"/>
    <s v="Low"/>
  </r>
  <r>
    <s v="ORD-0729"/>
    <d v="2023-09-22T00:00:00"/>
    <s v="CUST-6295"/>
    <s v="Arjun Nair"/>
    <s v="South"/>
    <s v="Kochi"/>
    <x v="3"/>
    <s v="Amazon Fire HD"/>
    <n v="1"/>
    <n v="38400"/>
    <n v="15"/>
    <s v="Vikram Singh"/>
    <n v="38400"/>
    <n v="5760"/>
    <n v="32640"/>
    <s v="Sep-2023"/>
    <s v="Q3-2023"/>
    <s v="Fri"/>
    <s v="Low"/>
  </r>
  <r>
    <s v="ORD-0730"/>
    <d v="2023-09-22T00:00:00"/>
    <s v="CUST-7724"/>
    <s v="Anjali Gupta"/>
    <s v="Central"/>
    <s v="Bhopal"/>
    <x v="3"/>
    <s v="Samsung Tab S8"/>
    <n v="1"/>
    <n v="41700"/>
    <n v="5"/>
    <s v="Rohan Mehta"/>
    <n v="41700"/>
    <n v="2085"/>
    <n v="39615"/>
    <s v="Sep-2023"/>
    <s v="Q3-2023"/>
    <s v="Fri"/>
    <s v="Low"/>
  </r>
  <r>
    <s v="ORD-0731"/>
    <d v="2023-10-22T00:00:00"/>
    <s v="CUST-8923"/>
    <s v="Pooja Desai"/>
    <s v="South"/>
    <s v="Kochi"/>
    <x v="3"/>
    <s v="Lenovo Tab P11"/>
    <n v="1"/>
    <n v="41100"/>
    <n v="0"/>
    <s v="Rahul Sharma"/>
    <n v="41100"/>
    <n v="0"/>
    <n v="41100"/>
    <s v="Oct-2023"/>
    <s v="Q4-2023"/>
    <s v="Sun"/>
    <s v="Low"/>
  </r>
  <r>
    <s v="ORD-0732"/>
    <d v="2023-10-22T00:00:00"/>
    <s v="CUST-4761"/>
    <s v="Rajesh Kumar"/>
    <s v="East"/>
    <s v="Patna"/>
    <x v="4"/>
    <s v="ASUS VivoBook"/>
    <n v="1"/>
    <n v="46000"/>
    <n v="5"/>
    <s v="Rahul Sharma"/>
    <n v="46000"/>
    <n v="2300"/>
    <n v="43700"/>
    <s v="Oct-2023"/>
    <s v="Q4-2023"/>
    <s v="Sun"/>
    <s v="Low"/>
  </r>
  <r>
    <s v="ORD-0733"/>
    <d v="2023-10-22T00:00:00"/>
    <s v="CUST-9965"/>
    <s v="Neha Agarwal"/>
    <s v="West"/>
    <s v="Surat"/>
    <x v="0"/>
    <s v="Xiaomi 13"/>
    <n v="1"/>
    <n v="36400"/>
    <n v="20"/>
    <s v="Amit Kumar"/>
    <n v="36400"/>
    <n v="7280"/>
    <n v="29120"/>
    <s v="Oct-2023"/>
    <s v="Q4-2023"/>
    <s v="Sun"/>
    <s v="Low"/>
  </r>
  <r>
    <s v="ORD-0734"/>
    <d v="2023-11-22T00:00:00"/>
    <s v="CUST-4414"/>
    <s v="Vikram Reddy"/>
    <s v="West"/>
    <s v="Ahmedabad"/>
    <x v="3"/>
    <s v="iPad Air"/>
    <n v="1"/>
    <n v="35500"/>
    <n v="10"/>
    <s v="Anjali Gupta"/>
    <n v="35500"/>
    <n v="3550"/>
    <n v="31950"/>
    <s v="Nov-2023"/>
    <s v="Q4-2023"/>
    <s v="Wed"/>
    <s v="Low"/>
  </r>
  <r>
    <s v="ORD-0735"/>
    <d v="2023-12-22T00:00:00"/>
    <s v="CUST-4064"/>
    <s v="Nisha Ghosh"/>
    <s v="Central"/>
    <s v="Indore"/>
    <x v="2"/>
    <s v="Samsung Galaxy Watch"/>
    <n v="1"/>
    <n v="29100"/>
    <n v="10"/>
    <s v="Amit Kumar"/>
    <n v="29100"/>
    <n v="2910"/>
    <n v="26190"/>
    <s v="Dec-2023"/>
    <s v="Q4-2023"/>
    <s v="Fri"/>
    <s v="Low"/>
  </r>
  <r>
    <s v="ORD-0736"/>
    <d v="2023-12-22T00:00:00"/>
    <s v="CUST-4761"/>
    <s v="Rajesh Kumar"/>
    <s v="East"/>
    <s v="Ranchi"/>
    <x v="1"/>
    <s v="USB-C Cable"/>
    <n v="3"/>
    <n v="2400"/>
    <n v="25"/>
    <s v="Priya Patel"/>
    <n v="7200"/>
    <n v="1800"/>
    <n v="5400"/>
    <s v="Dec-2023"/>
    <s v="Q4-2023"/>
    <s v="Fri"/>
    <s v="Low"/>
  </r>
  <r>
    <s v="ORD-0737"/>
    <d v="2023-12-22T00:00:00"/>
    <s v="CUST-4945"/>
    <s v="Ananya Bose"/>
    <s v="West"/>
    <s v="Pune"/>
    <x v="3"/>
    <s v="Amazon Fire HD"/>
    <n v="1"/>
    <n v="43200"/>
    <n v="5"/>
    <s v="Anjali Gupta"/>
    <n v="43200"/>
    <n v="2160"/>
    <n v="41040"/>
    <s v="Dec-2023"/>
    <s v="Q4-2023"/>
    <s v="Fri"/>
    <s v="Low"/>
  </r>
  <r>
    <s v="ORD-0738"/>
    <d v="2023-01-23T00:00:00"/>
    <s v="CUST-2243"/>
    <s v="Divya Shah"/>
    <s v="South"/>
    <s v="Hyderabad"/>
    <x v="2"/>
    <s v="Fitbit Versa 4"/>
    <n v="1"/>
    <n v="18400"/>
    <n v="0"/>
    <s v="Amit Kumar"/>
    <n v="18400"/>
    <n v="0"/>
    <n v="18400"/>
    <s v="Jan-2023"/>
    <s v="Q1-2023"/>
    <s v="Mon"/>
    <s v="Low"/>
  </r>
  <r>
    <s v="ORD-0739"/>
    <d v="2023-01-23T00:00:00"/>
    <s v="CUST-1661"/>
    <s v="Harsh Sinha"/>
    <s v="North"/>
    <s v="Jaipur"/>
    <x v="4"/>
    <s v="ASUS VivoBook"/>
    <n v="1"/>
    <n v="69300"/>
    <n v="10"/>
    <s v="Amit Kumar"/>
    <n v="69300"/>
    <n v="6930"/>
    <n v="62370"/>
    <s v="Jan-2023"/>
    <s v="Q1-2023"/>
    <s v="Mon"/>
    <s v="Medium"/>
  </r>
  <r>
    <s v="ORD-0740"/>
    <d v="2023-01-23T00:00:00"/>
    <s v="CUST-8593"/>
    <s v="Sneha Sharma"/>
    <s v="Central"/>
    <s v="Raipur"/>
    <x v="3"/>
    <s v="Samsung Tab S8"/>
    <n v="1"/>
    <n v="45300"/>
    <n v="5"/>
    <s v="Vikram Singh"/>
    <n v="45300"/>
    <n v="2265"/>
    <n v="43035"/>
    <s v="Jan-2023"/>
    <s v="Q1-2023"/>
    <s v="Mon"/>
    <s v="Low"/>
  </r>
  <r>
    <s v="ORD-0741"/>
    <d v="2023-01-23T00:00:00"/>
    <s v="CUST-6126"/>
    <s v="Siddharth Tiwari"/>
    <s v="North"/>
    <s v="Lucknow"/>
    <x v="0"/>
    <s v="OnePlus Nord"/>
    <n v="1"/>
    <n v="41200"/>
    <n v="0"/>
    <s v="Rohan Mehta"/>
    <n v="41200"/>
    <n v="0"/>
    <n v="41200"/>
    <s v="Jan-2023"/>
    <s v="Q1-2023"/>
    <s v="Mon"/>
    <s v="Low"/>
  </r>
  <r>
    <s v="ORD-0742"/>
    <d v="2023-02-23T00:00:00"/>
    <s v="CUST-0018"/>
    <s v="Tanvi Kulkarni"/>
    <s v="South"/>
    <s v="Chennai"/>
    <x v="2"/>
    <s v="Mi Band 7"/>
    <n v="1"/>
    <n v="29900"/>
    <n v="20"/>
    <s v="Amit Kumar"/>
    <n v="29900"/>
    <n v="5980"/>
    <n v="23920"/>
    <s v="Feb-2023"/>
    <s v="Q1-2023"/>
    <s v="Thu"/>
    <s v="Low"/>
  </r>
  <r>
    <s v="ORD-0743"/>
    <d v="2023-03-23T00:00:00"/>
    <s v="CUST-6126"/>
    <s v="Siddharth Tiwari"/>
    <s v="North"/>
    <s v="Chandigarh"/>
    <x v="2"/>
    <s v="Mi Band 7"/>
    <n v="2"/>
    <n v="18200"/>
    <n v="25"/>
    <s v="Amit Kumar"/>
    <n v="36400"/>
    <n v="9100"/>
    <n v="27300"/>
    <s v="Mar-2023"/>
    <s v="Q1-2023"/>
    <s v="Thu"/>
    <s v="Low"/>
  </r>
  <r>
    <s v="ORD-0744"/>
    <d v="2023-04-23T00:00:00"/>
    <s v="CUST-7808"/>
    <s v="Varun Chopra"/>
    <s v="East"/>
    <s v="Kolkata"/>
    <x v="3"/>
    <s v="Samsung Tab S8"/>
    <n v="1"/>
    <n v="34600"/>
    <n v="20"/>
    <s v="Amit Kumar"/>
    <n v="34600"/>
    <n v="6920"/>
    <n v="27680"/>
    <s v="Apr-2023"/>
    <s v="Q2-2023"/>
    <s v="Sun"/>
    <s v="Low"/>
  </r>
  <r>
    <s v="ORD-0745"/>
    <d v="2023-04-23T00:00:00"/>
    <s v="CUST-1540"/>
    <s v="Simran Kaur"/>
    <s v="Central"/>
    <s v="Raipur"/>
    <x v="3"/>
    <s v="Samsung Tab S8"/>
    <n v="1"/>
    <n v="43900"/>
    <n v="0"/>
    <s v="Anjali Gupta"/>
    <n v="43900"/>
    <n v="0"/>
    <n v="43900"/>
    <s v="Apr-2023"/>
    <s v="Q2-2023"/>
    <s v="Sun"/>
    <s v="Low"/>
  </r>
  <r>
    <s v="ORD-0746"/>
    <d v="2023-05-23T00:00:00"/>
    <s v="CUST-5369"/>
    <s v="Aditya Rao"/>
    <s v="East"/>
    <s v="Bhubaneswar"/>
    <x v="2"/>
    <s v="Samsung Galaxy Watch"/>
    <n v="1"/>
    <n v="22300"/>
    <n v="5"/>
    <s v="Rahul Sharma"/>
    <n v="22300"/>
    <n v="1115"/>
    <n v="21185"/>
    <s v="May-2023"/>
    <s v="Q2-2023"/>
    <s v="Tue"/>
    <s v="Low"/>
  </r>
  <r>
    <s v="ORD-0747"/>
    <d v="2023-05-23T00:00:00"/>
    <s v="CUST-5560"/>
    <s v="Swati Nambiar"/>
    <s v="Central"/>
    <s v="Indore"/>
    <x v="1"/>
    <s v="Webcam"/>
    <n v="1"/>
    <n v="1000"/>
    <n v="25"/>
    <s v="Rahul Sharma"/>
    <n v="1000"/>
    <n v="250"/>
    <n v="750"/>
    <s v="May-2023"/>
    <s v="Q2-2023"/>
    <s v="Tue"/>
    <s v="Low"/>
  </r>
  <r>
    <s v="ORD-0748"/>
    <d v="2023-05-23T00:00:00"/>
    <s v="CUST-2243"/>
    <s v="Divya Shah"/>
    <s v="North"/>
    <s v="Lucknow"/>
    <x v="4"/>
    <s v="Acer Aspire"/>
    <n v="1"/>
    <n v="64500"/>
    <n v="5"/>
    <s v="Anjali Gupta"/>
    <n v="64500"/>
    <n v="3225"/>
    <n v="61275"/>
    <s v="May-2023"/>
    <s v="Q2-2023"/>
    <s v="Tue"/>
    <s v="Medium"/>
  </r>
  <r>
    <s v="ORD-0749"/>
    <d v="2023-05-23T00:00:00"/>
    <s v="CUST-7724"/>
    <s v="Anjali Gupta"/>
    <s v="South"/>
    <s v="Bangalore"/>
    <x v="4"/>
    <s v="Acer Aspire"/>
    <n v="1"/>
    <n v="55600"/>
    <n v="15"/>
    <s v="Rohan Mehta"/>
    <n v="55600"/>
    <n v="8340"/>
    <n v="47260"/>
    <s v="May-2023"/>
    <s v="Q2-2023"/>
    <s v="Tue"/>
    <s v="Low"/>
  </r>
  <r>
    <s v="ORD-0750"/>
    <d v="2023-05-23T00:00:00"/>
    <s v="CUST-8593"/>
    <s v="Sneha Sharma"/>
    <s v="Central"/>
    <s v="Indore"/>
    <x v="4"/>
    <s v="ASUS VivoBook"/>
    <n v="2"/>
    <n v="73200"/>
    <n v="0"/>
    <s v="Priya Patel"/>
    <n v="146400"/>
    <n v="0"/>
    <n v="146400"/>
    <s v="May-2023"/>
    <s v="Q2-2023"/>
    <s v="Tue"/>
    <s v="High"/>
  </r>
  <r>
    <s v="ORD-0751"/>
    <d v="2023-05-23T00:00:00"/>
    <s v="CUST-4295"/>
    <s v="Manish Arora"/>
    <s v="West"/>
    <s v="Pune"/>
    <x v="2"/>
    <s v="Fitbit Versa 4"/>
    <n v="1"/>
    <n v="20100"/>
    <n v="25"/>
    <s v="Kavya Iyer"/>
    <n v="20100"/>
    <n v="5025"/>
    <n v="15075"/>
    <s v="May-2023"/>
    <s v="Q2-2023"/>
    <s v="Tue"/>
    <s v="Low"/>
  </r>
  <r>
    <s v="ORD-0752"/>
    <d v="2023-06-23T00:00:00"/>
    <s v="CUST-7693"/>
    <s v="Sameer Dutta"/>
    <s v="West"/>
    <s v="Pune"/>
    <x v="2"/>
    <s v="Mi Band 7"/>
    <n v="1"/>
    <n v="11500"/>
    <n v="0"/>
    <s v="Priya Patel"/>
    <n v="11500"/>
    <n v="0"/>
    <n v="11500"/>
    <s v="Jun-2023"/>
    <s v="Q2-2023"/>
    <s v="Fri"/>
    <s v="Low"/>
  </r>
  <r>
    <s v="ORD-0753"/>
    <d v="2023-06-23T00:00:00"/>
    <s v="CUST-7724"/>
    <s v="Anjali Gupta"/>
    <s v="Central"/>
    <s v="Bhopal"/>
    <x v="0"/>
    <s v="Xiaomi 13"/>
    <n v="1"/>
    <n v="35000"/>
    <n v="0"/>
    <s v="Amit Kumar"/>
    <n v="35000"/>
    <n v="0"/>
    <n v="35000"/>
    <s v="Jun-2023"/>
    <s v="Q2-2023"/>
    <s v="Fri"/>
    <s v="Low"/>
  </r>
  <r>
    <s v="ORD-0754"/>
    <d v="2023-08-23T00:00:00"/>
    <s v="CUST-7693"/>
    <s v="Sameer Dutta"/>
    <s v="North"/>
    <s v="Lucknow"/>
    <x v="1"/>
    <s v="Webcam"/>
    <n v="2"/>
    <n v="900"/>
    <n v="10"/>
    <s v="Rohan Mehta"/>
    <n v="1800"/>
    <n v="180"/>
    <n v="1620"/>
    <s v="Aug-2023"/>
    <s v="Q3-2023"/>
    <s v="Wed"/>
    <s v="Low"/>
  </r>
  <r>
    <s v="ORD-0755"/>
    <d v="2023-08-23T00:00:00"/>
    <s v="CUST-5247"/>
    <s v="Kavya Iyer"/>
    <s v="Central"/>
    <s v="Raipur"/>
    <x v="2"/>
    <s v="Apple Watch Series 8"/>
    <n v="1"/>
    <n v="11800"/>
    <n v="25"/>
    <s v="Vikram Singh"/>
    <n v="11800"/>
    <n v="2950"/>
    <n v="8850"/>
    <s v="Aug-2023"/>
    <s v="Q3-2023"/>
    <s v="Wed"/>
    <s v="Low"/>
  </r>
  <r>
    <s v="ORD-0756"/>
    <d v="2023-08-23T00:00:00"/>
    <s v="CUST-0018"/>
    <s v="Tanvi Kulkarni"/>
    <s v="North"/>
    <s v="Jaipur"/>
    <x v="3"/>
    <s v="iPad Air"/>
    <n v="1"/>
    <n v="30900"/>
    <n v="10"/>
    <s v="Rohan Mehta"/>
    <n v="30900"/>
    <n v="3090"/>
    <n v="27810"/>
    <s v="Aug-2023"/>
    <s v="Q3-2023"/>
    <s v="Wed"/>
    <s v="Low"/>
  </r>
  <r>
    <s v="ORD-0757"/>
    <d v="2023-08-23T00:00:00"/>
    <s v="CUST-8593"/>
    <s v="Sneha Sharma"/>
    <s v="Central"/>
    <s v="Indore"/>
    <x v="1"/>
    <s v="Wireless Mouse"/>
    <n v="3"/>
    <n v="1700"/>
    <n v="20"/>
    <s v="Rohan Mehta"/>
    <n v="5100"/>
    <n v="1020"/>
    <n v="4080"/>
    <s v="Aug-2023"/>
    <s v="Q3-2023"/>
    <s v="Wed"/>
    <s v="Low"/>
  </r>
  <r>
    <s v="ORD-0758"/>
    <d v="2023-08-23T00:00:00"/>
    <s v="CUST-4064"/>
    <s v="Nisha Ghosh"/>
    <s v="East"/>
    <s v="Kolkata"/>
    <x v="2"/>
    <s v="Mi Band 7"/>
    <n v="1"/>
    <n v="14500"/>
    <n v="5"/>
    <s v="Sneha Reddy"/>
    <n v="14500"/>
    <n v="725"/>
    <n v="13775"/>
    <s v="Aug-2023"/>
    <s v="Q3-2023"/>
    <s v="Wed"/>
    <s v="Low"/>
  </r>
  <r>
    <s v="ORD-0759"/>
    <d v="2023-09-23T00:00:00"/>
    <s v="CUST-5055"/>
    <s v="Riya Malhotra"/>
    <s v="East"/>
    <s v="Kolkata"/>
    <x v="3"/>
    <s v="Samsung Tab S8"/>
    <n v="1"/>
    <n v="40700"/>
    <n v="20"/>
    <s v="Amit Kumar"/>
    <n v="40700"/>
    <n v="8140"/>
    <n v="32560"/>
    <s v="Sep-2023"/>
    <s v="Q3-2023"/>
    <s v="Sat"/>
    <s v="Low"/>
  </r>
  <r>
    <s v="ORD-0760"/>
    <d v="2023-09-23T00:00:00"/>
    <s v="CUST-5055"/>
    <s v="Riya Malhotra"/>
    <s v="East"/>
    <s v="Ranchi"/>
    <x v="1"/>
    <s v="Wireless Mouse"/>
    <n v="2"/>
    <n v="700"/>
    <n v="5"/>
    <s v="Amit Kumar"/>
    <n v="1400"/>
    <n v="70"/>
    <n v="1330"/>
    <s v="Sep-2023"/>
    <s v="Q3-2023"/>
    <s v="Sat"/>
    <s v="Low"/>
  </r>
  <r>
    <s v="ORD-0761"/>
    <d v="2023-09-23T00:00:00"/>
    <s v="CUST-8905"/>
    <s v="Rahul Kapoor"/>
    <s v="South"/>
    <s v="Hyderabad"/>
    <x v="0"/>
    <s v="iPhone 14"/>
    <n v="1"/>
    <n v="35000"/>
    <n v="10"/>
    <s v="Anjali Gupta"/>
    <n v="35000"/>
    <n v="3500"/>
    <n v="31500"/>
    <s v="Sep-2023"/>
    <s v="Q3-2023"/>
    <s v="Sat"/>
    <s v="Low"/>
  </r>
  <r>
    <s v="ORD-0762"/>
    <d v="2023-09-23T00:00:00"/>
    <s v="CUST-4064"/>
    <s v="Nisha Ghosh"/>
    <s v="West"/>
    <s v="Mumbai"/>
    <x v="4"/>
    <s v="Lenovo ThinkPad"/>
    <n v="1"/>
    <n v="80000"/>
    <n v="0"/>
    <s v="Amit Kumar"/>
    <n v="80000"/>
    <n v="0"/>
    <n v="80000"/>
    <s v="Sep-2023"/>
    <s v="Q3-2023"/>
    <s v="Sat"/>
    <s v="Medium"/>
  </r>
  <r>
    <s v="ORD-0763"/>
    <d v="2023-10-23T00:00:00"/>
    <s v="CUST-5560"/>
    <s v="Swati Nambiar"/>
    <s v="West"/>
    <s v="Pune"/>
    <x v="1"/>
    <s v="USB-C Cable"/>
    <n v="2"/>
    <n v="700"/>
    <n v="20"/>
    <s v="Rohan Mehta"/>
    <n v="1400"/>
    <n v="280"/>
    <n v="1120"/>
    <s v="Oct-2023"/>
    <s v="Q4-2023"/>
    <s v="Mon"/>
    <s v="Low"/>
  </r>
  <r>
    <s v="ORD-0764"/>
    <d v="2023-10-23T00:00:00"/>
    <s v="CUST-3922"/>
    <s v="Sakshi Rathore"/>
    <s v="Central"/>
    <s v="Nagpur"/>
    <x v="0"/>
    <s v="OnePlus Nord"/>
    <n v="1"/>
    <n v="40300"/>
    <n v="0"/>
    <s v="Sneha Reddy"/>
    <n v="40300"/>
    <n v="0"/>
    <n v="40300"/>
    <s v="Oct-2023"/>
    <s v="Q4-2023"/>
    <s v="Mon"/>
    <s v="Low"/>
  </r>
  <r>
    <s v="ORD-0765"/>
    <d v="2023-11-23T00:00:00"/>
    <s v="CUST-7808"/>
    <s v="Varun Chopra"/>
    <s v="East"/>
    <s v="Ranchi"/>
    <x v="3"/>
    <s v="iPad Air"/>
    <n v="1"/>
    <n v="29700"/>
    <n v="15"/>
    <s v="Amit Kumar"/>
    <n v="29700"/>
    <n v="4455"/>
    <n v="25245"/>
    <s v="Nov-2023"/>
    <s v="Q4-2023"/>
    <s v="Thu"/>
    <s v="Low"/>
  </r>
  <r>
    <s v="ORD-0766"/>
    <d v="2023-11-23T00:00:00"/>
    <s v="CUST-4945"/>
    <s v="Ananya Bose"/>
    <s v="East"/>
    <s v="Kolkata"/>
    <x v="1"/>
    <s v="Wireless Mouse"/>
    <n v="3"/>
    <n v="2200"/>
    <n v="5"/>
    <s v="Kavya Iyer"/>
    <n v="6600"/>
    <n v="330"/>
    <n v="6270"/>
    <s v="Nov-2023"/>
    <s v="Q4-2023"/>
    <s v="Thu"/>
    <s v="Low"/>
  </r>
  <r>
    <s v="ORD-0767"/>
    <d v="2023-11-23T00:00:00"/>
    <s v="CUST-6295"/>
    <s v="Arjun Nair"/>
    <s v="West"/>
    <s v="Mumbai"/>
    <x v="2"/>
    <s v="Apple Watch Series 8"/>
    <n v="1"/>
    <n v="13200"/>
    <n v="10"/>
    <s v="Sneha Reddy"/>
    <n v="13200"/>
    <n v="1320"/>
    <n v="11880"/>
    <s v="Nov-2023"/>
    <s v="Q4-2023"/>
    <s v="Thu"/>
    <s v="Low"/>
  </r>
  <r>
    <s v="ORD-0768"/>
    <d v="2023-11-23T00:00:00"/>
    <s v="CUST-5369"/>
    <s v="Aditya Rao"/>
    <s v="South"/>
    <s v="Chennai"/>
    <x v="2"/>
    <s v="Samsung Galaxy Watch"/>
    <n v="1"/>
    <n v="22900"/>
    <n v="0"/>
    <s v="Priya Patel"/>
    <n v="22900"/>
    <n v="0"/>
    <n v="22900"/>
    <s v="Nov-2023"/>
    <s v="Q4-2023"/>
    <s v="Thu"/>
    <s v="Low"/>
  </r>
  <r>
    <s v="ORD-0769"/>
    <d v="2023-12-23T00:00:00"/>
    <s v="CUST-4945"/>
    <s v="Ananya Bose"/>
    <s v="South"/>
    <s v="Hyderabad"/>
    <x v="4"/>
    <s v="Dell Inspiron"/>
    <n v="1"/>
    <n v="69800"/>
    <n v="0"/>
    <s v="Rohan Mehta"/>
    <n v="69800"/>
    <n v="0"/>
    <n v="69800"/>
    <s v="Dec-2023"/>
    <s v="Q4-2023"/>
    <s v="Sat"/>
    <s v="Medium"/>
  </r>
  <r>
    <s v="ORD-0770"/>
    <d v="2023-01-24T00:00:00"/>
    <s v="CUST-4064"/>
    <s v="Nisha Ghosh"/>
    <s v="East"/>
    <s v="Kolkata"/>
    <x v="3"/>
    <s v="Lenovo Tab P11"/>
    <n v="1"/>
    <n v="41900"/>
    <n v="10"/>
    <s v="Amit Kumar"/>
    <n v="41900"/>
    <n v="4190"/>
    <n v="37710"/>
    <s v="Jan-2023"/>
    <s v="Q1-2023"/>
    <s v="Tue"/>
    <s v="Low"/>
  </r>
  <r>
    <s v="ORD-0771"/>
    <d v="2023-01-24T00:00:00"/>
    <s v="CUST-1661"/>
    <s v="Harsh Sinha"/>
    <s v="South"/>
    <s v="Hyderabad"/>
    <x v="4"/>
    <s v="HP Pavilion"/>
    <n v="1"/>
    <n v="51200"/>
    <n v="0"/>
    <s v="Vikram Singh"/>
    <n v="51200"/>
    <n v="0"/>
    <n v="51200"/>
    <s v="Jan-2023"/>
    <s v="Q1-2023"/>
    <s v="Tue"/>
    <s v="Medium"/>
  </r>
  <r>
    <s v="ORD-0772"/>
    <d v="2023-01-24T00:00:00"/>
    <s v="CUST-6967"/>
    <s v="Aarti Shetty"/>
    <s v="Central"/>
    <s v="Indore"/>
    <x v="0"/>
    <s v="Samsung Galaxy S23"/>
    <n v="1"/>
    <n v="54300"/>
    <n v="5"/>
    <s v="Rohan Mehta"/>
    <n v="54300"/>
    <n v="2715"/>
    <n v="51585"/>
    <s v="Jan-2023"/>
    <s v="Q1-2023"/>
    <s v="Tue"/>
    <s v="Medium"/>
  </r>
  <r>
    <s v="ORD-0773"/>
    <d v="2023-01-24T00:00:00"/>
    <s v="CUST-6126"/>
    <s v="Siddharth Tiwari"/>
    <s v="North"/>
    <s v="Jaipur"/>
    <x v="0"/>
    <s v="OnePlus Nord"/>
    <n v="1"/>
    <n v="44600"/>
    <n v="10"/>
    <s v="Vikram Singh"/>
    <n v="44600"/>
    <n v="4460"/>
    <n v="40140"/>
    <s v="Jan-2023"/>
    <s v="Q1-2023"/>
    <s v="Tue"/>
    <s v="Low"/>
  </r>
  <r>
    <s v="ORD-0774"/>
    <d v="2023-01-24T00:00:00"/>
    <s v="CUST-0354"/>
    <s v="Meera Chawla"/>
    <s v="North"/>
    <s v="Jaipur"/>
    <x v="3"/>
    <s v="Amazon Fire HD"/>
    <n v="1"/>
    <n v="49300"/>
    <n v="20"/>
    <s v="Amit Kumar"/>
    <n v="49300"/>
    <n v="9860"/>
    <n v="39440"/>
    <s v="Jan-2023"/>
    <s v="Q1-2023"/>
    <s v="Tue"/>
    <s v="Low"/>
  </r>
  <r>
    <s v="ORD-0775"/>
    <d v="2023-02-24T00:00:00"/>
    <s v="CUST-1200"/>
    <s v="Pallavi Krishnan"/>
    <s v="East"/>
    <s v="Kolkata"/>
    <x v="3"/>
    <s v="Amazon Fire HD"/>
    <n v="1"/>
    <n v="43200"/>
    <n v="10"/>
    <s v="Rohan Mehta"/>
    <n v="43200"/>
    <n v="4320"/>
    <n v="38880"/>
    <s v="Feb-2023"/>
    <s v="Q1-2023"/>
    <s v="Fri"/>
    <s v="Low"/>
  </r>
  <r>
    <s v="ORD-0776"/>
    <d v="2023-02-24T00:00:00"/>
    <s v="CUST-5055"/>
    <s v="Riya Malhotra"/>
    <s v="North"/>
    <s v="Delhi"/>
    <x v="3"/>
    <s v="Amazon Fire HD"/>
    <n v="1"/>
    <n v="40200"/>
    <n v="10"/>
    <s v="Priya Patel"/>
    <n v="40200"/>
    <n v="4020"/>
    <n v="36180"/>
    <s v="Feb-2023"/>
    <s v="Q1-2023"/>
    <s v="Fri"/>
    <s v="Low"/>
  </r>
  <r>
    <s v="ORD-0777"/>
    <d v="2023-03-24T00:00:00"/>
    <s v="CUST-4064"/>
    <s v="Nisha Ghosh"/>
    <s v="North"/>
    <s v="Delhi"/>
    <x v="3"/>
    <s v="Amazon Fire HD"/>
    <n v="1"/>
    <n v="48800"/>
    <n v="0"/>
    <s v="Amit Kumar"/>
    <n v="48800"/>
    <n v="0"/>
    <n v="48800"/>
    <s v="Mar-2023"/>
    <s v="Q1-2023"/>
    <s v="Fri"/>
    <s v="Low"/>
  </r>
  <r>
    <s v="ORD-0778"/>
    <d v="2023-04-24T00:00:00"/>
    <s v="CUST-4945"/>
    <s v="Ananya Bose"/>
    <s v="West"/>
    <s v="Ahmedabad"/>
    <x v="4"/>
    <s v="ASUS VivoBook"/>
    <n v="1"/>
    <n v="50800"/>
    <n v="0"/>
    <s v="Anjali Gupta"/>
    <n v="50800"/>
    <n v="0"/>
    <n v="50800"/>
    <s v="Apr-2023"/>
    <s v="Q2-2023"/>
    <s v="Mon"/>
    <s v="Medium"/>
  </r>
  <r>
    <s v="ORD-0779"/>
    <d v="2023-04-24T00:00:00"/>
    <s v="CUST-5409"/>
    <s v="Akash Pillai"/>
    <s v="South"/>
    <s v="Hyderabad"/>
    <x v="4"/>
    <s v="Lenovo ThinkPad"/>
    <n v="1"/>
    <n v="66000"/>
    <n v="20"/>
    <s v="Amit Kumar"/>
    <n v="66000"/>
    <n v="13200"/>
    <n v="52800"/>
    <s v="Apr-2023"/>
    <s v="Q2-2023"/>
    <s v="Mon"/>
    <s v="Medium"/>
  </r>
  <r>
    <s v="ORD-0780"/>
    <d v="2023-04-24T00:00:00"/>
    <s v="CUST-0018"/>
    <s v="Tanvi Kulkarni"/>
    <s v="West"/>
    <s v="Ahmedabad"/>
    <x v="1"/>
    <s v="Mechanical Keyboard"/>
    <n v="2"/>
    <n v="1200"/>
    <n v="0"/>
    <s v="Priya Patel"/>
    <n v="2400"/>
    <n v="0"/>
    <n v="2400"/>
    <s v="Apr-2023"/>
    <s v="Q2-2023"/>
    <s v="Mon"/>
    <s v="Low"/>
  </r>
  <r>
    <s v="ORD-0781"/>
    <d v="2023-06-24T00:00:00"/>
    <s v="CUST-5369"/>
    <s v="Aditya Rao"/>
    <s v="South"/>
    <s v="Chennai"/>
    <x v="0"/>
    <s v="Samsung Galaxy S23"/>
    <n v="1"/>
    <n v="47200"/>
    <n v="25"/>
    <s v="Priya Patel"/>
    <n v="47200"/>
    <n v="11800"/>
    <n v="35400"/>
    <s v="Jun-2023"/>
    <s v="Q2-2023"/>
    <s v="Sat"/>
    <s v="Low"/>
  </r>
  <r>
    <s v="ORD-0782"/>
    <d v="2023-06-24T00:00:00"/>
    <s v="CUST-0018"/>
    <s v="Tanvi Kulkarni"/>
    <s v="West"/>
    <s v="Mumbai"/>
    <x v="0"/>
    <s v="iPhone 14"/>
    <n v="1"/>
    <n v="32600"/>
    <n v="10"/>
    <s v="Kavya Iyer"/>
    <n v="32600"/>
    <n v="3260"/>
    <n v="29340"/>
    <s v="Jun-2023"/>
    <s v="Q2-2023"/>
    <s v="Sat"/>
    <s v="Low"/>
  </r>
  <r>
    <s v="ORD-0783"/>
    <d v="2023-06-24T00:00:00"/>
    <s v="CUST-1661"/>
    <s v="Harsh Sinha"/>
    <s v="North"/>
    <s v="Lucknow"/>
    <x v="2"/>
    <s v="Samsung Galaxy Watch"/>
    <n v="1"/>
    <n v="18400"/>
    <n v="15"/>
    <s v="Kavya Iyer"/>
    <n v="18400"/>
    <n v="2760"/>
    <n v="15640"/>
    <s v="Jun-2023"/>
    <s v="Q2-2023"/>
    <s v="Sat"/>
    <s v="Low"/>
  </r>
  <r>
    <s v="ORD-0784"/>
    <d v="2023-06-24T00:00:00"/>
    <s v="CUST-8905"/>
    <s v="Rahul Kapoor"/>
    <s v="South"/>
    <s v="Bangalore"/>
    <x v="0"/>
    <s v="iPhone 14"/>
    <n v="1"/>
    <n v="37100"/>
    <n v="20"/>
    <s v="Sneha Reddy"/>
    <n v="37100"/>
    <n v="7420"/>
    <n v="29680"/>
    <s v="Jun-2023"/>
    <s v="Q2-2023"/>
    <s v="Sat"/>
    <s v="Low"/>
  </r>
  <r>
    <s v="ORD-0785"/>
    <d v="2023-06-24T00:00:00"/>
    <s v="CUST-5560"/>
    <s v="Swati Nambiar"/>
    <s v="West"/>
    <s v="Pune"/>
    <x v="4"/>
    <s v="ASUS VivoBook"/>
    <n v="1"/>
    <n v="49000"/>
    <n v="20"/>
    <s v="Sneha Reddy"/>
    <n v="49000"/>
    <n v="9800"/>
    <n v="39200"/>
    <s v="Jun-2023"/>
    <s v="Q2-2023"/>
    <s v="Sat"/>
    <s v="Low"/>
  </r>
  <r>
    <s v="ORD-0786"/>
    <d v="2023-06-24T00:00:00"/>
    <s v="CUST-7270"/>
    <s v="Yash Dhawan"/>
    <s v="South"/>
    <s v="Kochi"/>
    <x v="1"/>
    <s v="Webcam"/>
    <n v="2"/>
    <n v="1000"/>
    <n v="10"/>
    <s v="Sneha Reddy"/>
    <n v="2000"/>
    <n v="200"/>
    <n v="1800"/>
    <s v="Jun-2023"/>
    <s v="Q2-2023"/>
    <s v="Sat"/>
    <s v="Low"/>
  </r>
  <r>
    <s v="ORD-0787"/>
    <d v="2023-08-24T00:00:00"/>
    <s v="CUST-8995"/>
    <s v="Mohit Saxena"/>
    <s v="West"/>
    <s v="Surat"/>
    <x v="4"/>
    <s v="ASUS VivoBook"/>
    <n v="1"/>
    <n v="58800"/>
    <n v="15"/>
    <s v="Priya Patel"/>
    <n v="58800"/>
    <n v="8820"/>
    <n v="49980"/>
    <s v="Aug-2023"/>
    <s v="Q3-2023"/>
    <s v="Thu"/>
    <s v="Low"/>
  </r>
  <r>
    <s v="ORD-0788"/>
    <d v="2023-09-24T00:00:00"/>
    <s v="CUST-9929"/>
    <s v="Kunal Dixit"/>
    <s v="West"/>
    <s v="Mumbai"/>
    <x v="2"/>
    <s v="Mi Band 7"/>
    <n v="1"/>
    <n v="32400"/>
    <n v="0"/>
    <s v="Amit Kumar"/>
    <n v="32400"/>
    <n v="0"/>
    <n v="32400"/>
    <s v="Sep-2023"/>
    <s v="Q3-2023"/>
    <s v="Sun"/>
    <s v="Low"/>
  </r>
  <r>
    <s v="ORD-0789"/>
    <d v="2023-09-24T00:00:00"/>
    <s v="CUST-7808"/>
    <s v="Varun Chopra"/>
    <s v="West"/>
    <s v="Surat"/>
    <x v="0"/>
    <s v="Realme GT"/>
    <n v="1"/>
    <n v="30600"/>
    <n v="5"/>
    <s v="Sneha Reddy"/>
    <n v="30600"/>
    <n v="1530"/>
    <n v="29070"/>
    <s v="Sep-2023"/>
    <s v="Q3-2023"/>
    <s v="Sun"/>
    <s v="Low"/>
  </r>
  <r>
    <s v="ORD-0790"/>
    <d v="2023-09-24T00:00:00"/>
    <s v="CUST-8185"/>
    <s v="Rohan Mehta"/>
    <s v="West"/>
    <s v="Ahmedabad"/>
    <x v="1"/>
    <s v="Wireless Mouse"/>
    <n v="3"/>
    <n v="1900"/>
    <n v="25"/>
    <s v="Amit Kumar"/>
    <n v="5700"/>
    <n v="1425"/>
    <n v="4275"/>
    <s v="Sep-2023"/>
    <s v="Q3-2023"/>
    <s v="Sun"/>
    <s v="Low"/>
  </r>
  <r>
    <s v="ORD-0791"/>
    <d v="2023-10-24T00:00:00"/>
    <s v="CUST-9929"/>
    <s v="Kunal Dixit"/>
    <s v="East"/>
    <s v="Bhubaneswar"/>
    <x v="4"/>
    <s v="Lenovo ThinkPad"/>
    <n v="1"/>
    <n v="59000"/>
    <n v="10"/>
    <s v="Amit Kumar"/>
    <n v="59000"/>
    <n v="5900"/>
    <n v="53100"/>
    <s v="Oct-2023"/>
    <s v="Q4-2023"/>
    <s v="Tue"/>
    <s v="Medium"/>
  </r>
  <r>
    <s v="ORD-0792"/>
    <d v="2023-10-24T00:00:00"/>
    <s v="CUST-1200"/>
    <s v="Pallavi Krishnan"/>
    <s v="Central"/>
    <s v="Indore"/>
    <x v="1"/>
    <s v="Laptop Bag"/>
    <n v="2"/>
    <n v="1800"/>
    <n v="10"/>
    <s v="Priya Patel"/>
    <n v="3600"/>
    <n v="360"/>
    <n v="3240"/>
    <s v="Oct-2023"/>
    <s v="Q4-2023"/>
    <s v="Tue"/>
    <s v="Low"/>
  </r>
  <r>
    <s v="ORD-0793"/>
    <d v="2023-11-24T00:00:00"/>
    <s v="CUST-6295"/>
    <s v="Arjun Nair"/>
    <s v="North"/>
    <s v="Delhi"/>
    <x v="3"/>
    <s v="Samsung Tab S8"/>
    <n v="1"/>
    <n v="34000"/>
    <n v="5"/>
    <s v="Priya Patel"/>
    <n v="34000"/>
    <n v="1700"/>
    <n v="32300"/>
    <s v="Nov-2023"/>
    <s v="Q4-2023"/>
    <s v="Fri"/>
    <s v="Low"/>
  </r>
  <r>
    <s v="ORD-0794"/>
    <d v="2023-12-24T00:00:00"/>
    <s v="CUST-8593"/>
    <s v="Sneha Sharma"/>
    <s v="Central"/>
    <s v="Indore"/>
    <x v="4"/>
    <s v="Acer Aspire"/>
    <n v="1"/>
    <n v="49900"/>
    <n v="10"/>
    <s v="Anjali Gupta"/>
    <n v="49900"/>
    <n v="4990"/>
    <n v="44910"/>
    <s v="Dec-2023"/>
    <s v="Q4-2023"/>
    <s v="Sun"/>
    <s v="Low"/>
  </r>
  <r>
    <s v="ORD-0795"/>
    <d v="2023-12-24T00:00:00"/>
    <s v="CUST-4767"/>
    <s v="Sanjay Joshi"/>
    <s v="East"/>
    <s v="Kolkata"/>
    <x v="3"/>
    <s v="Samsung Tab S8"/>
    <n v="1"/>
    <n v="30700"/>
    <n v="25"/>
    <s v="Kavya Iyer"/>
    <n v="30700"/>
    <n v="7675"/>
    <n v="23025"/>
    <s v="Dec-2023"/>
    <s v="Q4-2023"/>
    <s v="Sun"/>
    <s v="Low"/>
  </r>
  <r>
    <s v="ORD-0796"/>
    <d v="2023-01-25T00:00:00"/>
    <s v="CUST-5247"/>
    <s v="Kavya Iyer"/>
    <s v="South"/>
    <s v="Kochi"/>
    <x v="2"/>
    <s v="Mi Band 7"/>
    <n v="1"/>
    <n v="15500"/>
    <n v="0"/>
    <s v="Kavya Iyer"/>
    <n v="15500"/>
    <n v="0"/>
    <n v="15500"/>
    <s v="Jan-2023"/>
    <s v="Q1-2023"/>
    <s v="Wed"/>
    <s v="Low"/>
  </r>
  <r>
    <s v="ORD-0797"/>
    <d v="2023-01-25T00:00:00"/>
    <s v="CUST-4945"/>
    <s v="Ananya Bose"/>
    <s v="East"/>
    <s v="Patna"/>
    <x v="4"/>
    <s v="Lenovo ThinkPad"/>
    <n v="2"/>
    <n v="37700"/>
    <n v="10"/>
    <s v="Kavya Iyer"/>
    <n v="75400"/>
    <n v="7540"/>
    <n v="67860"/>
    <s v="Jan-2023"/>
    <s v="Q1-2023"/>
    <s v="Wed"/>
    <s v="Medium"/>
  </r>
  <r>
    <s v="ORD-0798"/>
    <d v="2023-02-25T00:00:00"/>
    <s v="CUST-6295"/>
    <s v="Arjun Nair"/>
    <s v="South"/>
    <s v="Chennai"/>
    <x v="0"/>
    <s v="Realme GT"/>
    <n v="1"/>
    <n v="34000"/>
    <n v="15"/>
    <s v="Rohan Mehta"/>
    <n v="34000"/>
    <n v="5100"/>
    <n v="28900"/>
    <s v="Feb-2023"/>
    <s v="Q1-2023"/>
    <s v="Sat"/>
    <s v="Low"/>
  </r>
  <r>
    <s v="ORD-0799"/>
    <d v="2023-02-25T00:00:00"/>
    <s v="CUST-7693"/>
    <s v="Sameer Dutta"/>
    <s v="West"/>
    <s v="Pune"/>
    <x v="0"/>
    <s v="OnePlus Nord"/>
    <n v="1"/>
    <n v="45100"/>
    <n v="25"/>
    <s v="Amit Kumar"/>
    <n v="45100"/>
    <n v="11275"/>
    <n v="33825"/>
    <s v="Feb-2023"/>
    <s v="Q1-2023"/>
    <s v="Sat"/>
    <s v="Low"/>
  </r>
  <r>
    <s v="ORD-0800"/>
    <d v="2023-03-25T00:00:00"/>
    <s v="CUST-7724"/>
    <s v="Anjali Gupta"/>
    <s v="West"/>
    <s v="Surat"/>
    <x v="0"/>
    <s v="Realme GT"/>
    <n v="1"/>
    <n v="48800"/>
    <n v="25"/>
    <s v="Amit Kumar"/>
    <n v="48800"/>
    <n v="12200"/>
    <n v="36600"/>
    <s v="Mar-2023"/>
    <s v="Q1-2023"/>
    <s v="Sat"/>
    <s v="Low"/>
  </r>
  <r>
    <s v="ORD-0801"/>
    <d v="2023-03-25T00:00:00"/>
    <s v="CUST-2055"/>
    <s v="Shreya Pandey"/>
    <s v="South"/>
    <s v="Chennai"/>
    <x v="1"/>
    <s v="Wireless Mouse"/>
    <n v="2"/>
    <n v="1400"/>
    <n v="10"/>
    <s v="Sneha Reddy"/>
    <n v="2800"/>
    <n v="280"/>
    <n v="2520"/>
    <s v="Mar-2023"/>
    <s v="Q1-2023"/>
    <s v="Sat"/>
    <s v="Low"/>
  </r>
  <r>
    <s v="ORD-0802"/>
    <d v="2023-04-25T00:00:00"/>
    <s v="CUST-0018"/>
    <s v="Tanvi Kulkarni"/>
    <s v="South"/>
    <s v="Hyderabad"/>
    <x v="3"/>
    <s v="Amazon Fire HD"/>
    <n v="1"/>
    <n v="48900"/>
    <n v="0"/>
    <s v="Anjali Gupta"/>
    <n v="48900"/>
    <n v="0"/>
    <n v="48900"/>
    <s v="Apr-2023"/>
    <s v="Q2-2023"/>
    <s v="Tue"/>
    <s v="Low"/>
  </r>
  <r>
    <s v="ORD-0803"/>
    <d v="2023-04-25T00:00:00"/>
    <s v="CUST-4064"/>
    <s v="Nisha Ghosh"/>
    <s v="North"/>
    <s v="Delhi"/>
    <x v="3"/>
    <s v="Amazon Fire HD"/>
    <n v="1"/>
    <n v="20000"/>
    <n v="20"/>
    <s v="Rohan Mehta"/>
    <n v="20000"/>
    <n v="4000"/>
    <n v="16000"/>
    <s v="Apr-2023"/>
    <s v="Q2-2023"/>
    <s v="Tue"/>
    <s v="Low"/>
  </r>
  <r>
    <s v="ORD-0804"/>
    <d v="2023-05-25T00:00:00"/>
    <s v="CUST-4064"/>
    <s v="Nisha Ghosh"/>
    <s v="West"/>
    <s v="Surat"/>
    <x v="3"/>
    <s v="iPad Air"/>
    <n v="1"/>
    <n v="46100"/>
    <n v="0"/>
    <s v="Amit Kumar"/>
    <n v="46100"/>
    <n v="0"/>
    <n v="46100"/>
    <s v="May-2023"/>
    <s v="Q2-2023"/>
    <s v="Thu"/>
    <s v="Low"/>
  </r>
  <r>
    <s v="ORD-0805"/>
    <d v="2023-05-25T00:00:00"/>
    <s v="CUST-4767"/>
    <s v="Sanjay Joshi"/>
    <s v="North"/>
    <s v="Delhi"/>
    <x v="1"/>
    <s v="Mechanical Keyboard"/>
    <n v="1"/>
    <n v="1600"/>
    <n v="25"/>
    <s v="Vikram Singh"/>
    <n v="1600"/>
    <n v="400"/>
    <n v="1200"/>
    <s v="May-2023"/>
    <s v="Q2-2023"/>
    <s v="Thu"/>
    <s v="Low"/>
  </r>
  <r>
    <s v="ORD-0806"/>
    <d v="2023-06-25T00:00:00"/>
    <s v="CUST-6967"/>
    <s v="Aarti Shetty"/>
    <s v="South"/>
    <s v="Kochi"/>
    <x v="3"/>
    <s v="Lenovo Tab P11"/>
    <n v="1"/>
    <n v="38400"/>
    <n v="0"/>
    <s v="Amit Kumar"/>
    <n v="38400"/>
    <n v="0"/>
    <n v="38400"/>
    <s v="Jun-2023"/>
    <s v="Q2-2023"/>
    <s v="Sun"/>
    <s v="Low"/>
  </r>
  <r>
    <s v="ORD-0807"/>
    <d v="2023-08-25T00:00:00"/>
    <s v="CUST-5055"/>
    <s v="Riya Malhotra"/>
    <s v="North"/>
    <s v="Jaipur"/>
    <x v="1"/>
    <s v="USB-C Cable"/>
    <n v="2"/>
    <n v="2200"/>
    <n v="20"/>
    <s v="Rohan Mehta"/>
    <n v="4400"/>
    <n v="880"/>
    <n v="3520"/>
    <s v="Aug-2023"/>
    <s v="Q3-2023"/>
    <s v="Fri"/>
    <s v="Low"/>
  </r>
  <r>
    <s v="ORD-0808"/>
    <d v="2023-08-25T00:00:00"/>
    <s v="CUST-8995"/>
    <s v="Mohit Saxena"/>
    <s v="West"/>
    <s v="Mumbai"/>
    <x v="2"/>
    <s v="Samsung Galaxy Watch"/>
    <n v="1"/>
    <n v="20000"/>
    <n v="25"/>
    <s v="Rahul Sharma"/>
    <n v="20000"/>
    <n v="5000"/>
    <n v="15000"/>
    <s v="Aug-2023"/>
    <s v="Q3-2023"/>
    <s v="Fri"/>
    <s v="Low"/>
  </r>
  <r>
    <s v="ORD-0809"/>
    <d v="2023-08-25T00:00:00"/>
    <s v="CUST-8185"/>
    <s v="Rohan Mehta"/>
    <s v="South"/>
    <s v="Hyderabad"/>
    <x v="3"/>
    <s v="Samsung Tab S8"/>
    <n v="1"/>
    <n v="27800"/>
    <n v="20"/>
    <s v="Rohan Mehta"/>
    <n v="27800"/>
    <n v="5560"/>
    <n v="22240"/>
    <s v="Aug-2023"/>
    <s v="Q3-2023"/>
    <s v="Fri"/>
    <s v="Low"/>
  </r>
  <r>
    <s v="ORD-0810"/>
    <d v="2023-09-25T00:00:00"/>
    <s v="CUST-5055"/>
    <s v="Riya Malhotra"/>
    <s v="East"/>
    <s v="Ranchi"/>
    <x v="1"/>
    <s v="Laptop Bag"/>
    <n v="2"/>
    <n v="2000"/>
    <n v="25"/>
    <s v="Anjali Gupta"/>
    <n v="4000"/>
    <n v="1000"/>
    <n v="3000"/>
    <s v="Sep-2023"/>
    <s v="Q3-2023"/>
    <s v="Mon"/>
    <s v="Low"/>
  </r>
  <r>
    <s v="ORD-0811"/>
    <d v="2023-09-25T00:00:00"/>
    <s v="CUST-4816"/>
    <s v="Amit Patel"/>
    <s v="South"/>
    <s v="Hyderabad"/>
    <x v="1"/>
    <s v="USB-C Cable"/>
    <n v="3"/>
    <n v="2200"/>
    <n v="0"/>
    <s v="Kavya Iyer"/>
    <n v="6600"/>
    <n v="0"/>
    <n v="6600"/>
    <s v="Sep-2023"/>
    <s v="Q3-2023"/>
    <s v="Mon"/>
    <s v="Low"/>
  </r>
  <r>
    <s v="ORD-0812"/>
    <d v="2023-10-25T00:00:00"/>
    <s v="CUST-6967"/>
    <s v="Aarti Shetty"/>
    <s v="North"/>
    <s v="Lucknow"/>
    <x v="3"/>
    <s v="Lenovo Tab P11"/>
    <n v="1"/>
    <n v="24700"/>
    <n v="0"/>
    <s v="Vikram Singh"/>
    <n v="24700"/>
    <n v="0"/>
    <n v="24700"/>
    <s v="Oct-2023"/>
    <s v="Q4-2023"/>
    <s v="Wed"/>
    <s v="Low"/>
  </r>
  <r>
    <s v="ORD-0813"/>
    <d v="2023-10-25T00:00:00"/>
    <s v="CUST-0018"/>
    <s v="Tanvi Kulkarni"/>
    <s v="South"/>
    <s v="Hyderabad"/>
    <x v="0"/>
    <s v="Realme GT"/>
    <n v="1"/>
    <n v="43100"/>
    <n v="15"/>
    <s v="Kavya Iyer"/>
    <n v="43100"/>
    <n v="6465"/>
    <n v="36635"/>
    <s v="Oct-2023"/>
    <s v="Q4-2023"/>
    <s v="Wed"/>
    <s v="Low"/>
  </r>
  <r>
    <s v="ORD-0814"/>
    <d v="2023-10-25T00:00:00"/>
    <s v="CUST-8185"/>
    <s v="Rohan Mehta"/>
    <s v="West"/>
    <s v="Ahmedabad"/>
    <x v="3"/>
    <s v="Samsung Tab S8"/>
    <n v="1"/>
    <n v="37700"/>
    <n v="5"/>
    <s v="Vikram Singh"/>
    <n v="37700"/>
    <n v="1885"/>
    <n v="35815"/>
    <s v="Oct-2023"/>
    <s v="Q4-2023"/>
    <s v="Wed"/>
    <s v="Low"/>
  </r>
  <r>
    <s v="ORD-0815"/>
    <d v="2023-11-25T00:00:00"/>
    <s v="CUST-5560"/>
    <s v="Swati Nambiar"/>
    <s v="Central"/>
    <s v="Nagpur"/>
    <x v="0"/>
    <s v="Realme GT"/>
    <n v="1"/>
    <n v="52900"/>
    <n v="10"/>
    <s v="Rahul Sharma"/>
    <n v="52900"/>
    <n v="5290"/>
    <n v="47610"/>
    <s v="Nov-2023"/>
    <s v="Q4-2023"/>
    <s v="Sat"/>
    <s v="Low"/>
  </r>
  <r>
    <s v="ORD-0816"/>
    <d v="2023-11-25T00:00:00"/>
    <s v="CUST-5247"/>
    <s v="Kavya Iyer"/>
    <s v="Central"/>
    <s v="Raipur"/>
    <x v="2"/>
    <s v="Samsung Galaxy Watch"/>
    <n v="1"/>
    <n v="17500"/>
    <n v="0"/>
    <s v="Vikram Singh"/>
    <n v="17500"/>
    <n v="0"/>
    <n v="17500"/>
    <s v="Nov-2023"/>
    <s v="Q4-2023"/>
    <s v="Sat"/>
    <s v="Low"/>
  </r>
  <r>
    <s v="ORD-0817"/>
    <d v="2023-12-25T00:00:00"/>
    <s v="CUST-1540"/>
    <s v="Simran Kaur"/>
    <s v="North"/>
    <s v="Lucknow"/>
    <x v="2"/>
    <s v="Mi Band 7"/>
    <n v="1"/>
    <n v="25200"/>
    <n v="15"/>
    <s v="Vikram Singh"/>
    <n v="25200"/>
    <n v="3780"/>
    <n v="21420"/>
    <s v="Dec-2023"/>
    <s v="Q4-2023"/>
    <s v="Mon"/>
    <s v="Low"/>
  </r>
  <r>
    <s v="ORD-0818"/>
    <d v="2023-01-26T00:00:00"/>
    <s v="CUST-0354"/>
    <s v="Meera Chawla"/>
    <s v="Central"/>
    <s v="Indore"/>
    <x v="4"/>
    <s v="ASUS VivoBook"/>
    <n v="1"/>
    <n v="51100"/>
    <n v="0"/>
    <s v="Anjali Gupta"/>
    <n v="51100"/>
    <n v="0"/>
    <n v="51100"/>
    <s v="Jan-2023"/>
    <s v="Q1-2023"/>
    <s v="Thu"/>
    <s v="Medium"/>
  </r>
  <r>
    <s v="ORD-0819"/>
    <d v="2023-01-26T00:00:00"/>
    <s v="CUST-9929"/>
    <s v="Kunal Dixit"/>
    <s v="Central"/>
    <s v="Bhopal"/>
    <x v="4"/>
    <s v="HP Pavilion"/>
    <n v="1"/>
    <n v="55400"/>
    <n v="0"/>
    <s v="Kavya Iyer"/>
    <n v="55400"/>
    <n v="0"/>
    <n v="55400"/>
    <s v="Jan-2023"/>
    <s v="Q1-2023"/>
    <s v="Thu"/>
    <s v="Medium"/>
  </r>
  <r>
    <s v="ORD-0820"/>
    <d v="2023-01-26T00:00:00"/>
    <s v="CUST-8995"/>
    <s v="Mohit Saxena"/>
    <s v="East"/>
    <s v="Ranchi"/>
    <x v="3"/>
    <s v="Samsung Tab S8"/>
    <n v="1"/>
    <n v="25100"/>
    <n v="15"/>
    <s v="Anjali Gupta"/>
    <n v="25100"/>
    <n v="3765"/>
    <n v="21335"/>
    <s v="Jan-2023"/>
    <s v="Q1-2023"/>
    <s v="Thu"/>
    <s v="Low"/>
  </r>
  <r>
    <s v="ORD-0821"/>
    <d v="2023-01-26T00:00:00"/>
    <s v="CUST-1661"/>
    <s v="Harsh Sinha"/>
    <s v="South"/>
    <s v="Bangalore"/>
    <x v="1"/>
    <s v="Wireless Mouse"/>
    <n v="1"/>
    <n v="1600"/>
    <n v="0"/>
    <s v="Rahul Sharma"/>
    <n v="1600"/>
    <n v="0"/>
    <n v="1600"/>
    <s v="Jan-2023"/>
    <s v="Q1-2023"/>
    <s v="Thu"/>
    <s v="Low"/>
  </r>
  <r>
    <s v="ORD-0822"/>
    <d v="2023-01-26T00:00:00"/>
    <s v="CUST-1540"/>
    <s v="Simran Kaur"/>
    <s v="Central"/>
    <s v="Indore"/>
    <x v="2"/>
    <s v="Mi Band 7"/>
    <n v="1"/>
    <n v="25200"/>
    <n v="10"/>
    <s v="Priya Patel"/>
    <n v="25200"/>
    <n v="2520"/>
    <n v="22680"/>
    <s v="Jan-2023"/>
    <s v="Q1-2023"/>
    <s v="Thu"/>
    <s v="Low"/>
  </r>
  <r>
    <s v="ORD-0823"/>
    <d v="2023-02-26T00:00:00"/>
    <s v="CUST-6967"/>
    <s v="Aarti Shetty"/>
    <s v="Central"/>
    <s v="Indore"/>
    <x v="1"/>
    <s v="USB-C Cable"/>
    <n v="2"/>
    <n v="800"/>
    <n v="5"/>
    <s v="Rahul Sharma"/>
    <n v="1600"/>
    <n v="80"/>
    <n v="1520"/>
    <s v="Feb-2023"/>
    <s v="Q1-2023"/>
    <s v="Sun"/>
    <s v="Low"/>
  </r>
  <r>
    <s v="ORD-0824"/>
    <d v="2023-02-26T00:00:00"/>
    <s v="CUST-0354"/>
    <s v="Meera Chawla"/>
    <s v="South"/>
    <s v="Hyderabad"/>
    <x v="3"/>
    <s v="Amazon Fire HD"/>
    <n v="1"/>
    <n v="29000"/>
    <n v="0"/>
    <s v="Vikram Singh"/>
    <n v="29000"/>
    <n v="0"/>
    <n v="29000"/>
    <s v="Feb-2023"/>
    <s v="Q1-2023"/>
    <s v="Sun"/>
    <s v="Low"/>
  </r>
  <r>
    <s v="ORD-0825"/>
    <d v="2023-02-26T00:00:00"/>
    <s v="CUST-8905"/>
    <s v="Rahul Kapoor"/>
    <s v="West"/>
    <s v="Surat"/>
    <x v="1"/>
    <s v="Mechanical Keyboard"/>
    <n v="3"/>
    <n v="2700"/>
    <n v="10"/>
    <s v="Vikram Singh"/>
    <n v="8100"/>
    <n v="810"/>
    <n v="7290"/>
    <s v="Feb-2023"/>
    <s v="Q1-2023"/>
    <s v="Sun"/>
    <s v="Low"/>
  </r>
  <r>
    <s v="ORD-0826"/>
    <d v="2023-02-26T00:00:00"/>
    <s v="CUST-4945"/>
    <s v="Ananya Bose"/>
    <s v="East"/>
    <s v="Kolkata"/>
    <x v="0"/>
    <s v="Xiaomi 13"/>
    <n v="1"/>
    <n v="42800"/>
    <n v="25"/>
    <s v="Anjali Gupta"/>
    <n v="42800"/>
    <n v="10700"/>
    <n v="32100"/>
    <s v="Feb-2023"/>
    <s v="Q1-2023"/>
    <s v="Sun"/>
    <s v="Low"/>
  </r>
  <r>
    <s v="ORD-0827"/>
    <d v="2023-02-26T00:00:00"/>
    <s v="CUST-1200"/>
    <s v="Pallavi Krishnan"/>
    <s v="Central"/>
    <s v="Nagpur"/>
    <x v="4"/>
    <s v="Lenovo ThinkPad"/>
    <n v="2"/>
    <n v="77700"/>
    <n v="10"/>
    <s v="Priya Patel"/>
    <n v="155400"/>
    <n v="15540"/>
    <n v="139860"/>
    <s v="Feb-2023"/>
    <s v="Q1-2023"/>
    <s v="Sun"/>
    <s v="High"/>
  </r>
  <r>
    <s v="ORD-0828"/>
    <d v="2023-03-26T00:00:00"/>
    <s v="CUST-7270"/>
    <s v="Yash Dhawan"/>
    <s v="West"/>
    <s v="Surat"/>
    <x v="3"/>
    <s v="Amazon Fire HD"/>
    <n v="1"/>
    <n v="45600"/>
    <n v="0"/>
    <s v="Anjali Gupta"/>
    <n v="45600"/>
    <n v="0"/>
    <n v="45600"/>
    <s v="Mar-2023"/>
    <s v="Q1-2023"/>
    <s v="Sun"/>
    <s v="Low"/>
  </r>
  <r>
    <s v="ORD-0829"/>
    <d v="2023-03-26T00:00:00"/>
    <s v="CUST-9969"/>
    <s v="Ritika Menon"/>
    <s v="East"/>
    <s v="Ranchi"/>
    <x v="4"/>
    <s v="HP Pavilion"/>
    <n v="1"/>
    <n v="80000"/>
    <n v="25"/>
    <s v="Priya Patel"/>
    <n v="80000"/>
    <n v="20000"/>
    <n v="60000"/>
    <s v="Mar-2023"/>
    <s v="Q1-2023"/>
    <s v="Sun"/>
    <s v="Medium"/>
  </r>
  <r>
    <s v="ORD-0830"/>
    <d v="2023-03-26T00:00:00"/>
    <s v="CUST-2917"/>
    <s v="Ishita Bansal"/>
    <s v="East"/>
    <s v="Patna"/>
    <x v="1"/>
    <s v="Wireless Mouse"/>
    <n v="2"/>
    <n v="2100"/>
    <n v="15"/>
    <s v="Rohan Mehta"/>
    <n v="4200"/>
    <n v="630"/>
    <n v="3570"/>
    <s v="Mar-2023"/>
    <s v="Q1-2023"/>
    <s v="Sun"/>
    <s v="Low"/>
  </r>
  <r>
    <s v="ORD-0831"/>
    <d v="2023-03-26T00:00:00"/>
    <s v="CUST-4295"/>
    <s v="Manish Arora"/>
    <s v="Central"/>
    <s v="Indore"/>
    <x v="0"/>
    <s v="iPhone 14"/>
    <n v="1"/>
    <n v="28700"/>
    <n v="0"/>
    <s v="Anjali Gupta"/>
    <n v="28700"/>
    <n v="0"/>
    <n v="28700"/>
    <s v="Mar-2023"/>
    <s v="Q1-2023"/>
    <s v="Sun"/>
    <s v="Low"/>
  </r>
  <r>
    <s v="ORD-0832"/>
    <d v="2023-04-26T00:00:00"/>
    <s v="CUST-9929"/>
    <s v="Kunal Dixit"/>
    <s v="East"/>
    <s v="Bhubaneswar"/>
    <x v="1"/>
    <s v="Wireless Mouse"/>
    <n v="2"/>
    <n v="2000"/>
    <n v="20"/>
    <s v="Rohan Mehta"/>
    <n v="4000"/>
    <n v="800"/>
    <n v="3200"/>
    <s v="Apr-2023"/>
    <s v="Q2-2023"/>
    <s v="Wed"/>
    <s v="Low"/>
  </r>
  <r>
    <s v="ORD-0833"/>
    <d v="2023-04-26T00:00:00"/>
    <s v="CUST-0018"/>
    <s v="Tanvi Kulkarni"/>
    <s v="Central"/>
    <s v="Bhopal"/>
    <x v="2"/>
    <s v="Apple Watch Series 8"/>
    <n v="1"/>
    <n v="18300"/>
    <n v="25"/>
    <s v="Vikram Singh"/>
    <n v="18300"/>
    <n v="4575"/>
    <n v="13725"/>
    <s v="Apr-2023"/>
    <s v="Q2-2023"/>
    <s v="Wed"/>
    <s v="Low"/>
  </r>
  <r>
    <s v="ORD-0834"/>
    <d v="2023-04-26T00:00:00"/>
    <s v="CUST-5060"/>
    <s v="Gaurav Bhatt"/>
    <s v="South"/>
    <s v="Chennai"/>
    <x v="4"/>
    <s v="Dell Inspiron"/>
    <n v="1"/>
    <n v="47300"/>
    <n v="5"/>
    <s v="Priya Patel"/>
    <n v="47300"/>
    <n v="2365"/>
    <n v="44935"/>
    <s v="Apr-2023"/>
    <s v="Q2-2023"/>
    <s v="Wed"/>
    <s v="Low"/>
  </r>
  <r>
    <s v="ORD-0835"/>
    <d v="2023-04-26T00:00:00"/>
    <s v="CUST-0895"/>
    <s v="Nikhil Jain"/>
    <s v="East"/>
    <s v="Kolkata"/>
    <x v="0"/>
    <s v="Samsung Galaxy S23"/>
    <n v="1"/>
    <n v="33100"/>
    <n v="0"/>
    <s v="Rohan Mehta"/>
    <n v="33100"/>
    <n v="0"/>
    <n v="33100"/>
    <s v="Apr-2023"/>
    <s v="Q2-2023"/>
    <s v="Wed"/>
    <s v="Low"/>
  </r>
  <r>
    <s v="ORD-0836"/>
    <d v="2023-05-26T00:00:00"/>
    <s v="CUST-8905"/>
    <s v="Rahul Kapoor"/>
    <s v="Central"/>
    <s v="Raipur"/>
    <x v="2"/>
    <s v="Samsung Galaxy Watch"/>
    <n v="1"/>
    <n v="19000"/>
    <n v="0"/>
    <s v="Rohan Mehta"/>
    <n v="19000"/>
    <n v="0"/>
    <n v="19000"/>
    <s v="May-2023"/>
    <s v="Q2-2023"/>
    <s v="Fri"/>
    <s v="Low"/>
  </r>
  <r>
    <s v="ORD-0837"/>
    <d v="2023-06-26T00:00:00"/>
    <s v="CUST-8962"/>
    <s v="Priya Singh"/>
    <s v="Central"/>
    <s v="Nagpur"/>
    <x v="1"/>
    <s v="USB-C Cable"/>
    <n v="2"/>
    <n v="3000"/>
    <n v="0"/>
    <s v="Anjali Gupta"/>
    <n v="6000"/>
    <n v="0"/>
    <n v="6000"/>
    <s v="Jun-2023"/>
    <s v="Q2-2023"/>
    <s v="Mon"/>
    <s v="Low"/>
  </r>
  <r>
    <s v="ORD-0838"/>
    <d v="2023-06-26T00:00:00"/>
    <s v="CUST-1540"/>
    <s v="Simran Kaur"/>
    <s v="East"/>
    <s v="Ranchi"/>
    <x v="1"/>
    <s v="USB-C Cable"/>
    <n v="1"/>
    <n v="1900"/>
    <n v="5"/>
    <s v="Rohan Mehta"/>
    <n v="1900"/>
    <n v="95"/>
    <n v="1805"/>
    <s v="Jun-2023"/>
    <s v="Q2-2023"/>
    <s v="Mon"/>
    <s v="Low"/>
  </r>
  <r>
    <s v="ORD-0839"/>
    <d v="2023-06-26T00:00:00"/>
    <s v="CUST-5247"/>
    <s v="Kavya Iyer"/>
    <s v="Central"/>
    <s v="Nagpur"/>
    <x v="4"/>
    <s v="ASUS VivoBook"/>
    <n v="1"/>
    <n v="52300"/>
    <n v="20"/>
    <s v="Rohan Mehta"/>
    <n v="52300"/>
    <n v="10460"/>
    <n v="41840"/>
    <s v="Jun-2023"/>
    <s v="Q2-2023"/>
    <s v="Mon"/>
    <s v="Low"/>
  </r>
  <r>
    <s v="ORD-0840"/>
    <d v="2023-07-26T00:00:00"/>
    <s v="CUST-4064"/>
    <s v="Nisha Ghosh"/>
    <s v="East"/>
    <s v="Bhubaneswar"/>
    <x v="4"/>
    <s v="Lenovo ThinkPad"/>
    <n v="1"/>
    <n v="60700"/>
    <n v="15"/>
    <s v="Vikram Singh"/>
    <n v="60700"/>
    <n v="9105"/>
    <n v="51595"/>
    <s v="Jul-2023"/>
    <s v="Q3-2023"/>
    <s v="Wed"/>
    <s v="Medium"/>
  </r>
  <r>
    <s v="ORD-0841"/>
    <d v="2023-08-26T00:00:00"/>
    <s v="CUST-4761"/>
    <s v="Rajesh Kumar"/>
    <s v="Central"/>
    <s v="Bhopal"/>
    <x v="1"/>
    <s v="USB-C Cable"/>
    <n v="3"/>
    <n v="2000"/>
    <n v="20"/>
    <s v="Sneha Reddy"/>
    <n v="6000"/>
    <n v="1200"/>
    <n v="4800"/>
    <s v="Aug-2023"/>
    <s v="Q3-2023"/>
    <s v="Sat"/>
    <s v="Low"/>
  </r>
  <r>
    <s v="ORD-0842"/>
    <d v="2023-08-26T00:00:00"/>
    <s v="CUST-2243"/>
    <s v="Divya Shah"/>
    <s v="South"/>
    <s v="Hyderabad"/>
    <x v="4"/>
    <s v="HP Pavilion"/>
    <n v="1"/>
    <n v="70300"/>
    <n v="0"/>
    <s v="Kavya Iyer"/>
    <n v="70300"/>
    <n v="0"/>
    <n v="70300"/>
    <s v="Aug-2023"/>
    <s v="Q3-2023"/>
    <s v="Sat"/>
    <s v="Medium"/>
  </r>
  <r>
    <s v="ORD-0843"/>
    <d v="2023-08-26T00:00:00"/>
    <s v="CUST-4295"/>
    <s v="Manish Arora"/>
    <s v="South"/>
    <s v="Chennai"/>
    <x v="3"/>
    <s v="Amazon Fire HD"/>
    <n v="1"/>
    <n v="37800"/>
    <n v="25"/>
    <s v="Rohan Mehta"/>
    <n v="37800"/>
    <n v="9450"/>
    <n v="28350"/>
    <s v="Aug-2023"/>
    <s v="Q3-2023"/>
    <s v="Sat"/>
    <s v="Low"/>
  </r>
  <r>
    <s v="ORD-0844"/>
    <d v="2023-09-26T00:00:00"/>
    <s v="CUST-6295"/>
    <s v="Arjun Nair"/>
    <s v="North"/>
    <s v="Delhi"/>
    <x v="4"/>
    <s v="Dell Inspiron"/>
    <n v="1"/>
    <n v="65700"/>
    <n v="10"/>
    <s v="Sneha Reddy"/>
    <n v="65700"/>
    <n v="6570"/>
    <n v="59130"/>
    <s v="Sep-2023"/>
    <s v="Q3-2023"/>
    <s v="Tue"/>
    <s v="Medium"/>
  </r>
  <r>
    <s v="ORD-0845"/>
    <d v="2023-09-26T00:00:00"/>
    <s v="CUST-5060"/>
    <s v="Gaurav Bhatt"/>
    <s v="East"/>
    <s v="Kolkata"/>
    <x v="2"/>
    <s v="Apple Watch Series 8"/>
    <n v="1"/>
    <n v="23200"/>
    <n v="10"/>
    <s v="Rahul Sharma"/>
    <n v="23200"/>
    <n v="2320"/>
    <n v="20880"/>
    <s v="Sep-2023"/>
    <s v="Q3-2023"/>
    <s v="Tue"/>
    <s v="Low"/>
  </r>
  <r>
    <s v="ORD-0846"/>
    <d v="2023-10-26T00:00:00"/>
    <s v="CUST-8995"/>
    <s v="Mohit Saxena"/>
    <s v="West"/>
    <s v="Mumbai"/>
    <x v="4"/>
    <s v="ASUS VivoBook"/>
    <n v="1"/>
    <n v="60200"/>
    <n v="0"/>
    <s v="Rohan Mehta"/>
    <n v="60200"/>
    <n v="0"/>
    <n v="60200"/>
    <s v="Oct-2023"/>
    <s v="Q4-2023"/>
    <s v="Thu"/>
    <s v="Medium"/>
  </r>
  <r>
    <s v="ORD-0847"/>
    <d v="2023-10-26T00:00:00"/>
    <s v="CUST-2917"/>
    <s v="Ishita Bansal"/>
    <s v="Central"/>
    <s v="Indore"/>
    <x v="1"/>
    <s v="Mechanical Keyboard"/>
    <n v="2"/>
    <n v="2400"/>
    <n v="0"/>
    <s v="Anjali Gupta"/>
    <n v="4800"/>
    <n v="0"/>
    <n v="4800"/>
    <s v="Oct-2023"/>
    <s v="Q4-2023"/>
    <s v="Thu"/>
    <s v="Low"/>
  </r>
  <r>
    <s v="ORD-0848"/>
    <d v="2023-10-26T00:00:00"/>
    <s v="CUST-4767"/>
    <s v="Sanjay Joshi"/>
    <s v="Central"/>
    <s v="Nagpur"/>
    <x v="4"/>
    <s v="Dell Inspiron"/>
    <n v="1"/>
    <n v="48900"/>
    <n v="0"/>
    <s v="Kavya Iyer"/>
    <n v="48900"/>
    <n v="0"/>
    <n v="48900"/>
    <s v="Oct-2023"/>
    <s v="Q4-2023"/>
    <s v="Thu"/>
    <s v="Low"/>
  </r>
  <r>
    <s v="ORD-0849"/>
    <d v="2023-10-26T00:00:00"/>
    <s v="CUST-4295"/>
    <s v="Manish Arora"/>
    <s v="South"/>
    <s v="Chennai"/>
    <x v="3"/>
    <s v="Lenovo Tab P11"/>
    <n v="1"/>
    <n v="37900"/>
    <n v="0"/>
    <s v="Rohan Mehta"/>
    <n v="37900"/>
    <n v="0"/>
    <n v="37900"/>
    <s v="Oct-2023"/>
    <s v="Q4-2023"/>
    <s v="Thu"/>
    <s v="Low"/>
  </r>
  <r>
    <s v="ORD-0850"/>
    <d v="2023-11-26T00:00:00"/>
    <s v="CUST-9969"/>
    <s v="Ritika Menon"/>
    <s v="West"/>
    <s v="Ahmedabad"/>
    <x v="1"/>
    <s v="Webcam"/>
    <n v="1"/>
    <n v="1300"/>
    <n v="10"/>
    <s v="Vikram Singh"/>
    <n v="1300"/>
    <n v="130"/>
    <n v="1170"/>
    <s v="Nov-2023"/>
    <s v="Q4-2023"/>
    <s v="Sun"/>
    <s v="Low"/>
  </r>
  <r>
    <s v="ORD-0851"/>
    <d v="2023-11-26T00:00:00"/>
    <s v="CUST-4414"/>
    <s v="Vikram Reddy"/>
    <s v="South"/>
    <s v="Kochi"/>
    <x v="1"/>
    <s v="Mechanical Keyboard"/>
    <n v="2"/>
    <n v="2400"/>
    <n v="0"/>
    <s v="Kavya Iyer"/>
    <n v="4800"/>
    <n v="0"/>
    <n v="4800"/>
    <s v="Nov-2023"/>
    <s v="Q4-2023"/>
    <s v="Sun"/>
    <s v="Low"/>
  </r>
  <r>
    <s v="ORD-0852"/>
    <d v="2023-11-26T00:00:00"/>
    <s v="CUST-8185"/>
    <s v="Rohan Mehta"/>
    <s v="North"/>
    <s v="Delhi"/>
    <x v="1"/>
    <s v="Laptop Bag"/>
    <n v="2"/>
    <n v="1800"/>
    <n v="10"/>
    <s v="Kavya Iyer"/>
    <n v="3600"/>
    <n v="360"/>
    <n v="3240"/>
    <s v="Nov-2023"/>
    <s v="Q4-2023"/>
    <s v="Sun"/>
    <s v="Low"/>
  </r>
  <r>
    <s v="ORD-0853"/>
    <d v="2023-11-26T00:00:00"/>
    <s v="CUST-8593"/>
    <s v="Sneha Sharma"/>
    <s v="South"/>
    <s v="Kochi"/>
    <x v="3"/>
    <s v="Lenovo Tab P11"/>
    <n v="1"/>
    <n v="30100"/>
    <n v="15"/>
    <s v="Priya Patel"/>
    <n v="30100"/>
    <n v="4515"/>
    <n v="25585"/>
    <s v="Nov-2023"/>
    <s v="Q4-2023"/>
    <s v="Sun"/>
    <s v="Low"/>
  </r>
  <r>
    <s v="ORD-0854"/>
    <d v="2023-12-26T00:00:00"/>
    <s v="CUST-9929"/>
    <s v="Kunal Dixit"/>
    <s v="North"/>
    <s v="Delhi"/>
    <x v="0"/>
    <s v="Xiaomi 13"/>
    <n v="1"/>
    <n v="21000"/>
    <n v="0"/>
    <s v="Priya Patel"/>
    <n v="21000"/>
    <n v="0"/>
    <n v="21000"/>
    <s v="Dec-2023"/>
    <s v="Q4-2023"/>
    <s v="Tue"/>
    <s v="Low"/>
  </r>
  <r>
    <s v="ORD-0855"/>
    <d v="2023-12-26T00:00:00"/>
    <s v="CUST-8185"/>
    <s v="Rohan Mehta"/>
    <s v="South"/>
    <s v="Bangalore"/>
    <x v="0"/>
    <s v="Samsung Galaxy S23"/>
    <n v="1"/>
    <n v="42300"/>
    <n v="5"/>
    <s v="Kavya Iyer"/>
    <n v="42300"/>
    <n v="2115"/>
    <n v="40185"/>
    <s v="Dec-2023"/>
    <s v="Q4-2023"/>
    <s v="Tue"/>
    <s v="Low"/>
  </r>
  <r>
    <s v="ORD-0856"/>
    <d v="2023-01-27T00:00:00"/>
    <s v="CUST-4761"/>
    <s v="Rajesh Kumar"/>
    <s v="South"/>
    <s v="Bangalore"/>
    <x v="0"/>
    <s v="Xiaomi 13"/>
    <n v="1"/>
    <n v="27400"/>
    <n v="10"/>
    <s v="Amit Kumar"/>
    <n v="27400"/>
    <n v="2740"/>
    <n v="24660"/>
    <s v="Jan-2023"/>
    <s v="Q1-2023"/>
    <s v="Fri"/>
    <s v="Low"/>
  </r>
  <r>
    <s v="ORD-0857"/>
    <d v="2023-01-27T00:00:00"/>
    <s v="CUST-5247"/>
    <s v="Kavya Iyer"/>
    <s v="West"/>
    <s v="Ahmedabad"/>
    <x v="2"/>
    <s v="Apple Watch Series 8"/>
    <n v="1"/>
    <n v="31000"/>
    <n v="20"/>
    <s v="Vikram Singh"/>
    <n v="31000"/>
    <n v="6200"/>
    <n v="24800"/>
    <s v="Jan-2023"/>
    <s v="Q1-2023"/>
    <s v="Fri"/>
    <s v="Low"/>
  </r>
  <r>
    <s v="ORD-0858"/>
    <d v="2023-01-27T00:00:00"/>
    <s v="CUST-5060"/>
    <s v="Gaurav Bhatt"/>
    <s v="South"/>
    <s v="Kochi"/>
    <x v="1"/>
    <s v="Laptop Bag"/>
    <n v="2"/>
    <n v="2200"/>
    <n v="5"/>
    <s v="Sneha Reddy"/>
    <n v="4400"/>
    <n v="220"/>
    <n v="4180"/>
    <s v="Jan-2023"/>
    <s v="Q1-2023"/>
    <s v="Fri"/>
    <s v="Low"/>
  </r>
  <r>
    <s v="ORD-0859"/>
    <d v="2023-01-27T00:00:00"/>
    <s v="CUST-4816"/>
    <s v="Amit Patel"/>
    <s v="North"/>
    <s v="Chandigarh"/>
    <x v="3"/>
    <s v="Amazon Fire HD"/>
    <n v="1"/>
    <n v="36300"/>
    <n v="25"/>
    <s v="Anjali Gupta"/>
    <n v="36300"/>
    <n v="9075"/>
    <n v="27225"/>
    <s v="Jan-2023"/>
    <s v="Q1-2023"/>
    <s v="Fri"/>
    <s v="Low"/>
  </r>
  <r>
    <s v="ORD-0860"/>
    <d v="2023-02-27T00:00:00"/>
    <s v="CUST-2243"/>
    <s v="Divya Shah"/>
    <s v="North"/>
    <s v="Jaipur"/>
    <x v="4"/>
    <s v="HP Pavilion"/>
    <n v="1"/>
    <n v="66000"/>
    <n v="15"/>
    <s v="Sneha Reddy"/>
    <n v="66000"/>
    <n v="9900"/>
    <n v="56100"/>
    <s v="Feb-2023"/>
    <s v="Q1-2023"/>
    <s v="Mon"/>
    <s v="Medium"/>
  </r>
  <r>
    <s v="ORD-0861"/>
    <d v="2023-02-27T00:00:00"/>
    <s v="CUST-2055"/>
    <s v="Shreya Pandey"/>
    <s v="Central"/>
    <s v="Indore"/>
    <x v="2"/>
    <s v="Fitbit Versa 4"/>
    <n v="1"/>
    <n v="29800"/>
    <n v="15"/>
    <s v="Amit Kumar"/>
    <n v="29800"/>
    <n v="4470"/>
    <n v="25330"/>
    <s v="Feb-2023"/>
    <s v="Q1-2023"/>
    <s v="Mon"/>
    <s v="Low"/>
  </r>
  <r>
    <s v="ORD-0862"/>
    <d v="2023-02-27T00:00:00"/>
    <s v="CUST-8995"/>
    <s v="Mohit Saxena"/>
    <s v="West"/>
    <s v="Surat"/>
    <x v="4"/>
    <s v="Dell Inspiron"/>
    <n v="1"/>
    <n v="52100"/>
    <n v="5"/>
    <s v="Rahul Sharma"/>
    <n v="52100"/>
    <n v="2605"/>
    <n v="49495"/>
    <s v="Feb-2023"/>
    <s v="Q1-2023"/>
    <s v="Mon"/>
    <s v="Low"/>
  </r>
  <r>
    <s v="ORD-0863"/>
    <d v="2023-03-27T00:00:00"/>
    <s v="CUST-1661"/>
    <s v="Harsh Sinha"/>
    <s v="East"/>
    <s v="Ranchi"/>
    <x v="2"/>
    <s v="Apple Watch Series 8"/>
    <n v="1"/>
    <n v="12200"/>
    <n v="5"/>
    <s v="Rohan Mehta"/>
    <n v="12200"/>
    <n v="610"/>
    <n v="11590"/>
    <s v="Mar-2023"/>
    <s v="Q1-2023"/>
    <s v="Mon"/>
    <s v="Low"/>
  </r>
  <r>
    <s v="ORD-0864"/>
    <d v="2023-03-27T00:00:00"/>
    <s v="CUST-1661"/>
    <s v="Harsh Sinha"/>
    <s v="West"/>
    <s v="Surat"/>
    <x v="1"/>
    <s v="USB-C Cable"/>
    <n v="2"/>
    <n v="2500"/>
    <n v="20"/>
    <s v="Priya Patel"/>
    <n v="5000"/>
    <n v="1000"/>
    <n v="4000"/>
    <s v="Mar-2023"/>
    <s v="Q1-2023"/>
    <s v="Mon"/>
    <s v="Low"/>
  </r>
  <r>
    <s v="ORD-0865"/>
    <d v="2023-03-27T00:00:00"/>
    <s v="CUST-4064"/>
    <s v="Nisha Ghosh"/>
    <s v="Central"/>
    <s v="Bhopal"/>
    <x v="2"/>
    <s v="Mi Band 7"/>
    <n v="1"/>
    <n v="15400"/>
    <n v="10"/>
    <s v="Priya Patel"/>
    <n v="15400"/>
    <n v="1540"/>
    <n v="13860"/>
    <s v="Mar-2023"/>
    <s v="Q1-2023"/>
    <s v="Mon"/>
    <s v="Low"/>
  </r>
  <r>
    <s v="ORD-0866"/>
    <d v="2023-03-27T00:00:00"/>
    <s v="CUST-5560"/>
    <s v="Swati Nambiar"/>
    <s v="West"/>
    <s v="Ahmedabad"/>
    <x v="1"/>
    <s v="Wireless Mouse"/>
    <n v="3"/>
    <n v="900"/>
    <n v="10"/>
    <s v="Rohan Mehta"/>
    <n v="2700"/>
    <n v="270"/>
    <n v="2430"/>
    <s v="Mar-2023"/>
    <s v="Q1-2023"/>
    <s v="Mon"/>
    <s v="Low"/>
  </r>
  <r>
    <s v="ORD-0867"/>
    <d v="2023-05-27T00:00:00"/>
    <s v="CUST-4761"/>
    <s v="Rajesh Kumar"/>
    <s v="West"/>
    <s v="Mumbai"/>
    <x v="1"/>
    <s v="Laptop Bag"/>
    <n v="3"/>
    <n v="2000"/>
    <n v="5"/>
    <s v="Rohan Mehta"/>
    <n v="6000"/>
    <n v="300"/>
    <n v="5700"/>
    <s v="May-2023"/>
    <s v="Q2-2023"/>
    <s v="Sat"/>
    <s v="Low"/>
  </r>
  <r>
    <s v="ORD-0868"/>
    <d v="2023-06-27T00:00:00"/>
    <s v="CUST-5055"/>
    <s v="Riya Malhotra"/>
    <s v="East"/>
    <s v="Patna"/>
    <x v="3"/>
    <s v="Samsung Tab S8"/>
    <n v="1"/>
    <n v="39000"/>
    <n v="20"/>
    <s v="Rahul Sharma"/>
    <n v="39000"/>
    <n v="7800"/>
    <n v="31200"/>
    <s v="Jun-2023"/>
    <s v="Q2-2023"/>
    <s v="Tue"/>
    <s v="Low"/>
  </r>
  <r>
    <s v="ORD-0869"/>
    <d v="2023-06-27T00:00:00"/>
    <s v="CUST-2055"/>
    <s v="Shreya Pandey"/>
    <s v="West"/>
    <s v="Pune"/>
    <x v="4"/>
    <s v="ASUS VivoBook"/>
    <n v="1"/>
    <n v="53900"/>
    <n v="5"/>
    <s v="Rohan Mehta"/>
    <n v="53900"/>
    <n v="2695"/>
    <n v="51205"/>
    <s v="Jun-2023"/>
    <s v="Q2-2023"/>
    <s v="Tue"/>
    <s v="Medium"/>
  </r>
  <r>
    <s v="ORD-0870"/>
    <d v="2023-06-27T00:00:00"/>
    <s v="CUST-5055"/>
    <s v="Riya Malhotra"/>
    <s v="Central"/>
    <s v="Nagpur"/>
    <x v="0"/>
    <s v="OnePlus Nord"/>
    <n v="1"/>
    <n v="42700"/>
    <n v="0"/>
    <s v="Priya Patel"/>
    <n v="42700"/>
    <n v="0"/>
    <n v="42700"/>
    <s v="Jun-2023"/>
    <s v="Q2-2023"/>
    <s v="Tue"/>
    <s v="Low"/>
  </r>
  <r>
    <s v="ORD-0871"/>
    <d v="2023-06-27T00:00:00"/>
    <s v="CUST-6453"/>
    <s v="Karan Verma"/>
    <s v="West"/>
    <s v="Pune"/>
    <x v="2"/>
    <s v="Apple Watch Series 8"/>
    <n v="1"/>
    <n v="18900"/>
    <n v="0"/>
    <s v="Kavya Iyer"/>
    <n v="18900"/>
    <n v="0"/>
    <n v="18900"/>
    <s v="Jun-2023"/>
    <s v="Q2-2023"/>
    <s v="Tue"/>
    <s v="Low"/>
  </r>
  <r>
    <s v="ORD-0872"/>
    <d v="2023-06-27T00:00:00"/>
    <s v="CUST-4945"/>
    <s v="Ananya Bose"/>
    <s v="East"/>
    <s v="Bhubaneswar"/>
    <x v="2"/>
    <s v="Fitbit Versa 4"/>
    <n v="1"/>
    <n v="25900"/>
    <n v="15"/>
    <s v="Rahul Sharma"/>
    <n v="25900"/>
    <n v="3885"/>
    <n v="22015"/>
    <s v="Jun-2023"/>
    <s v="Q2-2023"/>
    <s v="Tue"/>
    <s v="Low"/>
  </r>
  <r>
    <s v="ORD-0873"/>
    <d v="2023-08-27T00:00:00"/>
    <s v="CUST-8995"/>
    <s v="Mohit Saxena"/>
    <s v="North"/>
    <s v="Chandigarh"/>
    <x v="3"/>
    <s v="Samsung Tab S8"/>
    <n v="1"/>
    <n v="25700"/>
    <n v="10"/>
    <s v="Rohan Mehta"/>
    <n v="25700"/>
    <n v="2570"/>
    <n v="23130"/>
    <s v="Aug-2023"/>
    <s v="Q3-2023"/>
    <s v="Sun"/>
    <s v="Low"/>
  </r>
  <r>
    <s v="ORD-0874"/>
    <d v="2023-08-27T00:00:00"/>
    <s v="CUST-5247"/>
    <s v="Kavya Iyer"/>
    <s v="East"/>
    <s v="Patna"/>
    <x v="0"/>
    <s v="Realme GT"/>
    <n v="1"/>
    <n v="29500"/>
    <n v="25"/>
    <s v="Amit Kumar"/>
    <n v="29500"/>
    <n v="7375"/>
    <n v="22125"/>
    <s v="Aug-2023"/>
    <s v="Q3-2023"/>
    <s v="Sun"/>
    <s v="Low"/>
  </r>
  <r>
    <s v="ORD-0875"/>
    <d v="2023-09-27T00:00:00"/>
    <s v="CUST-4414"/>
    <s v="Vikram Reddy"/>
    <s v="West"/>
    <s v="Mumbai"/>
    <x v="0"/>
    <s v="Xiaomi 13"/>
    <n v="1"/>
    <n v="47200"/>
    <n v="0"/>
    <s v="Kavya Iyer"/>
    <n v="47200"/>
    <n v="0"/>
    <n v="47200"/>
    <s v="Sep-2023"/>
    <s v="Q3-2023"/>
    <s v="Wed"/>
    <s v="Low"/>
  </r>
  <r>
    <s v="ORD-0876"/>
    <d v="2023-10-27T00:00:00"/>
    <s v="CUST-9965"/>
    <s v="Neha Agarwal"/>
    <s v="West"/>
    <s v="Pune"/>
    <x v="4"/>
    <s v="Acer Aspire"/>
    <n v="1"/>
    <n v="50200"/>
    <n v="0"/>
    <s v="Priya Patel"/>
    <n v="50200"/>
    <n v="0"/>
    <n v="50200"/>
    <s v="Oct-2023"/>
    <s v="Q4-2023"/>
    <s v="Fri"/>
    <s v="Medium"/>
  </r>
  <r>
    <s v="ORD-0877"/>
    <d v="2023-10-27T00:00:00"/>
    <s v="CUST-5055"/>
    <s v="Riya Malhotra"/>
    <s v="South"/>
    <s v="Chennai"/>
    <x v="4"/>
    <s v="HP Pavilion"/>
    <n v="1"/>
    <n v="51200"/>
    <n v="5"/>
    <s v="Rahul Sharma"/>
    <n v="51200"/>
    <n v="2560"/>
    <n v="48640"/>
    <s v="Oct-2023"/>
    <s v="Q4-2023"/>
    <s v="Fri"/>
    <s v="Low"/>
  </r>
  <r>
    <s v="ORD-0878"/>
    <d v="2023-10-27T00:00:00"/>
    <s v="CUST-2917"/>
    <s v="Ishita Bansal"/>
    <s v="North"/>
    <s v="Chandigarh"/>
    <x v="1"/>
    <s v="Wireless Mouse"/>
    <n v="2"/>
    <n v="1000"/>
    <n v="10"/>
    <s v="Rohan Mehta"/>
    <n v="2000"/>
    <n v="200"/>
    <n v="1800"/>
    <s v="Oct-2023"/>
    <s v="Q4-2023"/>
    <s v="Fri"/>
    <s v="Low"/>
  </r>
  <r>
    <s v="ORD-0879"/>
    <d v="2023-10-27T00:00:00"/>
    <s v="CUST-8185"/>
    <s v="Rohan Mehta"/>
    <s v="West"/>
    <s v="Pune"/>
    <x v="2"/>
    <s v="Fitbit Versa 4"/>
    <n v="1"/>
    <n v="28000"/>
    <n v="0"/>
    <s v="Rohan Mehta"/>
    <n v="28000"/>
    <n v="0"/>
    <n v="28000"/>
    <s v="Oct-2023"/>
    <s v="Q4-2023"/>
    <s v="Fri"/>
    <s v="Low"/>
  </r>
  <r>
    <s v="ORD-0880"/>
    <d v="2023-11-27T00:00:00"/>
    <s v="CUST-4816"/>
    <s v="Amit Patel"/>
    <s v="North"/>
    <s v="Chandigarh"/>
    <x v="1"/>
    <s v="Webcam"/>
    <n v="2"/>
    <n v="1800"/>
    <n v="20"/>
    <s v="Kavya Iyer"/>
    <n v="3600"/>
    <n v="720"/>
    <n v="2880"/>
    <s v="Nov-2023"/>
    <s v="Q4-2023"/>
    <s v="Mon"/>
    <s v="Low"/>
  </r>
  <r>
    <s v="ORD-0881"/>
    <d v="2023-12-27T00:00:00"/>
    <s v="CUST-1540"/>
    <s v="Simran Kaur"/>
    <s v="Central"/>
    <s v="Indore"/>
    <x v="3"/>
    <s v="iPad Air"/>
    <n v="1"/>
    <n v="38200"/>
    <n v="10"/>
    <s v="Kavya Iyer"/>
    <n v="38200"/>
    <n v="3820"/>
    <n v="34380"/>
    <s v="Dec-2023"/>
    <s v="Q4-2023"/>
    <s v="Wed"/>
    <s v="Low"/>
  </r>
  <r>
    <s v="ORD-0882"/>
    <d v="2023-12-27T00:00:00"/>
    <s v="CUST-5560"/>
    <s v="Swati Nambiar"/>
    <s v="East"/>
    <s v="Patna"/>
    <x v="2"/>
    <s v="Mi Band 7"/>
    <n v="1"/>
    <n v="13900"/>
    <n v="15"/>
    <s v="Vikram Singh"/>
    <n v="13900"/>
    <n v="2085"/>
    <n v="11815"/>
    <s v="Dec-2023"/>
    <s v="Q4-2023"/>
    <s v="Wed"/>
    <s v="Low"/>
  </r>
  <r>
    <s v="ORD-0883"/>
    <d v="2023-12-27T00:00:00"/>
    <s v="CUST-4945"/>
    <s v="Ananya Bose"/>
    <s v="South"/>
    <s v="Hyderabad"/>
    <x v="3"/>
    <s v="Amazon Fire HD"/>
    <n v="1"/>
    <n v="20000"/>
    <n v="20"/>
    <s v="Priya Patel"/>
    <n v="20000"/>
    <n v="4000"/>
    <n v="16000"/>
    <s v="Dec-2023"/>
    <s v="Q4-2023"/>
    <s v="Wed"/>
    <s v="Low"/>
  </r>
  <r>
    <s v="ORD-0884"/>
    <d v="2023-12-27T00:00:00"/>
    <s v="CUST-8995"/>
    <s v="Mohit Saxena"/>
    <s v="North"/>
    <s v="Delhi"/>
    <x v="2"/>
    <s v="Fitbit Versa 4"/>
    <n v="1"/>
    <n v="29100"/>
    <n v="10"/>
    <s v="Sneha Reddy"/>
    <n v="29100"/>
    <n v="2910"/>
    <n v="26190"/>
    <s v="Dec-2023"/>
    <s v="Q4-2023"/>
    <s v="Wed"/>
    <s v="Low"/>
  </r>
  <r>
    <s v="ORD-0885"/>
    <d v="2023-12-27T00:00:00"/>
    <s v="CUST-1200"/>
    <s v="Pallavi Krishnan"/>
    <s v="North"/>
    <s v="Delhi"/>
    <x v="2"/>
    <s v="Samsung Galaxy Watch"/>
    <n v="1"/>
    <n v="19800"/>
    <n v="20"/>
    <s v="Anjali Gupta"/>
    <n v="19800"/>
    <n v="3960"/>
    <n v="15840"/>
    <s v="Dec-2023"/>
    <s v="Q4-2023"/>
    <s v="Wed"/>
    <s v="Low"/>
  </r>
  <r>
    <s v="ORD-0886"/>
    <d v="2023-12-27T00:00:00"/>
    <s v="CUST-6295"/>
    <s v="Arjun Nair"/>
    <s v="North"/>
    <s v="Delhi"/>
    <x v="0"/>
    <s v="Xiaomi 13"/>
    <n v="1"/>
    <n v="49400"/>
    <n v="0"/>
    <s v="Sneha Reddy"/>
    <n v="49400"/>
    <n v="0"/>
    <n v="49400"/>
    <s v="Dec-2023"/>
    <s v="Q4-2023"/>
    <s v="Wed"/>
    <s v="Low"/>
  </r>
  <r>
    <s v="ORD-0887"/>
    <d v="2023-01-28T00:00:00"/>
    <s v="CUST-7693"/>
    <s v="Sameer Dutta"/>
    <s v="North"/>
    <s v="Chandigarh"/>
    <x v="0"/>
    <s v="Samsung Galaxy S23"/>
    <n v="1"/>
    <n v="56300"/>
    <n v="10"/>
    <s v="Rohan Mehta"/>
    <n v="56300"/>
    <n v="5630"/>
    <n v="50670"/>
    <s v="Jan-2023"/>
    <s v="Q1-2023"/>
    <s v="Sat"/>
    <s v="Medium"/>
  </r>
  <r>
    <s v="ORD-0888"/>
    <d v="2023-01-28T00:00:00"/>
    <s v="CUST-6126"/>
    <s v="Siddharth Tiwari"/>
    <s v="South"/>
    <s v="Kochi"/>
    <x v="3"/>
    <s v="Amazon Fire HD"/>
    <n v="1"/>
    <n v="39900"/>
    <n v="10"/>
    <s v="Priya Patel"/>
    <n v="39900"/>
    <n v="3990"/>
    <n v="35910"/>
    <s v="Jan-2023"/>
    <s v="Q1-2023"/>
    <s v="Sat"/>
    <s v="Low"/>
  </r>
  <r>
    <s v="ORD-0889"/>
    <d v="2023-01-28T00:00:00"/>
    <s v="CUST-5409"/>
    <s v="Akash Pillai"/>
    <s v="East"/>
    <s v="Kolkata"/>
    <x v="3"/>
    <s v="Samsung Tab S8"/>
    <n v="1"/>
    <n v="33800"/>
    <n v="10"/>
    <s v="Sneha Reddy"/>
    <n v="33800"/>
    <n v="3380"/>
    <n v="30420"/>
    <s v="Jan-2023"/>
    <s v="Q1-2023"/>
    <s v="Sat"/>
    <s v="Low"/>
  </r>
  <r>
    <s v="ORD-0890"/>
    <d v="2023-02-28T00:00:00"/>
    <s v="CUST-7724"/>
    <s v="Anjali Gupta"/>
    <s v="West"/>
    <s v="Pune"/>
    <x v="0"/>
    <s v="Xiaomi 13"/>
    <n v="1"/>
    <n v="42100"/>
    <n v="0"/>
    <s v="Rohan Mehta"/>
    <n v="42100"/>
    <n v="0"/>
    <n v="42100"/>
    <s v="Feb-2023"/>
    <s v="Q1-2023"/>
    <s v="Tue"/>
    <s v="Low"/>
  </r>
  <r>
    <s v="ORD-0891"/>
    <d v="2023-02-28T00:00:00"/>
    <s v="CUST-1540"/>
    <s v="Simran Kaur"/>
    <s v="East"/>
    <s v="Ranchi"/>
    <x v="0"/>
    <s v="Realme GT"/>
    <n v="1"/>
    <n v="60000"/>
    <n v="25"/>
    <s v="Rahul Sharma"/>
    <n v="60000"/>
    <n v="15000"/>
    <n v="45000"/>
    <s v="Feb-2023"/>
    <s v="Q1-2023"/>
    <s v="Tue"/>
    <s v="Low"/>
  </r>
  <r>
    <s v="ORD-0892"/>
    <d v="2023-02-28T00:00:00"/>
    <s v="CUST-8593"/>
    <s v="Sneha Sharma"/>
    <s v="North"/>
    <s v="Chandigarh"/>
    <x v="1"/>
    <s v="Wireless Mouse"/>
    <n v="2"/>
    <n v="2300"/>
    <n v="25"/>
    <s v="Amit Kumar"/>
    <n v="4600"/>
    <n v="1150"/>
    <n v="3450"/>
    <s v="Feb-2023"/>
    <s v="Q1-2023"/>
    <s v="Tue"/>
    <s v="Low"/>
  </r>
  <r>
    <s v="ORD-0893"/>
    <d v="2023-02-28T00:00:00"/>
    <s v="CUST-8962"/>
    <s v="Priya Singh"/>
    <s v="Central"/>
    <s v="Indore"/>
    <x v="2"/>
    <s v="Fitbit Versa 4"/>
    <n v="1"/>
    <n v="10000"/>
    <n v="20"/>
    <s v="Kavya Iyer"/>
    <n v="10000"/>
    <n v="2000"/>
    <n v="8000"/>
    <s v="Feb-2023"/>
    <s v="Q1-2023"/>
    <s v="Tue"/>
    <s v="Low"/>
  </r>
  <r>
    <s v="ORD-0894"/>
    <d v="2023-03-28T00:00:00"/>
    <s v="CUST-0895"/>
    <s v="Nikhil Jain"/>
    <s v="North"/>
    <s v="Delhi"/>
    <x v="2"/>
    <s v="Fitbit Versa 4"/>
    <n v="1"/>
    <n v="16200"/>
    <n v="10"/>
    <s v="Amit Kumar"/>
    <n v="16200"/>
    <n v="1620"/>
    <n v="14580"/>
    <s v="Mar-2023"/>
    <s v="Q1-2023"/>
    <s v="Tue"/>
    <s v="Low"/>
  </r>
  <r>
    <s v="ORD-0895"/>
    <d v="2023-03-28T00:00:00"/>
    <s v="CUST-1540"/>
    <s v="Simran Kaur"/>
    <s v="North"/>
    <s v="Lucknow"/>
    <x v="2"/>
    <s v="Samsung Galaxy Watch"/>
    <n v="1"/>
    <n v="27200"/>
    <n v="0"/>
    <s v="Vikram Singh"/>
    <n v="27200"/>
    <n v="0"/>
    <n v="27200"/>
    <s v="Mar-2023"/>
    <s v="Q1-2023"/>
    <s v="Tue"/>
    <s v="Low"/>
  </r>
  <r>
    <s v="ORD-0896"/>
    <d v="2023-03-28T00:00:00"/>
    <s v="CUST-7693"/>
    <s v="Sameer Dutta"/>
    <s v="North"/>
    <s v="Lucknow"/>
    <x v="0"/>
    <s v="OnePlus Nord"/>
    <n v="2"/>
    <n v="47600"/>
    <n v="5"/>
    <s v="Rohan Mehta"/>
    <n v="95200"/>
    <n v="4760"/>
    <n v="90440"/>
    <s v="Mar-2023"/>
    <s v="Q1-2023"/>
    <s v="Tue"/>
    <s v="Medium"/>
  </r>
  <r>
    <s v="ORD-0897"/>
    <d v="2023-04-28T00:00:00"/>
    <s v="CUST-4767"/>
    <s v="Sanjay Joshi"/>
    <s v="South"/>
    <s v="Kochi"/>
    <x v="3"/>
    <s v="Samsung Tab S8"/>
    <n v="1"/>
    <n v="40800"/>
    <n v="5"/>
    <s v="Priya Patel"/>
    <n v="40800"/>
    <n v="2040"/>
    <n v="38760"/>
    <s v="Apr-2023"/>
    <s v="Q2-2023"/>
    <s v="Fri"/>
    <s v="Low"/>
  </r>
  <r>
    <s v="ORD-0898"/>
    <d v="2023-05-28T00:00:00"/>
    <s v="CUST-2243"/>
    <s v="Divya Shah"/>
    <s v="South"/>
    <s v="Chennai"/>
    <x v="4"/>
    <s v="Dell Inspiron"/>
    <n v="1"/>
    <n v="55200"/>
    <n v="0"/>
    <s v="Kavya Iyer"/>
    <n v="55200"/>
    <n v="0"/>
    <n v="55200"/>
    <s v="May-2023"/>
    <s v="Q2-2023"/>
    <s v="Sun"/>
    <s v="Medium"/>
  </r>
  <r>
    <s v="ORD-0899"/>
    <d v="2023-05-28T00:00:00"/>
    <s v="CUST-8923"/>
    <s v="Pooja Desai"/>
    <s v="North"/>
    <s v="Lucknow"/>
    <x v="1"/>
    <s v="USB-C Cable"/>
    <n v="2"/>
    <n v="600"/>
    <n v="15"/>
    <s v="Sneha Reddy"/>
    <n v="1200"/>
    <n v="180"/>
    <n v="1020"/>
    <s v="May-2023"/>
    <s v="Q2-2023"/>
    <s v="Sun"/>
    <s v="Low"/>
  </r>
  <r>
    <s v="ORD-0900"/>
    <d v="2023-05-28T00:00:00"/>
    <s v="CUST-7270"/>
    <s v="Yash Dhawan"/>
    <s v="West"/>
    <s v="Surat"/>
    <x v="3"/>
    <s v="iPad Air"/>
    <n v="1"/>
    <n v="35600"/>
    <n v="0"/>
    <s v="Anjali Gupta"/>
    <n v="35600"/>
    <n v="0"/>
    <n v="35600"/>
    <s v="May-2023"/>
    <s v="Q2-2023"/>
    <s v="Sun"/>
    <s v="Low"/>
  </r>
  <r>
    <s v="ORD-0901"/>
    <d v="2023-05-28T00:00:00"/>
    <s v="CUST-5409"/>
    <s v="Akash Pillai"/>
    <s v="Central"/>
    <s v="Nagpur"/>
    <x v="3"/>
    <s v="iPad Air"/>
    <n v="1"/>
    <n v="39500"/>
    <n v="25"/>
    <s v="Sneha Reddy"/>
    <n v="39500"/>
    <n v="9875"/>
    <n v="29625"/>
    <s v="May-2023"/>
    <s v="Q2-2023"/>
    <s v="Sun"/>
    <s v="Low"/>
  </r>
  <r>
    <s v="ORD-0902"/>
    <d v="2023-05-28T00:00:00"/>
    <s v="CUST-7808"/>
    <s v="Varun Chopra"/>
    <s v="North"/>
    <s v="Chandigarh"/>
    <x v="1"/>
    <s v="USB-C Cable"/>
    <n v="2"/>
    <n v="2100"/>
    <n v="0"/>
    <s v="Rahul Sharma"/>
    <n v="4200"/>
    <n v="0"/>
    <n v="4200"/>
    <s v="May-2023"/>
    <s v="Q2-2023"/>
    <s v="Sun"/>
    <s v="Low"/>
  </r>
  <r>
    <s v="ORD-0903"/>
    <d v="2023-05-28T00:00:00"/>
    <s v="CUST-1540"/>
    <s v="Simran Kaur"/>
    <s v="West"/>
    <s v="Surat"/>
    <x v="4"/>
    <s v="Dell Inspiron"/>
    <n v="1"/>
    <n v="69800"/>
    <n v="25"/>
    <s v="Amit Kumar"/>
    <n v="69800"/>
    <n v="17450"/>
    <n v="52350"/>
    <s v="May-2023"/>
    <s v="Q2-2023"/>
    <s v="Sun"/>
    <s v="Medium"/>
  </r>
  <r>
    <s v="ORD-0904"/>
    <d v="2023-06-28T00:00:00"/>
    <s v="CUST-4761"/>
    <s v="Rajesh Kumar"/>
    <s v="West"/>
    <s v="Surat"/>
    <x v="4"/>
    <s v="HP Pavilion"/>
    <n v="1"/>
    <n v="46600"/>
    <n v="25"/>
    <s v="Rohan Mehta"/>
    <n v="46600"/>
    <n v="11650"/>
    <n v="34950"/>
    <s v="Jun-2023"/>
    <s v="Q2-2023"/>
    <s v="Wed"/>
    <s v="Low"/>
  </r>
  <r>
    <s v="ORD-0905"/>
    <d v="2023-06-28T00:00:00"/>
    <s v="CUST-5060"/>
    <s v="Gaurav Bhatt"/>
    <s v="East"/>
    <s v="Patna"/>
    <x v="1"/>
    <s v="Mechanical Keyboard"/>
    <n v="2"/>
    <n v="2000"/>
    <n v="20"/>
    <s v="Anjali Gupta"/>
    <n v="4000"/>
    <n v="800"/>
    <n v="3200"/>
    <s v="Jun-2023"/>
    <s v="Q2-2023"/>
    <s v="Wed"/>
    <s v="Low"/>
  </r>
  <r>
    <s v="ORD-0906"/>
    <d v="2023-07-28T00:00:00"/>
    <s v="CUST-8962"/>
    <s v="Priya Singh"/>
    <s v="West"/>
    <s v="Surat"/>
    <x v="1"/>
    <s v="Laptop Bag"/>
    <n v="2"/>
    <n v="500"/>
    <n v="10"/>
    <s v="Rohan Mehta"/>
    <n v="1000"/>
    <n v="100"/>
    <n v="900"/>
    <s v="Jul-2023"/>
    <s v="Q3-2023"/>
    <s v="Fri"/>
    <s v="Low"/>
  </r>
  <r>
    <s v="ORD-0907"/>
    <d v="2023-07-28T00:00:00"/>
    <s v="CUST-9929"/>
    <s v="Kunal Dixit"/>
    <s v="East"/>
    <s v="Ranchi"/>
    <x v="1"/>
    <s v="Wireless Mouse"/>
    <n v="2"/>
    <n v="1500"/>
    <n v="5"/>
    <s v="Rohan Mehta"/>
    <n v="3000"/>
    <n v="150"/>
    <n v="2850"/>
    <s v="Jul-2023"/>
    <s v="Q3-2023"/>
    <s v="Fri"/>
    <s v="Low"/>
  </r>
  <r>
    <s v="ORD-0908"/>
    <d v="2023-08-28T00:00:00"/>
    <s v="CUST-7270"/>
    <s v="Yash Dhawan"/>
    <s v="Central"/>
    <s v="Nagpur"/>
    <x v="2"/>
    <s v="Mi Band 7"/>
    <n v="1"/>
    <n v="30200"/>
    <n v="0"/>
    <s v="Amit Kumar"/>
    <n v="30200"/>
    <n v="0"/>
    <n v="30200"/>
    <s v="Aug-2023"/>
    <s v="Q3-2023"/>
    <s v="Mon"/>
    <s v="Low"/>
  </r>
  <r>
    <s v="ORD-0909"/>
    <d v="2023-09-28T00:00:00"/>
    <s v="CUST-0018"/>
    <s v="Tanvi Kulkarni"/>
    <s v="East"/>
    <s v="Kolkata"/>
    <x v="4"/>
    <s v="Acer Aspire"/>
    <n v="1"/>
    <n v="78300"/>
    <n v="5"/>
    <s v="Priya Patel"/>
    <n v="78300"/>
    <n v="3915"/>
    <n v="74385"/>
    <s v="Sep-2023"/>
    <s v="Q3-2023"/>
    <s v="Thu"/>
    <s v="Medium"/>
  </r>
  <r>
    <s v="ORD-0910"/>
    <d v="2023-09-28T00:00:00"/>
    <s v="CUST-2917"/>
    <s v="Ishita Bansal"/>
    <s v="Central"/>
    <s v="Raipur"/>
    <x v="0"/>
    <s v="Realme GT"/>
    <n v="1"/>
    <n v="34100"/>
    <n v="5"/>
    <s v="Rohan Mehta"/>
    <n v="34100"/>
    <n v="1705"/>
    <n v="32395"/>
    <s v="Sep-2023"/>
    <s v="Q3-2023"/>
    <s v="Thu"/>
    <s v="Low"/>
  </r>
  <r>
    <s v="ORD-0911"/>
    <d v="2023-10-28T00:00:00"/>
    <s v="CUST-4064"/>
    <s v="Nisha Ghosh"/>
    <s v="Central"/>
    <s v="Nagpur"/>
    <x v="4"/>
    <s v="ASUS VivoBook"/>
    <n v="1"/>
    <n v="56000"/>
    <n v="10"/>
    <s v="Rahul Sharma"/>
    <n v="56000"/>
    <n v="5600"/>
    <n v="50400"/>
    <s v="Oct-2023"/>
    <s v="Q4-2023"/>
    <s v="Sat"/>
    <s v="Medium"/>
  </r>
  <r>
    <s v="ORD-0912"/>
    <d v="2023-10-28T00:00:00"/>
    <s v="CUST-4761"/>
    <s v="Rajesh Kumar"/>
    <s v="South"/>
    <s v="Chennai"/>
    <x v="3"/>
    <s v="Samsung Tab S8"/>
    <n v="1"/>
    <n v="29800"/>
    <n v="25"/>
    <s v="Vikram Singh"/>
    <n v="29800"/>
    <n v="7450"/>
    <n v="22350"/>
    <s v="Oct-2023"/>
    <s v="Q4-2023"/>
    <s v="Sat"/>
    <s v="Low"/>
  </r>
  <r>
    <s v="ORD-0913"/>
    <d v="2023-10-28T00:00:00"/>
    <s v="CUST-8593"/>
    <s v="Sneha Sharma"/>
    <s v="North"/>
    <s v="Delhi"/>
    <x v="3"/>
    <s v="Samsung Tab S8"/>
    <n v="1"/>
    <n v="23200"/>
    <n v="0"/>
    <s v="Rohan Mehta"/>
    <n v="23200"/>
    <n v="0"/>
    <n v="23200"/>
    <s v="Oct-2023"/>
    <s v="Q4-2023"/>
    <s v="Sat"/>
    <s v="Low"/>
  </r>
  <r>
    <s v="ORD-0914"/>
    <d v="2023-11-28T00:00:00"/>
    <s v="CUST-4816"/>
    <s v="Amit Patel"/>
    <s v="North"/>
    <s v="Jaipur"/>
    <x v="4"/>
    <s v="ASUS VivoBook"/>
    <n v="1"/>
    <n v="58100"/>
    <n v="10"/>
    <s v="Priya Patel"/>
    <n v="58100"/>
    <n v="5810"/>
    <n v="52290"/>
    <s v="Nov-2023"/>
    <s v="Q4-2023"/>
    <s v="Tue"/>
    <s v="Medium"/>
  </r>
  <r>
    <s v="ORD-0915"/>
    <d v="2023-11-28T00:00:00"/>
    <s v="CUST-4767"/>
    <s v="Sanjay Joshi"/>
    <s v="North"/>
    <s v="Chandigarh"/>
    <x v="3"/>
    <s v="iPad Air"/>
    <n v="1"/>
    <n v="27700"/>
    <n v="20"/>
    <s v="Rahul Sharma"/>
    <n v="27700"/>
    <n v="5540"/>
    <n v="22160"/>
    <s v="Nov-2023"/>
    <s v="Q4-2023"/>
    <s v="Tue"/>
    <s v="Low"/>
  </r>
  <r>
    <s v="ORD-0916"/>
    <d v="2023-12-28T00:00:00"/>
    <s v="CUST-8962"/>
    <s v="Priya Singh"/>
    <s v="West"/>
    <s v="Surat"/>
    <x v="2"/>
    <s v="Apple Watch Series 8"/>
    <n v="1"/>
    <n v="21600"/>
    <n v="0"/>
    <s v="Vikram Singh"/>
    <n v="21600"/>
    <n v="0"/>
    <n v="21600"/>
    <s v="Dec-2023"/>
    <s v="Q4-2023"/>
    <s v="Thu"/>
    <s v="Low"/>
  </r>
  <r>
    <s v="ORD-0917"/>
    <d v="2023-01-29T00:00:00"/>
    <s v="CUST-7693"/>
    <s v="Sameer Dutta"/>
    <s v="South"/>
    <s v="Hyderabad"/>
    <x v="0"/>
    <s v="Realme GT"/>
    <n v="1"/>
    <n v="60000"/>
    <n v="10"/>
    <s v="Rahul Sharma"/>
    <n v="60000"/>
    <n v="6000"/>
    <n v="54000"/>
    <s v="Jan-2023"/>
    <s v="Q1-2023"/>
    <s v="Sun"/>
    <s v="Medium"/>
  </r>
  <r>
    <s v="ORD-0918"/>
    <d v="2023-03-29T00:00:00"/>
    <s v="CUST-9965"/>
    <s v="Neha Agarwal"/>
    <s v="South"/>
    <s v="Kochi"/>
    <x v="2"/>
    <s v="Fitbit Versa 4"/>
    <n v="1"/>
    <n v="35000"/>
    <n v="25"/>
    <s v="Vikram Singh"/>
    <n v="35000"/>
    <n v="8750"/>
    <n v="26250"/>
    <s v="Mar-2023"/>
    <s v="Q1-2023"/>
    <s v="Wed"/>
    <s v="Low"/>
  </r>
  <r>
    <s v="ORD-0919"/>
    <d v="2023-03-29T00:00:00"/>
    <s v="CUST-7724"/>
    <s v="Anjali Gupta"/>
    <s v="Central"/>
    <s v="Nagpur"/>
    <x v="2"/>
    <s v="Apple Watch Series 8"/>
    <n v="1"/>
    <n v="10000"/>
    <n v="0"/>
    <s v="Rahul Sharma"/>
    <n v="10000"/>
    <n v="0"/>
    <n v="10000"/>
    <s v="Mar-2023"/>
    <s v="Q1-2023"/>
    <s v="Wed"/>
    <s v="Low"/>
  </r>
  <r>
    <s v="ORD-0920"/>
    <d v="2023-03-29T00:00:00"/>
    <s v="CUST-8593"/>
    <s v="Sneha Sharma"/>
    <s v="East"/>
    <s v="Bhubaneswar"/>
    <x v="1"/>
    <s v="USB-C Cable"/>
    <n v="2"/>
    <n v="1600"/>
    <n v="5"/>
    <s v="Amit Kumar"/>
    <n v="3200"/>
    <n v="160"/>
    <n v="3040"/>
    <s v="Mar-2023"/>
    <s v="Q1-2023"/>
    <s v="Wed"/>
    <s v="Low"/>
  </r>
  <r>
    <s v="ORD-0921"/>
    <d v="2023-03-29T00:00:00"/>
    <s v="CUST-8593"/>
    <s v="Sneha Sharma"/>
    <s v="North"/>
    <s v="Lucknow"/>
    <x v="0"/>
    <s v="Realme GT"/>
    <n v="1"/>
    <n v="29900"/>
    <n v="5"/>
    <s v="Kavya Iyer"/>
    <n v="29900"/>
    <n v="1495"/>
    <n v="28405"/>
    <s v="Mar-2023"/>
    <s v="Q1-2023"/>
    <s v="Wed"/>
    <s v="Low"/>
  </r>
  <r>
    <s v="ORD-0922"/>
    <d v="2023-04-29T00:00:00"/>
    <s v="CUST-5369"/>
    <s v="Aditya Rao"/>
    <s v="East"/>
    <s v="Patna"/>
    <x v="1"/>
    <s v="Wireless Mouse"/>
    <n v="3"/>
    <n v="2400"/>
    <n v="5"/>
    <s v="Sneha Reddy"/>
    <n v="7200"/>
    <n v="360"/>
    <n v="6840"/>
    <s v="Apr-2023"/>
    <s v="Q2-2023"/>
    <s v="Sat"/>
    <s v="Low"/>
  </r>
  <r>
    <s v="ORD-0923"/>
    <d v="2023-05-29T00:00:00"/>
    <s v="CUST-9965"/>
    <s v="Neha Agarwal"/>
    <s v="East"/>
    <s v="Kolkata"/>
    <x v="4"/>
    <s v="ASUS VivoBook"/>
    <n v="1"/>
    <n v="51800"/>
    <n v="10"/>
    <s v="Amit Kumar"/>
    <n v="51800"/>
    <n v="5180"/>
    <n v="46620"/>
    <s v="May-2023"/>
    <s v="Q2-2023"/>
    <s v="Mon"/>
    <s v="Low"/>
  </r>
  <r>
    <s v="ORD-0924"/>
    <d v="2023-05-29T00:00:00"/>
    <s v="CUST-5560"/>
    <s v="Swati Nambiar"/>
    <s v="North"/>
    <s v="Chandigarh"/>
    <x v="2"/>
    <s v="Mi Band 7"/>
    <n v="1"/>
    <n v="25700"/>
    <n v="5"/>
    <s v="Kavya Iyer"/>
    <n v="25700"/>
    <n v="1285"/>
    <n v="24415"/>
    <s v="May-2023"/>
    <s v="Q2-2023"/>
    <s v="Mon"/>
    <s v="Low"/>
  </r>
  <r>
    <s v="ORD-0925"/>
    <d v="2023-05-29T00:00:00"/>
    <s v="CUST-2243"/>
    <s v="Divya Shah"/>
    <s v="West"/>
    <s v="Surat"/>
    <x v="4"/>
    <s v="ASUS VivoBook"/>
    <n v="1"/>
    <n v="35000"/>
    <n v="5"/>
    <s v="Amit Kumar"/>
    <n v="35000"/>
    <n v="1750"/>
    <n v="33250"/>
    <s v="May-2023"/>
    <s v="Q2-2023"/>
    <s v="Mon"/>
    <s v="Low"/>
  </r>
  <r>
    <s v="ORD-0926"/>
    <d v="2023-06-29T00:00:00"/>
    <s v="CUST-6126"/>
    <s v="Siddharth Tiwari"/>
    <s v="East"/>
    <s v="Kolkata"/>
    <x v="4"/>
    <s v="Dell Inspiron"/>
    <n v="1"/>
    <n v="60000"/>
    <n v="10"/>
    <s v="Rohan Mehta"/>
    <n v="60000"/>
    <n v="6000"/>
    <n v="54000"/>
    <s v="Jun-2023"/>
    <s v="Q2-2023"/>
    <s v="Thu"/>
    <s v="Medium"/>
  </r>
  <r>
    <s v="ORD-0927"/>
    <d v="2023-06-29T00:00:00"/>
    <s v="CUST-4767"/>
    <s v="Sanjay Joshi"/>
    <s v="South"/>
    <s v="Bangalore"/>
    <x v="4"/>
    <s v="Dell Inspiron"/>
    <n v="1"/>
    <n v="61400"/>
    <n v="5"/>
    <s v="Rahul Sharma"/>
    <n v="61400"/>
    <n v="3070"/>
    <n v="58330"/>
    <s v="Jun-2023"/>
    <s v="Q2-2023"/>
    <s v="Thu"/>
    <s v="Medium"/>
  </r>
  <r>
    <s v="ORD-0928"/>
    <d v="2023-07-29T00:00:00"/>
    <s v="CUST-4816"/>
    <s v="Amit Patel"/>
    <s v="East"/>
    <s v="Kolkata"/>
    <x v="4"/>
    <s v="Acer Aspire"/>
    <n v="1"/>
    <n v="55900"/>
    <n v="0"/>
    <s v="Amit Kumar"/>
    <n v="55900"/>
    <n v="0"/>
    <n v="55900"/>
    <s v="Jul-2023"/>
    <s v="Q3-2023"/>
    <s v="Sat"/>
    <s v="Medium"/>
  </r>
  <r>
    <s v="ORD-0929"/>
    <d v="2023-07-29T00:00:00"/>
    <s v="CUST-8185"/>
    <s v="Rohan Mehta"/>
    <s v="Central"/>
    <s v="Nagpur"/>
    <x v="3"/>
    <s v="Lenovo Tab P11"/>
    <n v="1"/>
    <n v="43300"/>
    <n v="5"/>
    <s v="Rahul Sharma"/>
    <n v="43300"/>
    <n v="2165"/>
    <n v="41135"/>
    <s v="Jul-2023"/>
    <s v="Q3-2023"/>
    <s v="Sat"/>
    <s v="Low"/>
  </r>
  <r>
    <s v="ORD-0930"/>
    <d v="2023-07-29T00:00:00"/>
    <s v="CUST-7724"/>
    <s v="Anjali Gupta"/>
    <s v="West"/>
    <s v="Surat"/>
    <x v="1"/>
    <s v="Laptop Bag"/>
    <n v="2"/>
    <n v="1800"/>
    <n v="0"/>
    <s v="Rahul Sharma"/>
    <n v="3600"/>
    <n v="0"/>
    <n v="3600"/>
    <s v="Jul-2023"/>
    <s v="Q3-2023"/>
    <s v="Sat"/>
    <s v="Low"/>
  </r>
  <r>
    <s v="ORD-0931"/>
    <d v="2023-07-29T00:00:00"/>
    <s v="CUST-5060"/>
    <s v="Gaurav Bhatt"/>
    <s v="South"/>
    <s v="Hyderabad"/>
    <x v="1"/>
    <s v="Mechanical Keyboard"/>
    <n v="2"/>
    <n v="1500"/>
    <n v="20"/>
    <s v="Sneha Reddy"/>
    <n v="3000"/>
    <n v="600"/>
    <n v="2400"/>
    <s v="Jul-2023"/>
    <s v="Q3-2023"/>
    <s v="Sat"/>
    <s v="Low"/>
  </r>
  <r>
    <s v="ORD-0932"/>
    <d v="2023-08-29T00:00:00"/>
    <s v="CUST-4761"/>
    <s v="Rajesh Kumar"/>
    <s v="North"/>
    <s v="Lucknow"/>
    <x v="4"/>
    <s v="Dell Inspiron"/>
    <n v="1"/>
    <n v="72600"/>
    <n v="5"/>
    <s v="Priya Patel"/>
    <n v="72600"/>
    <n v="3630"/>
    <n v="68970"/>
    <s v="Aug-2023"/>
    <s v="Q3-2023"/>
    <s v="Tue"/>
    <s v="Medium"/>
  </r>
  <r>
    <s v="ORD-0933"/>
    <d v="2023-08-29T00:00:00"/>
    <s v="CUST-7808"/>
    <s v="Varun Chopra"/>
    <s v="South"/>
    <s v="Hyderabad"/>
    <x v="2"/>
    <s v="Mi Band 7"/>
    <n v="1"/>
    <n v="33900"/>
    <n v="15"/>
    <s v="Rohan Mehta"/>
    <n v="33900"/>
    <n v="5085"/>
    <n v="28815"/>
    <s v="Aug-2023"/>
    <s v="Q3-2023"/>
    <s v="Tue"/>
    <s v="Low"/>
  </r>
  <r>
    <s v="ORD-0934"/>
    <d v="2023-08-29T00:00:00"/>
    <s v="CUST-8905"/>
    <s v="Rahul Kapoor"/>
    <s v="South"/>
    <s v="Chennai"/>
    <x v="1"/>
    <s v="USB-C Cable"/>
    <n v="2"/>
    <n v="1600"/>
    <n v="5"/>
    <s v="Sneha Reddy"/>
    <n v="3200"/>
    <n v="160"/>
    <n v="3040"/>
    <s v="Aug-2023"/>
    <s v="Q3-2023"/>
    <s v="Tue"/>
    <s v="Low"/>
  </r>
  <r>
    <s v="ORD-0935"/>
    <d v="2023-08-29T00:00:00"/>
    <s v="CUST-5369"/>
    <s v="Aditya Rao"/>
    <s v="West"/>
    <s v="Surat"/>
    <x v="3"/>
    <s v="Samsung Tab S8"/>
    <n v="1"/>
    <n v="23600"/>
    <n v="0"/>
    <s v="Kavya Iyer"/>
    <n v="23600"/>
    <n v="0"/>
    <n v="23600"/>
    <s v="Aug-2023"/>
    <s v="Q3-2023"/>
    <s v="Tue"/>
    <s v="Low"/>
  </r>
  <r>
    <s v="ORD-0936"/>
    <d v="2023-10-29T00:00:00"/>
    <s v="CUST-8905"/>
    <s v="Rahul Kapoor"/>
    <s v="West"/>
    <s v="Mumbai"/>
    <x v="1"/>
    <s v="USB-C Cable"/>
    <n v="2"/>
    <n v="1600"/>
    <n v="10"/>
    <s v="Anjali Gupta"/>
    <n v="3200"/>
    <n v="320"/>
    <n v="2880"/>
    <s v="Oct-2023"/>
    <s v="Q4-2023"/>
    <s v="Sun"/>
    <s v="Low"/>
  </r>
  <r>
    <s v="ORD-0937"/>
    <d v="2023-10-29T00:00:00"/>
    <s v="CUST-8185"/>
    <s v="Rohan Mehta"/>
    <s v="West"/>
    <s v="Ahmedabad"/>
    <x v="2"/>
    <s v="Apple Watch Series 8"/>
    <n v="1"/>
    <n v="23500"/>
    <n v="25"/>
    <s v="Sneha Reddy"/>
    <n v="23500"/>
    <n v="5875"/>
    <n v="17625"/>
    <s v="Oct-2023"/>
    <s v="Q4-2023"/>
    <s v="Sun"/>
    <s v="Low"/>
  </r>
  <r>
    <s v="ORD-0938"/>
    <d v="2023-10-29T00:00:00"/>
    <s v="CUST-7270"/>
    <s v="Yash Dhawan"/>
    <s v="South"/>
    <s v="Bangalore"/>
    <x v="1"/>
    <s v="Webcam"/>
    <n v="2"/>
    <n v="2500"/>
    <n v="10"/>
    <s v="Kavya Iyer"/>
    <n v="5000"/>
    <n v="500"/>
    <n v="4500"/>
    <s v="Oct-2023"/>
    <s v="Q4-2023"/>
    <s v="Sun"/>
    <s v="Low"/>
  </r>
  <r>
    <s v="ORD-0939"/>
    <d v="2023-11-29T00:00:00"/>
    <s v="CUST-5060"/>
    <s v="Gaurav Bhatt"/>
    <s v="East"/>
    <s v="Bhubaneswar"/>
    <x v="0"/>
    <s v="Samsung Galaxy S23"/>
    <n v="1"/>
    <n v="44500"/>
    <n v="5"/>
    <s v="Amit Kumar"/>
    <n v="44500"/>
    <n v="2225"/>
    <n v="42275"/>
    <s v="Nov-2023"/>
    <s v="Q4-2023"/>
    <s v="Wed"/>
    <s v="Low"/>
  </r>
  <r>
    <s v="ORD-0940"/>
    <d v="2023-11-29T00:00:00"/>
    <s v="CUST-9965"/>
    <s v="Neha Agarwal"/>
    <s v="Central"/>
    <s v="Nagpur"/>
    <x v="1"/>
    <s v="Mechanical Keyboard"/>
    <n v="2"/>
    <n v="900"/>
    <n v="0"/>
    <s v="Amit Kumar"/>
    <n v="1800"/>
    <n v="0"/>
    <n v="1800"/>
    <s v="Nov-2023"/>
    <s v="Q4-2023"/>
    <s v="Wed"/>
    <s v="Low"/>
  </r>
  <r>
    <s v="ORD-0941"/>
    <d v="2023-11-29T00:00:00"/>
    <s v="CUST-5369"/>
    <s v="Aditya Rao"/>
    <s v="East"/>
    <s v="Bhubaneswar"/>
    <x v="3"/>
    <s v="iPad Air"/>
    <n v="1"/>
    <n v="24400"/>
    <n v="10"/>
    <s v="Priya Patel"/>
    <n v="24400"/>
    <n v="2440"/>
    <n v="21960"/>
    <s v="Nov-2023"/>
    <s v="Q4-2023"/>
    <s v="Wed"/>
    <s v="Low"/>
  </r>
  <r>
    <s v="ORD-0942"/>
    <d v="2023-11-29T00:00:00"/>
    <s v="CUST-2917"/>
    <s v="Ishita Bansal"/>
    <s v="West"/>
    <s v="Mumbai"/>
    <x v="0"/>
    <s v="Samsung Galaxy S23"/>
    <n v="1"/>
    <n v="44900"/>
    <n v="0"/>
    <s v="Kavya Iyer"/>
    <n v="44900"/>
    <n v="0"/>
    <n v="44900"/>
    <s v="Nov-2023"/>
    <s v="Q4-2023"/>
    <s v="Wed"/>
    <s v="Low"/>
  </r>
  <r>
    <s v="ORD-0943"/>
    <d v="2023-12-29T00:00:00"/>
    <s v="CUST-1540"/>
    <s v="Simran Kaur"/>
    <s v="East"/>
    <s v="Ranchi"/>
    <x v="4"/>
    <s v="Lenovo ThinkPad"/>
    <n v="1"/>
    <n v="77700"/>
    <n v="5"/>
    <s v="Priya Patel"/>
    <n v="77700"/>
    <n v="3885"/>
    <n v="73815"/>
    <s v="Dec-2023"/>
    <s v="Q4-2023"/>
    <s v="Fri"/>
    <s v="Medium"/>
  </r>
  <r>
    <s v="ORD-0944"/>
    <d v="2023-12-29T00:00:00"/>
    <s v="CUST-5409"/>
    <s v="Akash Pillai"/>
    <s v="East"/>
    <s v="Bhubaneswar"/>
    <x v="0"/>
    <s v="Realme GT"/>
    <n v="1"/>
    <n v="32700"/>
    <n v="0"/>
    <s v="Amit Kumar"/>
    <n v="32700"/>
    <n v="0"/>
    <n v="32700"/>
    <s v="Dec-2023"/>
    <s v="Q4-2023"/>
    <s v="Fri"/>
    <s v="Low"/>
  </r>
  <r>
    <s v="ORD-0945"/>
    <d v="2023-12-29T00:00:00"/>
    <s v="CUST-2055"/>
    <s v="Shreya Pandey"/>
    <s v="West"/>
    <s v="Surat"/>
    <x v="2"/>
    <s v="Fitbit Versa 4"/>
    <n v="1"/>
    <n v="28500"/>
    <n v="10"/>
    <s v="Vikram Singh"/>
    <n v="28500"/>
    <n v="2850"/>
    <n v="25650"/>
    <s v="Dec-2023"/>
    <s v="Q4-2023"/>
    <s v="Fri"/>
    <s v="Low"/>
  </r>
  <r>
    <s v="ORD-0946"/>
    <d v="2023-12-29T00:00:00"/>
    <s v="CUST-4064"/>
    <s v="Nisha Ghosh"/>
    <s v="West"/>
    <s v="Mumbai"/>
    <x v="2"/>
    <s v="Fitbit Versa 4"/>
    <n v="1"/>
    <n v="22000"/>
    <n v="10"/>
    <s v="Priya Patel"/>
    <n v="22000"/>
    <n v="2200"/>
    <n v="19800"/>
    <s v="Dec-2023"/>
    <s v="Q4-2023"/>
    <s v="Fri"/>
    <s v="Low"/>
  </r>
  <r>
    <s v="ORD-0947"/>
    <d v="2023-12-29T00:00:00"/>
    <s v="CUST-9969"/>
    <s v="Ritika Menon"/>
    <s v="South"/>
    <s v="Kochi"/>
    <x v="3"/>
    <s v="iPad Air"/>
    <n v="1"/>
    <n v="32200"/>
    <n v="10"/>
    <s v="Amit Kumar"/>
    <n v="32200"/>
    <n v="3220"/>
    <n v="28980"/>
    <s v="Dec-2023"/>
    <s v="Q4-2023"/>
    <s v="Fri"/>
    <s v="Low"/>
  </r>
  <r>
    <s v="ORD-0948"/>
    <d v="2023-01-30T00:00:00"/>
    <s v="CUST-9969"/>
    <s v="Ritika Menon"/>
    <s v="Central"/>
    <s v="Raipur"/>
    <x v="3"/>
    <s v="Samsung Tab S8"/>
    <n v="1"/>
    <n v="45800"/>
    <n v="0"/>
    <s v="Vikram Singh"/>
    <n v="45800"/>
    <n v="0"/>
    <n v="45800"/>
    <s v="Jan-2023"/>
    <s v="Q1-2023"/>
    <s v="Mon"/>
    <s v="Low"/>
  </r>
  <r>
    <s v="ORD-0949"/>
    <d v="2023-03-30T00:00:00"/>
    <s v="CUST-2243"/>
    <s v="Divya Shah"/>
    <s v="East"/>
    <s v="Kolkata"/>
    <x v="4"/>
    <s v="HP Pavilion"/>
    <n v="1"/>
    <n v="66000"/>
    <n v="0"/>
    <s v="Sneha Reddy"/>
    <n v="66000"/>
    <n v="0"/>
    <n v="66000"/>
    <s v="Mar-2023"/>
    <s v="Q1-2023"/>
    <s v="Thu"/>
    <s v="Medium"/>
  </r>
  <r>
    <s v="ORD-0950"/>
    <d v="2023-03-30T00:00:00"/>
    <s v="CUST-0354"/>
    <s v="Meera Chawla"/>
    <s v="North"/>
    <s v="Chandigarh"/>
    <x v="4"/>
    <s v="Acer Aspire"/>
    <n v="1"/>
    <n v="37600"/>
    <n v="25"/>
    <s v="Anjali Gupta"/>
    <n v="37600"/>
    <n v="9400"/>
    <n v="28200"/>
    <s v="Mar-2023"/>
    <s v="Q1-2023"/>
    <s v="Thu"/>
    <s v="Low"/>
  </r>
  <r>
    <s v="ORD-0951"/>
    <d v="2023-03-30T00:00:00"/>
    <s v="CUST-9929"/>
    <s v="Kunal Dixit"/>
    <s v="Central"/>
    <s v="Nagpur"/>
    <x v="3"/>
    <s v="Samsung Tab S8"/>
    <n v="1"/>
    <n v="26500"/>
    <n v="0"/>
    <s v="Anjali Gupta"/>
    <n v="26500"/>
    <n v="0"/>
    <n v="26500"/>
    <s v="Mar-2023"/>
    <s v="Q1-2023"/>
    <s v="Thu"/>
    <s v="Low"/>
  </r>
  <r>
    <s v="ORD-0952"/>
    <d v="2023-03-30T00:00:00"/>
    <s v="CUST-4945"/>
    <s v="Ananya Bose"/>
    <s v="East"/>
    <s v="Ranchi"/>
    <x v="0"/>
    <s v="Realme GT"/>
    <n v="1"/>
    <n v="39700"/>
    <n v="25"/>
    <s v="Rahul Sharma"/>
    <n v="39700"/>
    <n v="9925"/>
    <n v="29775"/>
    <s v="Mar-2023"/>
    <s v="Q1-2023"/>
    <s v="Thu"/>
    <s v="Low"/>
  </r>
  <r>
    <s v="ORD-0953"/>
    <d v="2023-04-30T00:00:00"/>
    <s v="CUST-1661"/>
    <s v="Harsh Sinha"/>
    <s v="West"/>
    <s v="Mumbai"/>
    <x v="3"/>
    <s v="Amazon Fire HD"/>
    <n v="1"/>
    <n v="41400"/>
    <n v="10"/>
    <s v="Amit Kumar"/>
    <n v="41400"/>
    <n v="4140"/>
    <n v="37260"/>
    <s v="Apr-2023"/>
    <s v="Q2-2023"/>
    <s v="Sun"/>
    <s v="Low"/>
  </r>
  <r>
    <s v="ORD-0954"/>
    <d v="2023-04-30T00:00:00"/>
    <s v="CUST-2243"/>
    <s v="Divya Shah"/>
    <s v="North"/>
    <s v="Jaipur"/>
    <x v="0"/>
    <s v="Realme GT"/>
    <n v="1"/>
    <n v="49500"/>
    <n v="0"/>
    <s v="Priya Patel"/>
    <n v="49500"/>
    <n v="0"/>
    <n v="49500"/>
    <s v="Apr-2023"/>
    <s v="Q2-2023"/>
    <s v="Sun"/>
    <s v="Low"/>
  </r>
  <r>
    <s v="ORD-0955"/>
    <d v="2023-05-30T00:00:00"/>
    <s v="CUST-8995"/>
    <s v="Mohit Saxena"/>
    <s v="West"/>
    <s v="Pune"/>
    <x v="1"/>
    <s v="Webcam"/>
    <n v="2"/>
    <n v="1900"/>
    <n v="0"/>
    <s v="Kavya Iyer"/>
    <n v="3800"/>
    <n v="0"/>
    <n v="3800"/>
    <s v="May-2023"/>
    <s v="Q2-2023"/>
    <s v="Tue"/>
    <s v="Low"/>
  </r>
  <r>
    <s v="ORD-0956"/>
    <d v="2023-05-30T00:00:00"/>
    <s v="CUST-4767"/>
    <s v="Sanjay Joshi"/>
    <s v="Central"/>
    <s v="Indore"/>
    <x v="4"/>
    <s v="Acer Aspire"/>
    <n v="1"/>
    <n v="54000"/>
    <n v="10"/>
    <s v="Rohan Mehta"/>
    <n v="54000"/>
    <n v="5400"/>
    <n v="48600"/>
    <s v="May-2023"/>
    <s v="Q2-2023"/>
    <s v="Tue"/>
    <s v="Low"/>
  </r>
  <r>
    <s v="ORD-0957"/>
    <d v="2023-05-30T00:00:00"/>
    <s v="CUST-6126"/>
    <s v="Siddharth Tiwari"/>
    <s v="East"/>
    <s v="Patna"/>
    <x v="1"/>
    <s v="USB-C Cable"/>
    <n v="2"/>
    <n v="2300"/>
    <n v="10"/>
    <s v="Vikram Singh"/>
    <n v="4600"/>
    <n v="460"/>
    <n v="4140"/>
    <s v="May-2023"/>
    <s v="Q2-2023"/>
    <s v="Tue"/>
    <s v="Low"/>
  </r>
  <r>
    <s v="ORD-0958"/>
    <d v="2023-06-30T00:00:00"/>
    <s v="CUST-7270"/>
    <s v="Yash Dhawan"/>
    <s v="South"/>
    <s v="Chennai"/>
    <x v="2"/>
    <s v="Mi Band 7"/>
    <n v="2"/>
    <n v="23300"/>
    <n v="0"/>
    <s v="Rahul Sharma"/>
    <n v="46600"/>
    <n v="0"/>
    <n v="46600"/>
    <s v="Jun-2023"/>
    <s v="Q2-2023"/>
    <s v="Fri"/>
    <s v="Low"/>
  </r>
  <r>
    <s v="ORD-0959"/>
    <d v="2023-06-30T00:00:00"/>
    <s v="CUST-7270"/>
    <s v="Yash Dhawan"/>
    <s v="East"/>
    <s v="Ranchi"/>
    <x v="0"/>
    <s v="Realme GT"/>
    <n v="1"/>
    <n v="44400"/>
    <n v="0"/>
    <s v="Vikram Singh"/>
    <n v="44400"/>
    <n v="0"/>
    <n v="44400"/>
    <s v="Jun-2023"/>
    <s v="Q2-2023"/>
    <s v="Fri"/>
    <s v="Low"/>
  </r>
  <r>
    <s v="ORD-0960"/>
    <d v="2023-07-30T00:00:00"/>
    <s v="CUST-5060"/>
    <s v="Gaurav Bhatt"/>
    <s v="East"/>
    <s v="Ranchi"/>
    <x v="1"/>
    <s v="Webcam"/>
    <n v="2"/>
    <n v="1900"/>
    <n v="25"/>
    <s v="Rahul Sharma"/>
    <n v="3800"/>
    <n v="950"/>
    <n v="2850"/>
    <s v="Jul-2023"/>
    <s v="Q3-2023"/>
    <s v="Sun"/>
    <s v="Low"/>
  </r>
  <r>
    <s v="ORD-0961"/>
    <d v="2023-07-30T00:00:00"/>
    <s v="CUST-9965"/>
    <s v="Neha Agarwal"/>
    <s v="South"/>
    <s v="Chennai"/>
    <x v="2"/>
    <s v="Apple Watch Series 8"/>
    <n v="1"/>
    <n v="20300"/>
    <n v="25"/>
    <s v="Kavya Iyer"/>
    <n v="20300"/>
    <n v="5075"/>
    <n v="15225"/>
    <s v="Jul-2023"/>
    <s v="Q3-2023"/>
    <s v="Sun"/>
    <s v="Low"/>
  </r>
  <r>
    <s v="ORD-0962"/>
    <d v="2023-07-30T00:00:00"/>
    <s v="CUST-7808"/>
    <s v="Varun Chopra"/>
    <s v="North"/>
    <s v="Delhi"/>
    <x v="1"/>
    <s v="USB-C Cable"/>
    <n v="2"/>
    <n v="3000"/>
    <n v="5"/>
    <s v="Vikram Singh"/>
    <n v="6000"/>
    <n v="300"/>
    <n v="5700"/>
    <s v="Jul-2023"/>
    <s v="Q3-2023"/>
    <s v="Sun"/>
    <s v="Low"/>
  </r>
  <r>
    <s v="ORD-0963"/>
    <d v="2023-08-30T00:00:00"/>
    <s v="CUST-0354"/>
    <s v="Meera Chawla"/>
    <s v="North"/>
    <s v="Lucknow"/>
    <x v="2"/>
    <s v="Fitbit Versa 4"/>
    <n v="1"/>
    <n v="20100"/>
    <n v="0"/>
    <s v="Vikram Singh"/>
    <n v="20100"/>
    <n v="0"/>
    <n v="20100"/>
    <s v="Aug-2023"/>
    <s v="Q3-2023"/>
    <s v="Wed"/>
    <s v="Low"/>
  </r>
  <r>
    <s v="ORD-0964"/>
    <d v="2023-08-30T00:00:00"/>
    <s v="CUST-9929"/>
    <s v="Kunal Dixit"/>
    <s v="North"/>
    <s v="Jaipur"/>
    <x v="4"/>
    <s v="Acer Aspire"/>
    <n v="1"/>
    <n v="38800"/>
    <n v="0"/>
    <s v="Kavya Iyer"/>
    <n v="38800"/>
    <n v="0"/>
    <n v="38800"/>
    <s v="Aug-2023"/>
    <s v="Q3-2023"/>
    <s v="Wed"/>
    <s v="Low"/>
  </r>
  <r>
    <s v="ORD-0965"/>
    <d v="2023-08-30T00:00:00"/>
    <s v="CUST-8905"/>
    <s v="Rahul Kapoor"/>
    <s v="Central"/>
    <s v="Raipur"/>
    <x v="4"/>
    <s v="Dell Inspiron"/>
    <n v="1"/>
    <n v="46600"/>
    <n v="5"/>
    <s v="Anjali Gupta"/>
    <n v="46600"/>
    <n v="2330"/>
    <n v="44270"/>
    <s v="Aug-2023"/>
    <s v="Q3-2023"/>
    <s v="Wed"/>
    <s v="Low"/>
  </r>
  <r>
    <s v="ORD-0966"/>
    <d v="2023-08-30T00:00:00"/>
    <s v="CUST-9929"/>
    <s v="Kunal Dixit"/>
    <s v="South"/>
    <s v="Bangalore"/>
    <x v="1"/>
    <s v="Webcam"/>
    <n v="2"/>
    <n v="2600"/>
    <n v="5"/>
    <s v="Rahul Sharma"/>
    <n v="5200"/>
    <n v="260"/>
    <n v="4940"/>
    <s v="Aug-2023"/>
    <s v="Q3-2023"/>
    <s v="Wed"/>
    <s v="Low"/>
  </r>
  <r>
    <s v="ORD-0967"/>
    <d v="2023-09-30T00:00:00"/>
    <s v="CUST-4761"/>
    <s v="Rajesh Kumar"/>
    <s v="West"/>
    <s v="Ahmedabad"/>
    <x v="4"/>
    <s v="Acer Aspire"/>
    <n v="1"/>
    <n v="66400"/>
    <n v="10"/>
    <s v="Rohan Mehta"/>
    <n v="66400"/>
    <n v="6640"/>
    <n v="59760"/>
    <s v="Sep-2023"/>
    <s v="Q3-2023"/>
    <s v="Sat"/>
    <s v="Medium"/>
  </r>
  <r>
    <s v="ORD-0968"/>
    <d v="2023-09-30T00:00:00"/>
    <s v="CUST-4295"/>
    <s v="Manish Arora"/>
    <s v="West"/>
    <s v="Pune"/>
    <x v="0"/>
    <s v="Realme GT"/>
    <n v="1"/>
    <n v="39400"/>
    <n v="5"/>
    <s v="Amit Kumar"/>
    <n v="39400"/>
    <n v="1970"/>
    <n v="37430"/>
    <s v="Sep-2023"/>
    <s v="Q3-2023"/>
    <s v="Sat"/>
    <s v="Low"/>
  </r>
  <r>
    <s v="ORD-0969"/>
    <d v="2023-09-30T00:00:00"/>
    <s v="CUST-4295"/>
    <s v="Manish Arora"/>
    <s v="East"/>
    <s v="Bhubaneswar"/>
    <x v="3"/>
    <s v="Lenovo Tab P11"/>
    <n v="1"/>
    <n v="27700"/>
    <n v="5"/>
    <s v="Vikram Singh"/>
    <n v="27700"/>
    <n v="1385"/>
    <n v="26315"/>
    <s v="Sep-2023"/>
    <s v="Q3-2023"/>
    <s v="Sat"/>
    <s v="Low"/>
  </r>
  <r>
    <s v="ORD-0970"/>
    <d v="2023-10-30T00:00:00"/>
    <s v="CUST-7270"/>
    <s v="Yash Dhawan"/>
    <s v="South"/>
    <s v="Bangalore"/>
    <x v="2"/>
    <s v="Samsung Galaxy Watch"/>
    <n v="1"/>
    <n v="24600"/>
    <n v="20"/>
    <s v="Kavya Iyer"/>
    <n v="24600"/>
    <n v="4920"/>
    <n v="19680"/>
    <s v="Oct-2023"/>
    <s v="Q4-2023"/>
    <s v="Mon"/>
    <s v="Low"/>
  </r>
  <r>
    <s v="ORD-0971"/>
    <d v="2023-10-30T00:00:00"/>
    <s v="CUST-8962"/>
    <s v="Priya Singh"/>
    <s v="West"/>
    <s v="Ahmedabad"/>
    <x v="3"/>
    <s v="Lenovo Tab P11"/>
    <n v="1"/>
    <n v="35800"/>
    <n v="0"/>
    <s v="Rahul Sharma"/>
    <n v="35800"/>
    <n v="0"/>
    <n v="35800"/>
    <s v="Oct-2023"/>
    <s v="Q4-2023"/>
    <s v="Mon"/>
    <s v="Low"/>
  </r>
  <r>
    <s v="ORD-0972"/>
    <d v="2023-10-30T00:00:00"/>
    <s v="CUST-7270"/>
    <s v="Yash Dhawan"/>
    <s v="Central"/>
    <s v="Raipur"/>
    <x v="2"/>
    <s v="Mi Band 7"/>
    <n v="1"/>
    <n v="26300"/>
    <n v="20"/>
    <s v="Vikram Singh"/>
    <n v="26300"/>
    <n v="5260"/>
    <n v="21040"/>
    <s v="Oct-2023"/>
    <s v="Q4-2023"/>
    <s v="Mon"/>
    <s v="Low"/>
  </r>
  <r>
    <s v="ORD-0973"/>
    <d v="2023-11-30T00:00:00"/>
    <s v="CUST-6453"/>
    <s v="Karan Verma"/>
    <s v="South"/>
    <s v="Hyderabad"/>
    <x v="2"/>
    <s v="Apple Watch Series 8"/>
    <n v="1"/>
    <n v="21300"/>
    <n v="0"/>
    <s v="Rahul Sharma"/>
    <n v="21300"/>
    <n v="0"/>
    <n v="21300"/>
    <s v="Nov-2023"/>
    <s v="Q4-2023"/>
    <s v="Thu"/>
    <s v="Low"/>
  </r>
  <r>
    <s v="ORD-0974"/>
    <d v="2023-11-30T00:00:00"/>
    <s v="CUST-2055"/>
    <s v="Shreya Pandey"/>
    <s v="Central"/>
    <s v="Nagpur"/>
    <x v="3"/>
    <s v="Amazon Fire HD"/>
    <n v="1"/>
    <n v="26700"/>
    <n v="25"/>
    <s v="Vikram Singh"/>
    <n v="26700"/>
    <n v="6675"/>
    <n v="20025"/>
    <s v="Nov-2023"/>
    <s v="Q4-2023"/>
    <s v="Thu"/>
    <s v="Low"/>
  </r>
  <r>
    <s v="ORD-0975"/>
    <d v="2023-12-30T00:00:00"/>
    <s v="CUST-8995"/>
    <s v="Mohit Saxena"/>
    <s v="West"/>
    <s v="Ahmedabad"/>
    <x v="4"/>
    <s v="ASUS VivoBook"/>
    <n v="1"/>
    <n v="55100"/>
    <n v="0"/>
    <s v="Amit Kumar"/>
    <n v="55100"/>
    <n v="0"/>
    <n v="55100"/>
    <s v="Dec-2023"/>
    <s v="Q4-2023"/>
    <s v="Sat"/>
    <s v="Medium"/>
  </r>
  <r>
    <s v="ORD-0976"/>
    <d v="2023-12-30T00:00:00"/>
    <s v="CUST-7808"/>
    <s v="Varun Chopra"/>
    <s v="Central"/>
    <s v="Indore"/>
    <x v="0"/>
    <s v="iPhone 14"/>
    <n v="1"/>
    <n v="53000"/>
    <n v="10"/>
    <s v="Kavya Iyer"/>
    <n v="53000"/>
    <n v="5300"/>
    <n v="47700"/>
    <s v="Dec-2023"/>
    <s v="Q4-2023"/>
    <s v="Sat"/>
    <s v="Low"/>
  </r>
  <r>
    <s v="ORD-0977"/>
    <d v="2023-12-30T00:00:00"/>
    <s v="CUST-1540"/>
    <s v="Simran Kaur"/>
    <s v="North"/>
    <s v="Delhi"/>
    <x v="3"/>
    <s v="iPad Air"/>
    <n v="1"/>
    <n v="39600"/>
    <n v="0"/>
    <s v="Amit Kumar"/>
    <n v="39600"/>
    <n v="0"/>
    <n v="39600"/>
    <s v="Dec-2023"/>
    <s v="Q4-2023"/>
    <s v="Sat"/>
    <s v="Low"/>
  </r>
  <r>
    <s v="ORD-0978"/>
    <d v="2023-12-30T00:00:00"/>
    <s v="CUST-1200"/>
    <s v="Pallavi Krishnan"/>
    <s v="East"/>
    <s v="Ranchi"/>
    <x v="3"/>
    <s v="Amazon Fire HD"/>
    <n v="2"/>
    <n v="38100"/>
    <n v="10"/>
    <s v="Kavya Iyer"/>
    <n v="76200"/>
    <n v="7620"/>
    <n v="68580"/>
    <s v="Dec-2023"/>
    <s v="Q4-2023"/>
    <s v="Sat"/>
    <s v="Medium"/>
  </r>
  <r>
    <s v="ORD-0979"/>
    <d v="2023-12-30T00:00:00"/>
    <s v="CUST-4295"/>
    <s v="Manish Arora"/>
    <s v="North"/>
    <s v="Lucknow"/>
    <x v="2"/>
    <s v="Mi Band 7"/>
    <n v="1"/>
    <n v="18300"/>
    <n v="25"/>
    <s v="Rohan Mehta"/>
    <n v="18300"/>
    <n v="4575"/>
    <n v="13725"/>
    <s v="Dec-2023"/>
    <s v="Q4-2023"/>
    <s v="Sat"/>
    <s v="Low"/>
  </r>
  <r>
    <s v="ORD-0980"/>
    <d v="2023-03-31T00:00:00"/>
    <s v="CUST-5247"/>
    <s v="Kavya Iyer"/>
    <s v="North"/>
    <s v="Lucknow"/>
    <x v="3"/>
    <s v="Lenovo Tab P11"/>
    <n v="1"/>
    <n v="38000"/>
    <n v="10"/>
    <s v="Priya Patel"/>
    <n v="38000"/>
    <n v="3800"/>
    <n v="34200"/>
    <s v="Mar-2023"/>
    <s v="Q1-2023"/>
    <s v="Fri"/>
    <s v="Low"/>
  </r>
  <r>
    <s v="ORD-0981"/>
    <d v="2023-03-31T00:00:00"/>
    <s v="CUST-1661"/>
    <s v="Harsh Sinha"/>
    <s v="Central"/>
    <s v="Nagpur"/>
    <x v="0"/>
    <s v="Realme GT"/>
    <n v="1"/>
    <n v="41300"/>
    <n v="0"/>
    <s v="Vikram Singh"/>
    <n v="41300"/>
    <n v="0"/>
    <n v="41300"/>
    <s v="Mar-2023"/>
    <s v="Q1-2023"/>
    <s v="Fri"/>
    <s v="Low"/>
  </r>
  <r>
    <s v="ORD-0982"/>
    <d v="2023-05-31T00:00:00"/>
    <s v="CUST-9965"/>
    <s v="Neha Agarwal"/>
    <s v="North"/>
    <s v="Chandigarh"/>
    <x v="0"/>
    <s v="OnePlus Nord"/>
    <n v="1"/>
    <n v="42500"/>
    <n v="20"/>
    <s v="Anjali Gupta"/>
    <n v="42500"/>
    <n v="8500"/>
    <n v="34000"/>
    <s v="May-2023"/>
    <s v="Q2-2023"/>
    <s v="Wed"/>
    <s v="Low"/>
  </r>
  <r>
    <s v="ORD-0983"/>
    <d v="2023-05-31T00:00:00"/>
    <s v="CUST-5409"/>
    <s v="Akash Pillai"/>
    <s v="West"/>
    <s v="Pune"/>
    <x v="1"/>
    <s v="Wireless Mouse"/>
    <n v="2"/>
    <n v="1100"/>
    <n v="5"/>
    <s v="Amit Kumar"/>
    <n v="2200"/>
    <n v="110"/>
    <n v="2090"/>
    <s v="May-2023"/>
    <s v="Q2-2023"/>
    <s v="Wed"/>
    <s v="Low"/>
  </r>
  <r>
    <s v="ORD-0984"/>
    <d v="2023-07-31T00:00:00"/>
    <s v="CUST-4767"/>
    <s v="Sanjay Joshi"/>
    <s v="North"/>
    <s v="Lucknow"/>
    <x v="3"/>
    <s v="Samsung Tab S8"/>
    <n v="1"/>
    <n v="39900"/>
    <n v="0"/>
    <s v="Vikram Singh"/>
    <n v="39900"/>
    <n v="0"/>
    <n v="39900"/>
    <s v="Jul-2023"/>
    <s v="Q3-2023"/>
    <s v="Mon"/>
    <s v="Low"/>
  </r>
  <r>
    <s v="ORD-0985"/>
    <d v="2023-07-31T00:00:00"/>
    <s v="CUST-6126"/>
    <s v="Siddharth Tiwari"/>
    <s v="South"/>
    <s v="Chennai"/>
    <x v="0"/>
    <s v="Samsung Galaxy S23"/>
    <n v="1"/>
    <n v="15400"/>
    <n v="0"/>
    <s v="Kavya Iyer"/>
    <n v="15400"/>
    <n v="0"/>
    <n v="15400"/>
    <s v="Jul-2023"/>
    <s v="Q3-2023"/>
    <s v="Mon"/>
    <s v="Low"/>
  </r>
  <r>
    <s v="ORD-0986"/>
    <d v="2023-07-31T00:00:00"/>
    <s v="CUST-4767"/>
    <s v="Sanjay Joshi"/>
    <s v="West"/>
    <s v="Ahmedabad"/>
    <x v="1"/>
    <s v="USB-C Cable"/>
    <n v="2"/>
    <n v="2300"/>
    <n v="0"/>
    <s v="Priya Patel"/>
    <n v="4600"/>
    <n v="0"/>
    <n v="4600"/>
    <s v="Jul-2023"/>
    <s v="Q3-2023"/>
    <s v="Mon"/>
    <s v="Low"/>
  </r>
  <r>
    <s v="ORD-0987"/>
    <d v="2023-07-31T00:00:00"/>
    <s v="CUST-5369"/>
    <s v="Aditya Rao"/>
    <s v="South"/>
    <s v="Chennai"/>
    <x v="4"/>
    <s v="HP Pavilion"/>
    <n v="1"/>
    <n v="56900"/>
    <n v="5"/>
    <s v="Priya Patel"/>
    <n v="56900"/>
    <n v="2845"/>
    <n v="54055"/>
    <s v="Jul-2023"/>
    <s v="Q3-2023"/>
    <s v="Mon"/>
    <s v="Medium"/>
  </r>
  <r>
    <s v="ORD-0988"/>
    <d v="2023-07-31T00:00:00"/>
    <s v="CUST-9965"/>
    <s v="Neha Agarwal"/>
    <s v="East"/>
    <s v="Patna"/>
    <x v="4"/>
    <s v="Acer Aspire"/>
    <n v="1"/>
    <n v="47900"/>
    <n v="25"/>
    <s v="Rohan Mehta"/>
    <n v="47900"/>
    <n v="11975"/>
    <n v="35925"/>
    <s v="Jul-2023"/>
    <s v="Q3-2023"/>
    <s v="Mon"/>
    <s v="Low"/>
  </r>
  <r>
    <s v="ORD-0989"/>
    <d v="2023-07-31T00:00:00"/>
    <s v="CUST-7270"/>
    <s v="Yash Dhawan"/>
    <s v="West"/>
    <s v="Ahmedabad"/>
    <x v="2"/>
    <s v="Fitbit Versa 4"/>
    <n v="1"/>
    <n v="28300"/>
    <n v="25"/>
    <s v="Sneha Reddy"/>
    <n v="28300"/>
    <n v="7075"/>
    <n v="21225"/>
    <s v="Jul-2023"/>
    <s v="Q3-2023"/>
    <s v="Mon"/>
    <s v="Low"/>
  </r>
  <r>
    <s v="ORD-0990"/>
    <d v="2023-08-31T00:00:00"/>
    <s v="CUST-7724"/>
    <s v="Anjali Gupta"/>
    <s v="Central"/>
    <s v="Nagpur"/>
    <x v="3"/>
    <s v="Samsung Tab S8"/>
    <n v="1"/>
    <n v="40300"/>
    <n v="5"/>
    <s v="Vikram Singh"/>
    <n v="40300"/>
    <n v="2015"/>
    <n v="38285"/>
    <s v="Aug-2023"/>
    <s v="Q3-2023"/>
    <s v="Thu"/>
    <s v="Low"/>
  </r>
  <r>
    <s v="ORD-0991"/>
    <d v="2023-08-31T00:00:00"/>
    <s v="CUST-8185"/>
    <s v="Rohan Mehta"/>
    <s v="South"/>
    <s v="Chennai"/>
    <x v="4"/>
    <s v="Lenovo ThinkPad"/>
    <n v="1"/>
    <n v="35000"/>
    <n v="10"/>
    <s v="Vikram Singh"/>
    <n v="35000"/>
    <n v="3500"/>
    <n v="31500"/>
    <s v="Aug-2023"/>
    <s v="Q3-2023"/>
    <s v="Thu"/>
    <s v="Low"/>
  </r>
  <r>
    <s v="ORD-0992"/>
    <d v="2023-08-31T00:00:00"/>
    <s v="CUST-7270"/>
    <s v="Yash Dhawan"/>
    <s v="North"/>
    <s v="Jaipur"/>
    <x v="1"/>
    <s v="Mechanical Keyboard"/>
    <n v="2"/>
    <n v="1500"/>
    <n v="15"/>
    <s v="Anjali Gupta"/>
    <n v="3000"/>
    <n v="450"/>
    <n v="2550"/>
    <s v="Aug-2023"/>
    <s v="Q3-2023"/>
    <s v="Thu"/>
    <s v="Low"/>
  </r>
  <r>
    <s v="ORD-0993"/>
    <d v="2023-08-31T00:00:00"/>
    <s v="CUST-4767"/>
    <s v="Sanjay Joshi"/>
    <s v="East"/>
    <s v="Ranchi"/>
    <x v="1"/>
    <s v="Wireless Mouse"/>
    <n v="2"/>
    <n v="1700"/>
    <n v="5"/>
    <s v="Priya Patel"/>
    <n v="3400"/>
    <n v="170"/>
    <n v="3230"/>
    <s v="Aug-2023"/>
    <s v="Q3-2023"/>
    <s v="Thu"/>
    <s v="Low"/>
  </r>
  <r>
    <s v="ORD-0994"/>
    <d v="2023-10-31T00:00:00"/>
    <s v="CUST-4816"/>
    <s v="Amit Patel"/>
    <s v="South"/>
    <s v="Bangalore"/>
    <x v="3"/>
    <s v="iPad Air"/>
    <n v="1"/>
    <n v="39900"/>
    <n v="25"/>
    <s v="Anjali Gupta"/>
    <n v="39900"/>
    <n v="9975"/>
    <n v="29925"/>
    <s v="Oct-2023"/>
    <s v="Q4-2023"/>
    <s v="Tue"/>
    <s v="Low"/>
  </r>
  <r>
    <s v="ORD-0995"/>
    <d v="2023-10-31T00:00:00"/>
    <s v="CUST-8962"/>
    <s v="Priya Singh"/>
    <s v="East"/>
    <s v="Ranchi"/>
    <x v="2"/>
    <s v="Samsung Galaxy Watch"/>
    <n v="1"/>
    <n v="19500"/>
    <n v="15"/>
    <s v="Anjali Gupta"/>
    <n v="19500"/>
    <n v="2925"/>
    <n v="16575"/>
    <s v="Oct-2023"/>
    <s v="Q4-2023"/>
    <s v="Tue"/>
    <s v="Low"/>
  </r>
  <r>
    <s v="ORD-0996"/>
    <d v="2023-10-31T00:00:00"/>
    <s v="CUST-6295"/>
    <s v="Arjun Nair"/>
    <s v="Central"/>
    <s v="Raipur"/>
    <x v="1"/>
    <s v="USB-C Cable"/>
    <n v="2"/>
    <n v="1500"/>
    <n v="25"/>
    <s v="Vikram Singh"/>
    <n v="3000"/>
    <n v="750"/>
    <n v="2250"/>
    <s v="Oct-2023"/>
    <s v="Q4-2023"/>
    <s v="Tue"/>
    <s v="Low"/>
  </r>
  <r>
    <s v="ORD-0997"/>
    <d v="2023-12-31T00:00:00"/>
    <s v="CUST-7808"/>
    <s v="Varun Chopra"/>
    <s v="North"/>
    <s v="Chandigarh"/>
    <x v="3"/>
    <s v="Lenovo Tab P11"/>
    <n v="1"/>
    <n v="39400"/>
    <n v="15"/>
    <s v="Amit Kumar"/>
    <n v="39400"/>
    <n v="5910"/>
    <n v="33490"/>
    <s v="Dec-2023"/>
    <s v="Q4-2023"/>
    <s v="Sun"/>
    <s v="Low"/>
  </r>
  <r>
    <s v="ORD-0998"/>
    <d v="2023-12-31T00:00:00"/>
    <s v="CUST-2243"/>
    <s v="Divya Shah"/>
    <s v="West"/>
    <s v="Mumbai"/>
    <x v="4"/>
    <s v="Lenovo ThinkPad"/>
    <n v="2"/>
    <n v="50800"/>
    <n v="25"/>
    <s v="Priya Patel"/>
    <n v="101600"/>
    <n v="25400"/>
    <n v="76200"/>
    <s v="Dec-2023"/>
    <s v="Q4-2023"/>
    <s v="Sun"/>
    <s v="Medium"/>
  </r>
  <r>
    <s v="ORD-0999"/>
    <d v="2023-12-31T00:00:00"/>
    <s v="CUST-4761"/>
    <s v="Rajesh Kumar"/>
    <s v="Central"/>
    <s v="Bhopal"/>
    <x v="0"/>
    <s v="Xiaomi 13"/>
    <n v="1"/>
    <n v="41100"/>
    <n v="15"/>
    <s v="Sneha Reddy"/>
    <n v="41100"/>
    <n v="6165"/>
    <n v="34935"/>
    <s v="Dec-2023"/>
    <s v="Q4-2023"/>
    <s v="Sun"/>
    <s v="Low"/>
  </r>
  <r>
    <s v="ORD-1000"/>
    <d v="2023-12-31T00:00:00"/>
    <s v="CUST-8923"/>
    <s v="Pooja Desai"/>
    <s v="West"/>
    <s v="Surat"/>
    <x v="1"/>
    <s v="Laptop Bag"/>
    <n v="2"/>
    <n v="1900"/>
    <n v="20"/>
    <s v="Amit Kumar"/>
    <n v="3800"/>
    <n v="760"/>
    <n v="3040"/>
    <s v="Dec-2023"/>
    <s v="Q4-2023"/>
    <s v="Sun"/>
    <s v="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9741AA-B138-4905-94E6-F93FF5901F6A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19">
    <pivotField dataField="1" showAll="0"/>
    <pivotField numFmtId="14" showAll="0"/>
    <pivotField showAll="0"/>
    <pivotField showAll="0"/>
    <pivotField showAll="0"/>
    <pivotField showAll="0"/>
    <pivotField axis="axisRow" showAll="0" sortType="descending">
      <items count="6">
        <item x="1"/>
        <item x="4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numFmtId="166" showAll="0"/>
    <pivotField showAll="0"/>
    <pivotField showAll="0"/>
    <pivotField numFmtId="165" showAll="0"/>
    <pivotField numFmtId="165" showAll="0"/>
    <pivotField dataField="1" numFmtId="165" showAll="0"/>
    <pivotField showAll="0"/>
    <pivotField showAll="0"/>
    <pivotField showAll="0"/>
    <pivotField showAll="0"/>
  </pivotFields>
  <rowFields count="1">
    <field x="6"/>
  </rowFields>
  <rowItems count="6">
    <i>
      <x v="1"/>
    </i>
    <i>
      <x v="2"/>
    </i>
    <i>
      <x v="3"/>
    </i>
    <i>
      <x v="4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_ID" fld="0" subtotal="count" baseField="0" baseItem="0"/>
    <dataField name="Sum of Net_Sales" fld="14" baseField="0" baseItem="0" numFmtId="165"/>
  </dataFields>
  <formats count="1">
    <format dxfId="1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208073B-B0D4-4003-A200-423BEAE902B3}" autoFormatId="16" applyNumberFormats="0" applyBorderFormats="0" applyFontFormats="0" applyPatternFormats="0" applyAlignmentFormats="0" applyWidthHeightFormats="0">
  <queryTableRefresh nextId="13">
    <queryTableFields count="12">
      <queryTableField id="1" name="Order_ID" tableColumnId="1"/>
      <queryTableField id="2" name="Order_Date" tableColumnId="2"/>
      <queryTableField id="3" name="Customer_ID" tableColumnId="3"/>
      <queryTableField id="4" name="Customer_Name" tableColumnId="4"/>
      <queryTableField id="5" name="Region" tableColumnId="5"/>
      <queryTableField id="6" name="City" tableColumnId="6"/>
      <queryTableField id="7" name="Product_Category" tableColumnId="7"/>
      <queryTableField id="8" name="Product_Name" tableColumnId="8"/>
      <queryTableField id="9" name="Quantity" tableColumnId="9"/>
      <queryTableField id="10" name="Unit_Price" tableColumnId="10"/>
      <queryTableField id="11" name="Discount_Percent" tableColumnId="11"/>
      <queryTableField id="12" name="Sales_Rep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BC5BC73-2D01-430A-A914-F67D0F9727D5}" autoFormatId="16" applyNumberFormats="0" applyBorderFormats="0" applyFontFormats="0" applyPatternFormats="0" applyAlignmentFormats="0" applyWidthHeightFormats="0">
  <queryTableRefresh nextId="21" unboundColumnsRight="7">
    <queryTableFields count="19">
      <queryTableField id="1" name="Order_ID" tableColumnId="1"/>
      <queryTableField id="2" name="Order_Date" tableColumnId="2"/>
      <queryTableField id="3" name="Customer_ID" tableColumnId="3"/>
      <queryTableField id="4" name="Customer_Name" tableColumnId="4"/>
      <queryTableField id="5" name="Region" tableColumnId="5"/>
      <queryTableField id="6" name="City" tableColumnId="6"/>
      <queryTableField id="7" name="Product_Category" tableColumnId="7"/>
      <queryTableField id="8" name="Product_Name" tableColumnId="8"/>
      <queryTableField id="9" name="Quantity" tableColumnId="9"/>
      <queryTableField id="10" name="Unit_Price" tableColumnId="10"/>
      <queryTableField id="11" name="Discount_Percent" tableColumnId="11"/>
      <queryTableField id="12" name="Sales_Rep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9" dataBound="0" tableColumnId="19"/>
      <queryTableField id="20" dataBound="0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8CD931-63D2-48C9-AB75-77955329F1B9}" name="retail_sales_data" displayName="retail_sales_data" ref="A1:L1001" tableType="queryTable" totalsRowShown="0">
  <autoFilter ref="A1:L1001" xr:uid="{BA8CD931-63D2-48C9-AB75-77955329F1B9}"/>
  <tableColumns count="12">
    <tableColumn id="1" xr3:uid="{07649E53-1464-4A03-B5A5-3274827C8C32}" uniqueName="1" name="Order_ID" queryTableFieldId="1" dataDxfId="28"/>
    <tableColumn id="2" xr3:uid="{AB03B1D4-8766-4DCB-8F26-4E9B3D672161}" uniqueName="2" name="Order_Date" queryTableFieldId="2" dataDxfId="27"/>
    <tableColumn id="3" xr3:uid="{0E234F13-EDE8-4F68-A701-138F151499B5}" uniqueName="3" name="Customer_ID" queryTableFieldId="3" dataDxfId="26"/>
    <tableColumn id="4" xr3:uid="{9C1A2BC2-F2D7-4F15-8C82-7BF65BA99712}" uniqueName="4" name="Customer_Name" queryTableFieldId="4" dataDxfId="25"/>
    <tableColumn id="5" xr3:uid="{709CA699-DA7D-4E59-83E2-989AAF72F386}" uniqueName="5" name="Region" queryTableFieldId="5" dataDxfId="24"/>
    <tableColumn id="6" xr3:uid="{40E84890-6C6C-494B-8AD4-DB7BAA297264}" uniqueName="6" name="City" queryTableFieldId="6" dataDxfId="23"/>
    <tableColumn id="7" xr3:uid="{882E5A7E-5394-4573-80DC-361420E5155B}" uniqueName="7" name="Product_Category" queryTableFieldId="7" dataDxfId="22"/>
    <tableColumn id="8" xr3:uid="{4E839BD5-F9E3-42F4-9ECE-A45AF92F40EC}" uniqueName="8" name="Product_Name" queryTableFieldId="8" dataDxfId="21"/>
    <tableColumn id="9" xr3:uid="{E7B3713C-1FD3-4EAE-88C6-59618615EDDE}" uniqueName="9" name="Quantity" queryTableFieldId="9"/>
    <tableColumn id="10" xr3:uid="{57D9ECD5-FA34-4FDB-8364-A84B9BA0ADF9}" uniqueName="10" name="Unit_Price" queryTableFieldId="10"/>
    <tableColumn id="11" xr3:uid="{39B1DCC8-31EE-474C-9D1F-25975DD30349}" uniqueName="11" name="Discount_Percent" queryTableFieldId="11"/>
    <tableColumn id="12" xr3:uid="{FF7B89DC-E64A-40C9-89EA-036546F14ACA}" uniqueName="12" name="Sales_Rep" queryTableFieldId="12" dataDxf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54687E-C539-402C-B266-B6D4A8FEBB6F}" name="Cleaned_Data" displayName="Cleaned_Data" ref="A1:S1001" tableType="queryTable" totalsRowShown="0">
  <autoFilter ref="A1:S1001" xr:uid="{BA8CD931-63D2-48C9-AB75-77955329F1B9}"/>
  <tableColumns count="19">
    <tableColumn id="1" xr3:uid="{8748163E-8A2C-4A79-BDB8-2514738DCF44}" uniqueName="1" name="Order_ID" queryTableFieldId="1" dataDxfId="19"/>
    <tableColumn id="2" xr3:uid="{7DAD7FAE-342C-48DC-BFF9-6A973E289D5A}" uniqueName="2" name="Order_Date" queryTableFieldId="2" dataDxfId="18"/>
    <tableColumn id="3" xr3:uid="{D0AE5501-1A53-4266-A453-3F2A5E72734D}" uniqueName="3" name="Customer_ID" queryTableFieldId="3" dataDxfId="17"/>
    <tableColumn id="4" xr3:uid="{A14DCE41-F47F-46A0-881E-2F17A470FCE4}" uniqueName="4" name="Customer_Name" queryTableFieldId="4" dataDxfId="16"/>
    <tableColumn id="5" xr3:uid="{209D72F2-2251-44BD-A0C7-E98DFB0BB67C}" uniqueName="5" name="Region" queryTableFieldId="5" dataDxfId="15"/>
    <tableColumn id="6" xr3:uid="{79DB6441-0E05-42B2-841E-D9EDC62D184F}" uniqueName="6" name="City" queryTableFieldId="6" dataDxfId="14"/>
    <tableColumn id="7" xr3:uid="{F079DFEB-0C9E-4089-8274-0CF9C5DF4194}" uniqueName="7" name="Product_Category" queryTableFieldId="7" dataDxfId="13"/>
    <tableColumn id="8" xr3:uid="{7F503AFD-883B-464D-A981-A5D37495EF7A}" uniqueName="8" name="Product_Name" queryTableFieldId="8" dataDxfId="12"/>
    <tableColumn id="9" xr3:uid="{A52CC46B-45FF-4135-BEFC-C2C345D2F572}" uniqueName="9" name="Quantity" queryTableFieldId="9"/>
    <tableColumn id="10" xr3:uid="{D3E9F0EF-1BE9-4940-A6BA-B099FC30349B}" uniqueName="10" name="Unit_Price" queryTableFieldId="10" dataDxfId="11"/>
    <tableColumn id="11" xr3:uid="{00ADF288-D78F-4B23-B801-B964E8329A83}" uniqueName="11" name="Discount_Percent" queryTableFieldId="11"/>
    <tableColumn id="12" xr3:uid="{B4E08B7F-4F02-4152-BF74-9149E107DCAF}" uniqueName="12" name="Sales_Rep" queryTableFieldId="12" dataDxfId="10"/>
    <tableColumn id="13" xr3:uid="{D5AACE91-6D6E-4E56-848A-F457F96457D1}" uniqueName="13" name="Total_sales" queryTableFieldId="13" dataDxfId="9" dataCellStyle="Currency">
      <calculatedColumnFormula>Cleaned_Data[[#This Row],[Quantity]]*Cleaned_Data[[#This Row],[Unit_Price]]</calculatedColumnFormula>
    </tableColumn>
    <tableColumn id="14" xr3:uid="{8AF7ED17-E6E6-4233-9318-1D90D2C705E2}" uniqueName="14" name="Discount_Amount" queryTableFieldId="14" dataDxfId="8" dataCellStyle="Currency">
      <calculatedColumnFormula>Cleaned_Data[[#This Row],[Total_sales]]*(Cleaned_Data[[#This Row],[Discount_Percent]]/100)</calculatedColumnFormula>
    </tableColumn>
    <tableColumn id="15" xr3:uid="{7269DB97-2934-448F-B7BD-34C355615F30}" uniqueName="15" name="Net_Sales" queryTableFieldId="15" dataDxfId="7" dataCellStyle="Currency">
      <calculatedColumnFormula>Cleaned_Data[[#This Row],[Total_sales]]-Cleaned_Data[[#This Row],[Discount_Amount]]</calculatedColumnFormula>
    </tableColumn>
    <tableColumn id="16" xr3:uid="{CD432BC7-97E2-453E-B241-5BF43D6B99A5}" uniqueName="16" name="Month" queryTableFieldId="16" dataDxfId="6">
      <calculatedColumnFormula>TEXT(Cleaned_Data[[#This Row],[Order_Date]],"MMM-YYYY")</calculatedColumnFormula>
    </tableColumn>
    <tableColumn id="17" xr3:uid="{11B1E3D7-66F1-4A05-BC0D-480618A219B5}" uniqueName="17" name="Quarter" queryTableFieldId="17" dataDxfId="5">
      <calculatedColumnFormula>"Q"&amp;ROUNDUP(MONTH(Cleaned_Data[[#This Row],[Order_Date]])/3,0)&amp;"-2023"</calculatedColumnFormula>
    </tableColumn>
    <tableColumn id="19" xr3:uid="{AA827382-A8FD-49CF-A3B2-BC02952E9A3F}" uniqueName="19" name="Day" queryTableFieldId="19" dataDxfId="4">
      <calculatedColumnFormula>TEXT(Cleaned_Data[[#This Row],[Order_Date]],"DDD")</calculatedColumnFormula>
    </tableColumn>
    <tableColumn id="20" xr3:uid="{E3839A09-8689-452C-BBFD-097C5C8DA2CD}" uniqueName="20" name="Revenue_Category" queryTableFieldId="20" dataDxfId="3">
      <calculatedColumnFormula>IF(Cleaned_Data[[#This Row],[Net_Sales]]&gt;=100000,"High",IF(Cleaned_Data[[#This Row],[Net_Sales]]&gt;=50000,"Medium","Low"))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2C9405-5399-4926-B480-82C1A5381657}" name="Table4" displayName="Table4" ref="A3:B12" totalsRowShown="0">
  <autoFilter ref="A3:B12" xr:uid="{472C9405-5399-4926-B480-82C1A5381657}"/>
  <tableColumns count="2">
    <tableColumn id="1" xr3:uid="{BE13E4FD-CFDB-4DD5-8058-72D7E3BF1F4F}" name="Metric"/>
    <tableColumn id="2" xr3:uid="{FE44B484-412E-4A91-85CB-A867C8AF4A6D}" name="Valu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C47-02DB-43B0-826C-8AF591C00601}">
  <dimension ref="A1:L1001"/>
  <sheetViews>
    <sheetView workbookViewId="0">
      <selection activeCell="E10" sqref="E10"/>
    </sheetView>
  </sheetViews>
  <sheetFormatPr defaultRowHeight="14.4" x14ac:dyDescent="0.3"/>
  <cols>
    <col min="1" max="1" width="10.77734375" bestFit="1" customWidth="1"/>
    <col min="2" max="2" width="12.88671875" bestFit="1" customWidth="1"/>
    <col min="3" max="3" width="14.109375" bestFit="1" customWidth="1"/>
    <col min="4" max="4" width="17.44140625" bestFit="1" customWidth="1"/>
    <col min="5" max="5" width="9" bestFit="1" customWidth="1"/>
    <col min="6" max="6" width="12" bestFit="1" customWidth="1"/>
    <col min="7" max="7" width="18.5546875" bestFit="1" customWidth="1"/>
    <col min="8" max="8" width="20" bestFit="1" customWidth="1"/>
    <col min="9" max="9" width="10.5546875" bestFit="1" customWidth="1"/>
    <col min="10" max="10" width="11.88671875" bestFit="1" customWidth="1"/>
    <col min="11" max="11" width="18.109375" bestFit="1" customWidth="1"/>
    <col min="12" max="12" width="12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44927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1</v>
      </c>
      <c r="J2">
        <v>29100</v>
      </c>
      <c r="K2">
        <v>10</v>
      </c>
      <c r="L2" t="s">
        <v>19</v>
      </c>
    </row>
    <row r="3" spans="1:12" x14ac:dyDescent="0.3">
      <c r="A3" t="s">
        <v>20</v>
      </c>
      <c r="B3" s="1">
        <v>44927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>
        <v>2</v>
      </c>
      <c r="J3">
        <v>1800</v>
      </c>
      <c r="K3">
        <v>5</v>
      </c>
      <c r="L3" t="s">
        <v>27</v>
      </c>
    </row>
    <row r="4" spans="1:12" x14ac:dyDescent="0.3">
      <c r="A4" t="s">
        <v>28</v>
      </c>
      <c r="B4" s="1">
        <v>44958</v>
      </c>
      <c r="C4" t="s">
        <v>29</v>
      </c>
      <c r="D4" t="s">
        <v>30</v>
      </c>
      <c r="E4" t="s">
        <v>23</v>
      </c>
      <c r="F4" t="s">
        <v>31</v>
      </c>
      <c r="G4" t="s">
        <v>25</v>
      </c>
      <c r="H4" t="s">
        <v>32</v>
      </c>
      <c r="I4">
        <v>1</v>
      </c>
      <c r="J4">
        <v>2000</v>
      </c>
      <c r="K4">
        <v>10</v>
      </c>
      <c r="L4" t="s">
        <v>33</v>
      </c>
    </row>
    <row r="5" spans="1:12" x14ac:dyDescent="0.3">
      <c r="A5" t="s">
        <v>34</v>
      </c>
      <c r="B5" s="1">
        <v>44958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>
        <v>1</v>
      </c>
      <c r="J5">
        <v>27200</v>
      </c>
      <c r="K5">
        <v>15</v>
      </c>
      <c r="L5" t="s">
        <v>27</v>
      </c>
    </row>
    <row r="6" spans="1:12" x14ac:dyDescent="0.3">
      <c r="A6" t="s">
        <v>41</v>
      </c>
      <c r="B6" s="1">
        <v>44958</v>
      </c>
      <c r="C6" t="s">
        <v>42</v>
      </c>
      <c r="D6" t="s">
        <v>43</v>
      </c>
      <c r="E6" t="s">
        <v>23</v>
      </c>
      <c r="F6" t="s">
        <v>44</v>
      </c>
      <c r="G6" t="s">
        <v>45</v>
      </c>
      <c r="H6" t="s">
        <v>46</v>
      </c>
      <c r="I6">
        <v>1</v>
      </c>
      <c r="J6">
        <v>33800</v>
      </c>
      <c r="K6">
        <v>10</v>
      </c>
      <c r="L6" t="s">
        <v>47</v>
      </c>
    </row>
    <row r="7" spans="1:12" x14ac:dyDescent="0.3">
      <c r="A7" t="s">
        <v>48</v>
      </c>
      <c r="B7" s="1">
        <v>44986</v>
      </c>
      <c r="C7" t="s">
        <v>49</v>
      </c>
      <c r="D7" t="s">
        <v>50</v>
      </c>
      <c r="E7" t="s">
        <v>23</v>
      </c>
      <c r="F7" t="s">
        <v>51</v>
      </c>
      <c r="G7" t="s">
        <v>45</v>
      </c>
      <c r="H7" t="s">
        <v>52</v>
      </c>
      <c r="I7">
        <v>1</v>
      </c>
      <c r="J7">
        <v>31100</v>
      </c>
      <c r="K7">
        <v>25</v>
      </c>
      <c r="L7" t="s">
        <v>53</v>
      </c>
    </row>
    <row r="8" spans="1:12" x14ac:dyDescent="0.3">
      <c r="A8" t="s">
        <v>54</v>
      </c>
      <c r="B8" s="1">
        <v>44986</v>
      </c>
      <c r="C8" t="s">
        <v>55</v>
      </c>
      <c r="D8" t="s">
        <v>56</v>
      </c>
      <c r="E8" t="s">
        <v>23</v>
      </c>
      <c r="F8" t="s">
        <v>51</v>
      </c>
      <c r="G8" t="s">
        <v>39</v>
      </c>
      <c r="H8" t="s">
        <v>57</v>
      </c>
      <c r="I8">
        <v>1</v>
      </c>
      <c r="J8">
        <v>14800</v>
      </c>
      <c r="K8">
        <v>10</v>
      </c>
      <c r="L8" t="s">
        <v>53</v>
      </c>
    </row>
    <row r="9" spans="1:12" x14ac:dyDescent="0.3">
      <c r="A9" t="s">
        <v>58</v>
      </c>
      <c r="B9" s="1">
        <v>44986</v>
      </c>
      <c r="C9" t="s">
        <v>59</v>
      </c>
      <c r="D9" t="s">
        <v>60</v>
      </c>
      <c r="E9" t="s">
        <v>37</v>
      </c>
      <c r="F9" t="s">
        <v>61</v>
      </c>
      <c r="G9" t="s">
        <v>17</v>
      </c>
      <c r="H9" t="s">
        <v>18</v>
      </c>
      <c r="I9">
        <v>1</v>
      </c>
      <c r="J9">
        <v>56600</v>
      </c>
      <c r="K9">
        <v>10</v>
      </c>
      <c r="L9" t="s">
        <v>62</v>
      </c>
    </row>
    <row r="10" spans="1:12" x14ac:dyDescent="0.3">
      <c r="A10" t="s">
        <v>63</v>
      </c>
      <c r="B10" s="1">
        <v>44986</v>
      </c>
      <c r="C10" t="s">
        <v>64</v>
      </c>
      <c r="D10" t="s">
        <v>65</v>
      </c>
      <c r="E10" t="s">
        <v>66</v>
      </c>
      <c r="F10" t="s">
        <v>67</v>
      </c>
      <c r="G10" t="s">
        <v>39</v>
      </c>
      <c r="H10" t="s">
        <v>68</v>
      </c>
      <c r="I10">
        <v>2</v>
      </c>
      <c r="J10">
        <v>10800</v>
      </c>
      <c r="K10">
        <v>10</v>
      </c>
      <c r="L10" t="s">
        <v>33</v>
      </c>
    </row>
    <row r="11" spans="1:12" x14ac:dyDescent="0.3">
      <c r="A11" t="s">
        <v>69</v>
      </c>
      <c r="B11" s="1">
        <v>45017</v>
      </c>
      <c r="C11" t="s">
        <v>70</v>
      </c>
      <c r="D11" t="s">
        <v>71</v>
      </c>
      <c r="E11" t="s">
        <v>66</v>
      </c>
      <c r="F11" t="s">
        <v>72</v>
      </c>
      <c r="G11" t="s">
        <v>17</v>
      </c>
      <c r="H11" t="s">
        <v>18</v>
      </c>
      <c r="I11">
        <v>1</v>
      </c>
      <c r="J11">
        <v>35200</v>
      </c>
      <c r="K11">
        <v>20</v>
      </c>
      <c r="L11" t="s">
        <v>73</v>
      </c>
    </row>
    <row r="12" spans="1:12" x14ac:dyDescent="0.3">
      <c r="A12" t="s">
        <v>74</v>
      </c>
      <c r="B12" s="1">
        <v>45017</v>
      </c>
      <c r="C12" t="s">
        <v>75</v>
      </c>
      <c r="D12" t="s">
        <v>76</v>
      </c>
      <c r="E12" t="s">
        <v>15</v>
      </c>
      <c r="F12" t="s">
        <v>16</v>
      </c>
      <c r="G12" t="s">
        <v>17</v>
      </c>
      <c r="H12" t="s">
        <v>77</v>
      </c>
      <c r="I12">
        <v>1</v>
      </c>
      <c r="J12">
        <v>40100</v>
      </c>
      <c r="K12">
        <v>10</v>
      </c>
      <c r="L12" t="s">
        <v>47</v>
      </c>
    </row>
    <row r="13" spans="1:12" x14ac:dyDescent="0.3">
      <c r="A13" t="s">
        <v>78</v>
      </c>
      <c r="B13" s="1">
        <v>45047</v>
      </c>
      <c r="C13" t="s">
        <v>79</v>
      </c>
      <c r="D13" t="s">
        <v>80</v>
      </c>
      <c r="E13" t="s">
        <v>81</v>
      </c>
      <c r="F13" t="s">
        <v>82</v>
      </c>
      <c r="G13" t="s">
        <v>45</v>
      </c>
      <c r="H13" t="s">
        <v>52</v>
      </c>
      <c r="I13">
        <v>1</v>
      </c>
      <c r="J13">
        <v>30300</v>
      </c>
      <c r="K13">
        <v>0</v>
      </c>
      <c r="L13" t="s">
        <v>47</v>
      </c>
    </row>
    <row r="14" spans="1:12" x14ac:dyDescent="0.3">
      <c r="A14" t="s">
        <v>83</v>
      </c>
      <c r="B14" s="1">
        <v>45047</v>
      </c>
      <c r="C14" t="s">
        <v>84</v>
      </c>
      <c r="D14" t="s">
        <v>85</v>
      </c>
      <c r="E14" t="s">
        <v>23</v>
      </c>
      <c r="F14" t="s">
        <v>51</v>
      </c>
      <c r="G14" t="s">
        <v>45</v>
      </c>
      <c r="H14" t="s">
        <v>46</v>
      </c>
      <c r="I14">
        <v>1</v>
      </c>
      <c r="J14">
        <v>32800</v>
      </c>
      <c r="K14">
        <v>0</v>
      </c>
      <c r="L14" t="s">
        <v>62</v>
      </c>
    </row>
    <row r="15" spans="1:12" x14ac:dyDescent="0.3">
      <c r="A15" t="s">
        <v>86</v>
      </c>
      <c r="B15" s="1">
        <v>45047</v>
      </c>
      <c r="C15" t="s">
        <v>49</v>
      </c>
      <c r="D15" t="s">
        <v>50</v>
      </c>
      <c r="E15" t="s">
        <v>66</v>
      </c>
      <c r="F15" t="s">
        <v>87</v>
      </c>
      <c r="G15" t="s">
        <v>17</v>
      </c>
      <c r="H15" t="s">
        <v>88</v>
      </c>
      <c r="I15">
        <v>1</v>
      </c>
      <c r="J15">
        <v>30800</v>
      </c>
      <c r="K15">
        <v>0</v>
      </c>
      <c r="L15" t="s">
        <v>47</v>
      </c>
    </row>
    <row r="16" spans="1:12" x14ac:dyDescent="0.3">
      <c r="A16" t="s">
        <v>89</v>
      </c>
      <c r="B16" s="1">
        <v>45047</v>
      </c>
      <c r="C16" t="s">
        <v>90</v>
      </c>
      <c r="D16" t="s">
        <v>91</v>
      </c>
      <c r="E16" t="s">
        <v>66</v>
      </c>
      <c r="F16" t="s">
        <v>92</v>
      </c>
      <c r="G16" t="s">
        <v>25</v>
      </c>
      <c r="H16" t="s">
        <v>32</v>
      </c>
      <c r="I16">
        <v>2</v>
      </c>
      <c r="J16">
        <v>1400</v>
      </c>
      <c r="K16">
        <v>10</v>
      </c>
      <c r="L16" t="s">
        <v>19</v>
      </c>
    </row>
    <row r="17" spans="1:12" x14ac:dyDescent="0.3">
      <c r="A17" t="s">
        <v>93</v>
      </c>
      <c r="B17" s="1">
        <v>45047</v>
      </c>
      <c r="C17" t="s">
        <v>70</v>
      </c>
      <c r="D17" t="s">
        <v>71</v>
      </c>
      <c r="E17" t="s">
        <v>66</v>
      </c>
      <c r="F17" t="s">
        <v>67</v>
      </c>
      <c r="G17" t="s">
        <v>45</v>
      </c>
      <c r="H17" t="s">
        <v>46</v>
      </c>
      <c r="I17">
        <v>1</v>
      </c>
      <c r="J17">
        <v>35400</v>
      </c>
      <c r="K17">
        <v>0</v>
      </c>
      <c r="L17" t="s">
        <v>19</v>
      </c>
    </row>
    <row r="18" spans="1:12" x14ac:dyDescent="0.3">
      <c r="A18" t="s">
        <v>94</v>
      </c>
      <c r="B18" s="1">
        <v>45047</v>
      </c>
      <c r="C18" t="s">
        <v>95</v>
      </c>
      <c r="D18" t="s">
        <v>96</v>
      </c>
      <c r="E18" t="s">
        <v>81</v>
      </c>
      <c r="F18" t="s">
        <v>82</v>
      </c>
      <c r="G18" t="s">
        <v>97</v>
      </c>
      <c r="H18" t="s">
        <v>98</v>
      </c>
      <c r="I18">
        <v>1</v>
      </c>
      <c r="J18">
        <v>58500</v>
      </c>
      <c r="K18">
        <v>0</v>
      </c>
      <c r="L18" t="s">
        <v>62</v>
      </c>
    </row>
    <row r="19" spans="1:12" x14ac:dyDescent="0.3">
      <c r="A19" t="s">
        <v>99</v>
      </c>
      <c r="B19" s="1">
        <v>45078</v>
      </c>
      <c r="C19" t="s">
        <v>90</v>
      </c>
      <c r="D19" t="s">
        <v>91</v>
      </c>
      <c r="E19" t="s">
        <v>81</v>
      </c>
      <c r="F19" t="s">
        <v>82</v>
      </c>
      <c r="G19" t="s">
        <v>25</v>
      </c>
      <c r="H19" t="s">
        <v>26</v>
      </c>
      <c r="I19">
        <v>3</v>
      </c>
      <c r="J19">
        <v>1800</v>
      </c>
      <c r="K19">
        <v>0</v>
      </c>
      <c r="L19" t="s">
        <v>27</v>
      </c>
    </row>
    <row r="20" spans="1:12" x14ac:dyDescent="0.3">
      <c r="A20" t="s">
        <v>100</v>
      </c>
      <c r="B20" s="1">
        <v>45078</v>
      </c>
      <c r="C20" t="s">
        <v>64</v>
      </c>
      <c r="D20" t="s">
        <v>65</v>
      </c>
      <c r="E20" t="s">
        <v>37</v>
      </c>
      <c r="F20" t="s">
        <v>101</v>
      </c>
      <c r="G20" t="s">
        <v>39</v>
      </c>
      <c r="H20" t="s">
        <v>102</v>
      </c>
      <c r="I20">
        <v>1</v>
      </c>
      <c r="J20">
        <v>28800</v>
      </c>
      <c r="K20">
        <v>10</v>
      </c>
      <c r="L20" t="s">
        <v>103</v>
      </c>
    </row>
    <row r="21" spans="1:12" x14ac:dyDescent="0.3">
      <c r="A21" t="s">
        <v>104</v>
      </c>
      <c r="B21" s="1">
        <v>45078</v>
      </c>
      <c r="C21" t="s">
        <v>105</v>
      </c>
      <c r="D21" t="s">
        <v>106</v>
      </c>
      <c r="E21" t="s">
        <v>37</v>
      </c>
      <c r="F21" t="s">
        <v>38</v>
      </c>
      <c r="G21" t="s">
        <v>45</v>
      </c>
      <c r="H21" t="s">
        <v>46</v>
      </c>
      <c r="I21">
        <v>1</v>
      </c>
      <c r="J21">
        <v>34600</v>
      </c>
      <c r="K21">
        <v>10</v>
      </c>
      <c r="L21" t="s">
        <v>33</v>
      </c>
    </row>
    <row r="22" spans="1:12" x14ac:dyDescent="0.3">
      <c r="A22" t="s">
        <v>107</v>
      </c>
      <c r="B22" s="1">
        <v>45108</v>
      </c>
      <c r="C22" t="s">
        <v>105</v>
      </c>
      <c r="D22" t="s">
        <v>106</v>
      </c>
      <c r="E22" t="s">
        <v>37</v>
      </c>
      <c r="F22" t="s">
        <v>38</v>
      </c>
      <c r="G22" t="s">
        <v>25</v>
      </c>
      <c r="H22" t="s">
        <v>108</v>
      </c>
      <c r="I22">
        <v>2</v>
      </c>
      <c r="J22">
        <v>1200</v>
      </c>
      <c r="K22">
        <v>0</v>
      </c>
      <c r="L22" t="s">
        <v>73</v>
      </c>
    </row>
    <row r="23" spans="1:12" x14ac:dyDescent="0.3">
      <c r="A23" t="s">
        <v>109</v>
      </c>
      <c r="B23" s="1">
        <v>45108</v>
      </c>
      <c r="C23" t="s">
        <v>55</v>
      </c>
      <c r="D23" t="s">
        <v>56</v>
      </c>
      <c r="E23" t="s">
        <v>81</v>
      </c>
      <c r="F23" t="s">
        <v>110</v>
      </c>
      <c r="G23" t="s">
        <v>97</v>
      </c>
      <c r="H23" t="s">
        <v>98</v>
      </c>
      <c r="I23">
        <v>1</v>
      </c>
      <c r="J23">
        <v>56100</v>
      </c>
      <c r="K23">
        <v>10</v>
      </c>
      <c r="L23" t="s">
        <v>33</v>
      </c>
    </row>
    <row r="24" spans="1:12" x14ac:dyDescent="0.3">
      <c r="A24" t="s">
        <v>111</v>
      </c>
      <c r="B24" s="1">
        <v>45108</v>
      </c>
      <c r="C24" t="s">
        <v>112</v>
      </c>
      <c r="D24" t="s">
        <v>113</v>
      </c>
      <c r="E24" t="s">
        <v>37</v>
      </c>
      <c r="F24" t="s">
        <v>38</v>
      </c>
      <c r="G24" t="s">
        <v>45</v>
      </c>
      <c r="H24" t="s">
        <v>52</v>
      </c>
      <c r="I24">
        <v>1</v>
      </c>
      <c r="J24">
        <v>33400</v>
      </c>
      <c r="K24">
        <v>15</v>
      </c>
      <c r="L24" t="s">
        <v>103</v>
      </c>
    </row>
    <row r="25" spans="1:12" x14ac:dyDescent="0.3">
      <c r="A25" t="s">
        <v>114</v>
      </c>
      <c r="B25" s="1">
        <v>45139</v>
      </c>
      <c r="C25" t="s">
        <v>115</v>
      </c>
      <c r="D25" t="s">
        <v>116</v>
      </c>
      <c r="E25" t="s">
        <v>81</v>
      </c>
      <c r="F25" t="s">
        <v>117</v>
      </c>
      <c r="G25" t="s">
        <v>39</v>
      </c>
      <c r="H25" t="s">
        <v>102</v>
      </c>
      <c r="I25">
        <v>1</v>
      </c>
      <c r="J25">
        <v>20500</v>
      </c>
      <c r="K25">
        <v>10</v>
      </c>
      <c r="L25" t="s">
        <v>19</v>
      </c>
    </row>
    <row r="26" spans="1:12" x14ac:dyDescent="0.3">
      <c r="A26" t="s">
        <v>118</v>
      </c>
      <c r="B26" s="1">
        <v>45139</v>
      </c>
      <c r="C26" t="s">
        <v>49</v>
      </c>
      <c r="D26" t="s">
        <v>50</v>
      </c>
      <c r="E26" t="s">
        <v>15</v>
      </c>
      <c r="F26" t="s">
        <v>119</v>
      </c>
      <c r="G26" t="s">
        <v>97</v>
      </c>
      <c r="H26" t="s">
        <v>98</v>
      </c>
      <c r="I26">
        <v>2</v>
      </c>
      <c r="J26">
        <v>67100</v>
      </c>
      <c r="K26">
        <v>5</v>
      </c>
      <c r="L26" t="s">
        <v>53</v>
      </c>
    </row>
    <row r="27" spans="1:12" x14ac:dyDescent="0.3">
      <c r="A27" t="s">
        <v>120</v>
      </c>
      <c r="B27" s="1">
        <v>45170</v>
      </c>
      <c r="C27" t="s">
        <v>59</v>
      </c>
      <c r="D27" t="s">
        <v>60</v>
      </c>
      <c r="E27" t="s">
        <v>37</v>
      </c>
      <c r="F27" t="s">
        <v>38</v>
      </c>
      <c r="G27" t="s">
        <v>39</v>
      </c>
      <c r="H27" t="s">
        <v>68</v>
      </c>
      <c r="I27">
        <v>1</v>
      </c>
      <c r="J27">
        <v>30200</v>
      </c>
      <c r="K27">
        <v>10</v>
      </c>
      <c r="L27" t="s">
        <v>62</v>
      </c>
    </row>
    <row r="28" spans="1:12" x14ac:dyDescent="0.3">
      <c r="A28" t="s">
        <v>121</v>
      </c>
      <c r="B28" s="1">
        <v>45170</v>
      </c>
      <c r="C28" t="s">
        <v>122</v>
      </c>
      <c r="D28" t="s">
        <v>123</v>
      </c>
      <c r="E28" t="s">
        <v>23</v>
      </c>
      <c r="F28" t="s">
        <v>44</v>
      </c>
      <c r="G28" t="s">
        <v>25</v>
      </c>
      <c r="H28" t="s">
        <v>124</v>
      </c>
      <c r="I28">
        <v>2</v>
      </c>
      <c r="J28">
        <v>2500</v>
      </c>
      <c r="K28">
        <v>0</v>
      </c>
      <c r="L28" t="s">
        <v>103</v>
      </c>
    </row>
    <row r="29" spans="1:12" x14ac:dyDescent="0.3">
      <c r="A29" t="s">
        <v>125</v>
      </c>
      <c r="B29" s="1">
        <v>45170</v>
      </c>
      <c r="C29" t="s">
        <v>126</v>
      </c>
      <c r="D29" t="s">
        <v>127</v>
      </c>
      <c r="E29" t="s">
        <v>15</v>
      </c>
      <c r="F29" t="s">
        <v>128</v>
      </c>
      <c r="G29" t="s">
        <v>39</v>
      </c>
      <c r="H29" t="s">
        <v>102</v>
      </c>
      <c r="I29">
        <v>1</v>
      </c>
      <c r="J29">
        <v>24800</v>
      </c>
      <c r="K29">
        <v>10</v>
      </c>
      <c r="L29" t="s">
        <v>73</v>
      </c>
    </row>
    <row r="30" spans="1:12" x14ac:dyDescent="0.3">
      <c r="A30" t="s">
        <v>129</v>
      </c>
      <c r="B30" s="1">
        <v>45170</v>
      </c>
      <c r="C30" t="s">
        <v>130</v>
      </c>
      <c r="D30" t="s">
        <v>53</v>
      </c>
      <c r="E30" t="s">
        <v>15</v>
      </c>
      <c r="F30" t="s">
        <v>131</v>
      </c>
      <c r="G30" t="s">
        <v>39</v>
      </c>
      <c r="H30" t="s">
        <v>68</v>
      </c>
      <c r="I30">
        <v>1</v>
      </c>
      <c r="J30">
        <v>33200</v>
      </c>
      <c r="K30">
        <v>5</v>
      </c>
      <c r="L30" t="s">
        <v>27</v>
      </c>
    </row>
    <row r="31" spans="1:12" x14ac:dyDescent="0.3">
      <c r="A31" t="s">
        <v>132</v>
      </c>
      <c r="B31" s="1">
        <v>45200</v>
      </c>
      <c r="C31" t="s">
        <v>112</v>
      </c>
      <c r="D31" t="s">
        <v>113</v>
      </c>
      <c r="E31" t="s">
        <v>81</v>
      </c>
      <c r="F31" t="s">
        <v>82</v>
      </c>
      <c r="G31" t="s">
        <v>97</v>
      </c>
      <c r="H31" t="s">
        <v>133</v>
      </c>
      <c r="I31">
        <v>1</v>
      </c>
      <c r="J31">
        <v>53600</v>
      </c>
      <c r="K31">
        <v>15</v>
      </c>
      <c r="L31" t="s">
        <v>73</v>
      </c>
    </row>
    <row r="32" spans="1:12" x14ac:dyDescent="0.3">
      <c r="A32" t="s">
        <v>134</v>
      </c>
      <c r="B32" s="1">
        <v>45200</v>
      </c>
      <c r="C32" t="s">
        <v>135</v>
      </c>
      <c r="D32" t="s">
        <v>136</v>
      </c>
      <c r="E32" t="s">
        <v>15</v>
      </c>
      <c r="F32" t="s">
        <v>131</v>
      </c>
      <c r="G32" t="s">
        <v>39</v>
      </c>
      <c r="H32" t="s">
        <v>102</v>
      </c>
      <c r="I32">
        <v>1</v>
      </c>
      <c r="J32">
        <v>28000</v>
      </c>
      <c r="K32">
        <v>0</v>
      </c>
      <c r="L32" t="s">
        <v>103</v>
      </c>
    </row>
    <row r="33" spans="1:12" x14ac:dyDescent="0.3">
      <c r="A33" t="s">
        <v>137</v>
      </c>
      <c r="B33" s="1">
        <v>45200</v>
      </c>
      <c r="C33" t="s">
        <v>105</v>
      </c>
      <c r="D33" t="s">
        <v>106</v>
      </c>
      <c r="E33" t="s">
        <v>23</v>
      </c>
      <c r="F33" t="s">
        <v>44</v>
      </c>
      <c r="G33" t="s">
        <v>25</v>
      </c>
      <c r="H33" t="s">
        <v>108</v>
      </c>
      <c r="I33">
        <v>2</v>
      </c>
      <c r="J33">
        <v>2100</v>
      </c>
      <c r="K33">
        <v>15</v>
      </c>
      <c r="L33" t="s">
        <v>53</v>
      </c>
    </row>
    <row r="34" spans="1:12" x14ac:dyDescent="0.3">
      <c r="A34" t="s">
        <v>138</v>
      </c>
      <c r="B34" s="1">
        <v>45200</v>
      </c>
      <c r="C34" t="s">
        <v>79</v>
      </c>
      <c r="D34" t="s">
        <v>80</v>
      </c>
      <c r="E34" t="s">
        <v>23</v>
      </c>
      <c r="F34" t="s">
        <v>51</v>
      </c>
      <c r="G34" t="s">
        <v>25</v>
      </c>
      <c r="H34" t="s">
        <v>32</v>
      </c>
      <c r="I34">
        <v>2</v>
      </c>
      <c r="J34">
        <v>1800</v>
      </c>
      <c r="K34">
        <v>0</v>
      </c>
      <c r="L34" t="s">
        <v>73</v>
      </c>
    </row>
    <row r="35" spans="1:12" x14ac:dyDescent="0.3">
      <c r="A35" t="s">
        <v>139</v>
      </c>
      <c r="B35" s="1">
        <v>45200</v>
      </c>
      <c r="C35" t="s">
        <v>70</v>
      </c>
      <c r="D35" t="s">
        <v>71</v>
      </c>
      <c r="E35" t="s">
        <v>15</v>
      </c>
      <c r="F35" t="s">
        <v>119</v>
      </c>
      <c r="G35" t="s">
        <v>45</v>
      </c>
      <c r="H35" t="s">
        <v>52</v>
      </c>
      <c r="I35">
        <v>1</v>
      </c>
      <c r="J35">
        <v>23900</v>
      </c>
      <c r="K35">
        <v>20</v>
      </c>
      <c r="L35" t="s">
        <v>53</v>
      </c>
    </row>
    <row r="36" spans="1:12" x14ac:dyDescent="0.3">
      <c r="A36" t="s">
        <v>140</v>
      </c>
      <c r="B36" s="1">
        <v>45200</v>
      </c>
      <c r="C36" t="s">
        <v>126</v>
      </c>
      <c r="D36" t="s">
        <v>127</v>
      </c>
      <c r="E36" t="s">
        <v>37</v>
      </c>
      <c r="F36" t="s">
        <v>141</v>
      </c>
      <c r="G36" t="s">
        <v>25</v>
      </c>
      <c r="H36" t="s">
        <v>26</v>
      </c>
      <c r="I36">
        <v>2</v>
      </c>
      <c r="J36">
        <v>1700</v>
      </c>
      <c r="K36">
        <v>10</v>
      </c>
      <c r="L36" t="s">
        <v>47</v>
      </c>
    </row>
    <row r="37" spans="1:12" x14ac:dyDescent="0.3">
      <c r="A37" t="s">
        <v>142</v>
      </c>
      <c r="B37" s="1">
        <v>45231</v>
      </c>
      <c r="C37" t="s">
        <v>143</v>
      </c>
      <c r="D37" t="s">
        <v>144</v>
      </c>
      <c r="E37" t="s">
        <v>23</v>
      </c>
      <c r="F37" t="s">
        <v>51</v>
      </c>
      <c r="G37" t="s">
        <v>25</v>
      </c>
      <c r="H37" t="s">
        <v>26</v>
      </c>
      <c r="I37">
        <v>2</v>
      </c>
      <c r="J37">
        <v>2700</v>
      </c>
      <c r="K37">
        <v>25</v>
      </c>
      <c r="L37" t="s">
        <v>103</v>
      </c>
    </row>
    <row r="38" spans="1:12" x14ac:dyDescent="0.3">
      <c r="A38" t="s">
        <v>145</v>
      </c>
      <c r="B38" s="1">
        <v>45231</v>
      </c>
      <c r="C38" t="s">
        <v>64</v>
      </c>
      <c r="D38" t="s">
        <v>65</v>
      </c>
      <c r="E38" t="s">
        <v>81</v>
      </c>
      <c r="F38" t="s">
        <v>82</v>
      </c>
      <c r="G38" t="s">
        <v>39</v>
      </c>
      <c r="H38" t="s">
        <v>68</v>
      </c>
      <c r="I38">
        <v>1</v>
      </c>
      <c r="J38">
        <v>26100</v>
      </c>
      <c r="K38">
        <v>0</v>
      </c>
      <c r="L38" t="s">
        <v>53</v>
      </c>
    </row>
    <row r="39" spans="1:12" x14ac:dyDescent="0.3">
      <c r="A39" t="s">
        <v>146</v>
      </c>
      <c r="B39" s="1">
        <v>45261</v>
      </c>
      <c r="C39" t="s">
        <v>147</v>
      </c>
      <c r="D39" t="s">
        <v>148</v>
      </c>
      <c r="E39" t="s">
        <v>37</v>
      </c>
      <c r="F39" t="s">
        <v>61</v>
      </c>
      <c r="G39" t="s">
        <v>25</v>
      </c>
      <c r="H39" t="s">
        <v>32</v>
      </c>
      <c r="I39">
        <v>2</v>
      </c>
      <c r="J39">
        <v>2000</v>
      </c>
      <c r="K39">
        <v>25</v>
      </c>
      <c r="L39" t="s">
        <v>62</v>
      </c>
    </row>
    <row r="40" spans="1:12" x14ac:dyDescent="0.3">
      <c r="A40" t="s">
        <v>149</v>
      </c>
      <c r="B40" s="1">
        <v>45261</v>
      </c>
      <c r="C40" t="s">
        <v>35</v>
      </c>
      <c r="D40" t="s">
        <v>36</v>
      </c>
      <c r="E40" t="s">
        <v>81</v>
      </c>
      <c r="F40" t="s">
        <v>82</v>
      </c>
      <c r="G40" t="s">
        <v>17</v>
      </c>
      <c r="H40" t="s">
        <v>18</v>
      </c>
      <c r="I40">
        <v>1</v>
      </c>
      <c r="J40">
        <v>35000</v>
      </c>
      <c r="K40">
        <v>10</v>
      </c>
      <c r="L40" t="s">
        <v>62</v>
      </c>
    </row>
    <row r="41" spans="1:12" x14ac:dyDescent="0.3">
      <c r="A41" t="s">
        <v>150</v>
      </c>
      <c r="B41" s="1">
        <v>45261</v>
      </c>
      <c r="C41" t="s">
        <v>151</v>
      </c>
      <c r="D41" t="s">
        <v>152</v>
      </c>
      <c r="E41" t="s">
        <v>37</v>
      </c>
      <c r="F41" t="s">
        <v>61</v>
      </c>
      <c r="G41" t="s">
        <v>97</v>
      </c>
      <c r="H41" t="s">
        <v>133</v>
      </c>
      <c r="I41">
        <v>1</v>
      </c>
      <c r="J41">
        <v>55400</v>
      </c>
      <c r="K41">
        <v>5</v>
      </c>
      <c r="L41" t="s">
        <v>19</v>
      </c>
    </row>
    <row r="42" spans="1:12" x14ac:dyDescent="0.3">
      <c r="A42" t="s">
        <v>153</v>
      </c>
      <c r="B42" s="1">
        <v>44928</v>
      </c>
      <c r="C42" t="s">
        <v>151</v>
      </c>
      <c r="D42" t="s">
        <v>152</v>
      </c>
      <c r="E42" t="s">
        <v>66</v>
      </c>
      <c r="F42" t="s">
        <v>72</v>
      </c>
      <c r="G42" t="s">
        <v>97</v>
      </c>
      <c r="H42" t="s">
        <v>154</v>
      </c>
      <c r="I42">
        <v>1</v>
      </c>
      <c r="J42">
        <v>70400</v>
      </c>
      <c r="K42">
        <v>20</v>
      </c>
      <c r="L42" t="s">
        <v>53</v>
      </c>
    </row>
    <row r="43" spans="1:12" x14ac:dyDescent="0.3">
      <c r="A43" t="s">
        <v>155</v>
      </c>
      <c r="B43" s="1">
        <v>44928</v>
      </c>
      <c r="C43" t="s">
        <v>147</v>
      </c>
      <c r="D43" t="s">
        <v>148</v>
      </c>
      <c r="E43" t="s">
        <v>37</v>
      </c>
      <c r="F43" t="s">
        <v>61</v>
      </c>
      <c r="G43" t="s">
        <v>45</v>
      </c>
      <c r="H43" t="s">
        <v>156</v>
      </c>
      <c r="I43">
        <v>2</v>
      </c>
      <c r="J43">
        <v>44900</v>
      </c>
      <c r="K43">
        <v>0</v>
      </c>
      <c r="L43" t="s">
        <v>27</v>
      </c>
    </row>
    <row r="44" spans="1:12" x14ac:dyDescent="0.3">
      <c r="A44" t="s">
        <v>157</v>
      </c>
      <c r="B44" s="1">
        <v>44928</v>
      </c>
      <c r="C44" t="s">
        <v>158</v>
      </c>
      <c r="D44" t="s">
        <v>159</v>
      </c>
      <c r="E44" t="s">
        <v>81</v>
      </c>
      <c r="F44" t="s">
        <v>160</v>
      </c>
      <c r="G44" t="s">
        <v>39</v>
      </c>
      <c r="H44" t="s">
        <v>68</v>
      </c>
      <c r="I44">
        <v>2</v>
      </c>
      <c r="J44">
        <v>26500</v>
      </c>
      <c r="K44">
        <v>0</v>
      </c>
      <c r="L44" t="s">
        <v>73</v>
      </c>
    </row>
    <row r="45" spans="1:12" x14ac:dyDescent="0.3">
      <c r="A45" t="s">
        <v>161</v>
      </c>
      <c r="B45" s="1">
        <v>44959</v>
      </c>
      <c r="C45" t="s">
        <v>90</v>
      </c>
      <c r="D45" t="s">
        <v>91</v>
      </c>
      <c r="E45" t="s">
        <v>81</v>
      </c>
      <c r="F45" t="s">
        <v>82</v>
      </c>
      <c r="G45" t="s">
        <v>39</v>
      </c>
      <c r="H45" t="s">
        <v>57</v>
      </c>
      <c r="I45">
        <v>1</v>
      </c>
      <c r="J45">
        <v>29100</v>
      </c>
      <c r="K45">
        <v>25</v>
      </c>
      <c r="L45" t="s">
        <v>103</v>
      </c>
    </row>
    <row r="46" spans="1:12" x14ac:dyDescent="0.3">
      <c r="A46" t="s">
        <v>162</v>
      </c>
      <c r="B46" s="1">
        <v>44959</v>
      </c>
      <c r="C46" t="s">
        <v>163</v>
      </c>
      <c r="D46" t="s">
        <v>73</v>
      </c>
      <c r="E46" t="s">
        <v>37</v>
      </c>
      <c r="F46" t="s">
        <v>141</v>
      </c>
      <c r="G46" t="s">
        <v>45</v>
      </c>
      <c r="H46" t="s">
        <v>156</v>
      </c>
      <c r="I46">
        <v>1</v>
      </c>
      <c r="J46">
        <v>45600</v>
      </c>
      <c r="K46">
        <v>10</v>
      </c>
      <c r="L46" t="s">
        <v>62</v>
      </c>
    </row>
    <row r="47" spans="1:12" x14ac:dyDescent="0.3">
      <c r="A47" t="s">
        <v>164</v>
      </c>
      <c r="B47" s="1">
        <v>44987</v>
      </c>
      <c r="C47" t="s">
        <v>165</v>
      </c>
      <c r="D47" t="s">
        <v>166</v>
      </c>
      <c r="E47" t="s">
        <v>37</v>
      </c>
      <c r="F47" t="s">
        <v>38</v>
      </c>
      <c r="G47" t="s">
        <v>97</v>
      </c>
      <c r="H47" t="s">
        <v>154</v>
      </c>
      <c r="I47">
        <v>2</v>
      </c>
      <c r="J47">
        <v>57700</v>
      </c>
      <c r="K47">
        <v>5</v>
      </c>
      <c r="L47" t="s">
        <v>73</v>
      </c>
    </row>
    <row r="48" spans="1:12" x14ac:dyDescent="0.3">
      <c r="A48" t="s">
        <v>167</v>
      </c>
      <c r="B48" s="1">
        <v>45018</v>
      </c>
      <c r="C48" t="s">
        <v>59</v>
      </c>
      <c r="D48" t="s">
        <v>60</v>
      </c>
      <c r="E48" t="s">
        <v>23</v>
      </c>
      <c r="F48" t="s">
        <v>44</v>
      </c>
      <c r="G48" t="s">
        <v>17</v>
      </c>
      <c r="H48" t="s">
        <v>168</v>
      </c>
      <c r="I48">
        <v>1</v>
      </c>
      <c r="J48">
        <v>45200</v>
      </c>
      <c r="K48">
        <v>5</v>
      </c>
      <c r="L48" t="s">
        <v>53</v>
      </c>
    </row>
    <row r="49" spans="1:12" x14ac:dyDescent="0.3">
      <c r="A49" t="s">
        <v>169</v>
      </c>
      <c r="B49" s="1">
        <v>45018</v>
      </c>
      <c r="C49" t="s">
        <v>151</v>
      </c>
      <c r="D49" t="s">
        <v>152</v>
      </c>
      <c r="E49" t="s">
        <v>66</v>
      </c>
      <c r="F49" t="s">
        <v>92</v>
      </c>
      <c r="G49" t="s">
        <v>17</v>
      </c>
      <c r="H49" t="s">
        <v>77</v>
      </c>
      <c r="I49">
        <v>1</v>
      </c>
      <c r="J49">
        <v>27100</v>
      </c>
      <c r="K49">
        <v>5</v>
      </c>
      <c r="L49" t="s">
        <v>47</v>
      </c>
    </row>
    <row r="50" spans="1:12" x14ac:dyDescent="0.3">
      <c r="A50" t="s">
        <v>170</v>
      </c>
      <c r="B50" s="1">
        <v>45018</v>
      </c>
      <c r="C50" t="s">
        <v>163</v>
      </c>
      <c r="D50" t="s">
        <v>73</v>
      </c>
      <c r="E50" t="s">
        <v>81</v>
      </c>
      <c r="F50" t="s">
        <v>82</v>
      </c>
      <c r="G50" t="s">
        <v>97</v>
      </c>
      <c r="H50" t="s">
        <v>171</v>
      </c>
      <c r="I50">
        <v>2</v>
      </c>
      <c r="J50">
        <v>56100</v>
      </c>
      <c r="K50">
        <v>5</v>
      </c>
      <c r="L50" t="s">
        <v>62</v>
      </c>
    </row>
    <row r="51" spans="1:12" x14ac:dyDescent="0.3">
      <c r="A51" t="s">
        <v>172</v>
      </c>
      <c r="B51" s="1">
        <v>45018</v>
      </c>
      <c r="C51" t="s">
        <v>29</v>
      </c>
      <c r="D51" t="s">
        <v>30</v>
      </c>
      <c r="E51" t="s">
        <v>23</v>
      </c>
      <c r="F51" t="s">
        <v>24</v>
      </c>
      <c r="G51" t="s">
        <v>39</v>
      </c>
      <c r="H51" t="s">
        <v>57</v>
      </c>
      <c r="I51">
        <v>1</v>
      </c>
      <c r="J51">
        <v>19300</v>
      </c>
      <c r="K51">
        <v>5</v>
      </c>
      <c r="L51" t="s">
        <v>47</v>
      </c>
    </row>
    <row r="52" spans="1:12" x14ac:dyDescent="0.3">
      <c r="A52" t="s">
        <v>173</v>
      </c>
      <c r="B52" s="1">
        <v>45018</v>
      </c>
      <c r="C52" t="s">
        <v>115</v>
      </c>
      <c r="D52" t="s">
        <v>116</v>
      </c>
      <c r="E52" t="s">
        <v>15</v>
      </c>
      <c r="F52" t="s">
        <v>16</v>
      </c>
      <c r="G52" t="s">
        <v>97</v>
      </c>
      <c r="H52" t="s">
        <v>174</v>
      </c>
      <c r="I52">
        <v>1</v>
      </c>
      <c r="J52">
        <v>62000</v>
      </c>
      <c r="K52">
        <v>25</v>
      </c>
      <c r="L52" t="s">
        <v>53</v>
      </c>
    </row>
    <row r="53" spans="1:12" x14ac:dyDescent="0.3">
      <c r="A53" t="s">
        <v>175</v>
      </c>
      <c r="B53" s="1">
        <v>45018</v>
      </c>
      <c r="C53" t="s">
        <v>176</v>
      </c>
      <c r="D53" t="s">
        <v>177</v>
      </c>
      <c r="E53" t="s">
        <v>81</v>
      </c>
      <c r="F53" t="s">
        <v>82</v>
      </c>
      <c r="G53" t="s">
        <v>39</v>
      </c>
      <c r="H53" t="s">
        <v>57</v>
      </c>
      <c r="I53">
        <v>1</v>
      </c>
      <c r="J53">
        <v>27000</v>
      </c>
      <c r="K53">
        <v>5</v>
      </c>
      <c r="L53" t="s">
        <v>103</v>
      </c>
    </row>
    <row r="54" spans="1:12" x14ac:dyDescent="0.3">
      <c r="A54" t="s">
        <v>178</v>
      </c>
      <c r="B54" s="1">
        <v>45018</v>
      </c>
      <c r="C54" t="s">
        <v>21</v>
      </c>
      <c r="D54" t="s">
        <v>22</v>
      </c>
      <c r="E54" t="s">
        <v>66</v>
      </c>
      <c r="F54" t="s">
        <v>92</v>
      </c>
      <c r="G54" t="s">
        <v>17</v>
      </c>
      <c r="H54" t="s">
        <v>168</v>
      </c>
      <c r="I54">
        <v>1</v>
      </c>
      <c r="J54">
        <v>30200</v>
      </c>
      <c r="K54">
        <v>25</v>
      </c>
      <c r="L54" t="s">
        <v>19</v>
      </c>
    </row>
    <row r="55" spans="1:12" x14ac:dyDescent="0.3">
      <c r="A55" t="s">
        <v>179</v>
      </c>
      <c r="B55" s="1">
        <v>45018</v>
      </c>
      <c r="C55" t="s">
        <v>180</v>
      </c>
      <c r="D55" t="s">
        <v>181</v>
      </c>
      <c r="E55" t="s">
        <v>66</v>
      </c>
      <c r="F55" t="s">
        <v>87</v>
      </c>
      <c r="G55" t="s">
        <v>97</v>
      </c>
      <c r="H55" t="s">
        <v>174</v>
      </c>
      <c r="I55">
        <v>2</v>
      </c>
      <c r="J55">
        <v>65800</v>
      </c>
      <c r="K55">
        <v>5</v>
      </c>
      <c r="L55" t="s">
        <v>19</v>
      </c>
    </row>
    <row r="56" spans="1:12" x14ac:dyDescent="0.3">
      <c r="A56" t="s">
        <v>182</v>
      </c>
      <c r="B56" s="1">
        <v>45018</v>
      </c>
      <c r="C56" t="s">
        <v>183</v>
      </c>
      <c r="D56" t="s">
        <v>27</v>
      </c>
      <c r="E56" t="s">
        <v>23</v>
      </c>
      <c r="F56" t="s">
        <v>51</v>
      </c>
      <c r="G56" t="s">
        <v>97</v>
      </c>
      <c r="H56" t="s">
        <v>133</v>
      </c>
      <c r="I56">
        <v>1</v>
      </c>
      <c r="J56">
        <v>64200</v>
      </c>
      <c r="K56">
        <v>5</v>
      </c>
      <c r="L56" t="s">
        <v>103</v>
      </c>
    </row>
    <row r="57" spans="1:12" x14ac:dyDescent="0.3">
      <c r="A57" t="s">
        <v>184</v>
      </c>
      <c r="B57" s="1">
        <v>45018</v>
      </c>
      <c r="C57" t="s">
        <v>185</v>
      </c>
      <c r="D57" t="s">
        <v>186</v>
      </c>
      <c r="E57" t="s">
        <v>37</v>
      </c>
      <c r="F57" t="s">
        <v>141</v>
      </c>
      <c r="G57" t="s">
        <v>97</v>
      </c>
      <c r="H57" t="s">
        <v>174</v>
      </c>
      <c r="I57">
        <v>2</v>
      </c>
      <c r="J57">
        <v>60000</v>
      </c>
      <c r="K57">
        <v>5</v>
      </c>
      <c r="L57" t="s">
        <v>27</v>
      </c>
    </row>
    <row r="58" spans="1:12" x14ac:dyDescent="0.3">
      <c r="A58" t="s">
        <v>187</v>
      </c>
      <c r="B58" s="1">
        <v>45048</v>
      </c>
      <c r="C58" t="s">
        <v>188</v>
      </c>
      <c r="D58" t="s">
        <v>189</v>
      </c>
      <c r="E58" t="s">
        <v>15</v>
      </c>
      <c r="F58" t="s">
        <v>16</v>
      </c>
      <c r="G58" t="s">
        <v>25</v>
      </c>
      <c r="H58" t="s">
        <v>108</v>
      </c>
      <c r="I58">
        <v>3</v>
      </c>
      <c r="J58">
        <v>1600</v>
      </c>
      <c r="K58">
        <v>25</v>
      </c>
      <c r="L58" t="s">
        <v>103</v>
      </c>
    </row>
    <row r="59" spans="1:12" x14ac:dyDescent="0.3">
      <c r="A59" t="s">
        <v>190</v>
      </c>
      <c r="B59" s="1">
        <v>45048</v>
      </c>
      <c r="C59" t="s">
        <v>13</v>
      </c>
      <c r="D59" t="s">
        <v>14</v>
      </c>
      <c r="E59" t="s">
        <v>81</v>
      </c>
      <c r="F59" t="s">
        <v>110</v>
      </c>
      <c r="G59" t="s">
        <v>39</v>
      </c>
      <c r="H59" t="s">
        <v>40</v>
      </c>
      <c r="I59">
        <v>1</v>
      </c>
      <c r="J59">
        <v>35000</v>
      </c>
      <c r="K59">
        <v>10</v>
      </c>
      <c r="L59" t="s">
        <v>73</v>
      </c>
    </row>
    <row r="60" spans="1:12" x14ac:dyDescent="0.3">
      <c r="A60" t="s">
        <v>191</v>
      </c>
      <c r="B60" s="1">
        <v>45079</v>
      </c>
      <c r="C60" t="s">
        <v>151</v>
      </c>
      <c r="D60" t="s">
        <v>152</v>
      </c>
      <c r="E60" t="s">
        <v>81</v>
      </c>
      <c r="F60" t="s">
        <v>117</v>
      </c>
      <c r="G60" t="s">
        <v>25</v>
      </c>
      <c r="H60" t="s">
        <v>124</v>
      </c>
      <c r="I60">
        <v>1</v>
      </c>
      <c r="J60">
        <v>2100</v>
      </c>
      <c r="K60">
        <v>15</v>
      </c>
      <c r="L60" t="s">
        <v>47</v>
      </c>
    </row>
    <row r="61" spans="1:12" x14ac:dyDescent="0.3">
      <c r="A61" t="s">
        <v>192</v>
      </c>
      <c r="B61" s="1">
        <v>45109</v>
      </c>
      <c r="C61" t="s">
        <v>135</v>
      </c>
      <c r="D61" t="s">
        <v>136</v>
      </c>
      <c r="E61" t="s">
        <v>66</v>
      </c>
      <c r="F61" t="s">
        <v>67</v>
      </c>
      <c r="G61" t="s">
        <v>45</v>
      </c>
      <c r="H61" t="s">
        <v>52</v>
      </c>
      <c r="I61">
        <v>1</v>
      </c>
      <c r="J61">
        <v>31100</v>
      </c>
      <c r="K61">
        <v>0</v>
      </c>
      <c r="L61" t="s">
        <v>27</v>
      </c>
    </row>
    <row r="62" spans="1:12" x14ac:dyDescent="0.3">
      <c r="A62" t="s">
        <v>193</v>
      </c>
      <c r="B62" s="1">
        <v>45140</v>
      </c>
      <c r="C62" t="s">
        <v>115</v>
      </c>
      <c r="D62" t="s">
        <v>116</v>
      </c>
      <c r="E62" t="s">
        <v>23</v>
      </c>
      <c r="F62" t="s">
        <v>24</v>
      </c>
      <c r="G62" t="s">
        <v>25</v>
      </c>
      <c r="H62" t="s">
        <v>108</v>
      </c>
      <c r="I62">
        <v>1</v>
      </c>
      <c r="J62">
        <v>2500</v>
      </c>
      <c r="K62">
        <v>0</v>
      </c>
      <c r="L62" t="s">
        <v>27</v>
      </c>
    </row>
    <row r="63" spans="1:12" x14ac:dyDescent="0.3">
      <c r="A63" t="s">
        <v>194</v>
      </c>
      <c r="B63" s="1">
        <v>45140</v>
      </c>
      <c r="C63" t="s">
        <v>95</v>
      </c>
      <c r="D63" t="s">
        <v>96</v>
      </c>
      <c r="E63" t="s">
        <v>37</v>
      </c>
      <c r="F63" t="s">
        <v>38</v>
      </c>
      <c r="G63" t="s">
        <v>25</v>
      </c>
      <c r="H63" t="s">
        <v>124</v>
      </c>
      <c r="I63">
        <v>1</v>
      </c>
      <c r="J63">
        <v>2700</v>
      </c>
      <c r="K63">
        <v>25</v>
      </c>
      <c r="L63" t="s">
        <v>73</v>
      </c>
    </row>
    <row r="64" spans="1:12" x14ac:dyDescent="0.3">
      <c r="A64" t="s">
        <v>195</v>
      </c>
      <c r="B64" s="1">
        <v>45140</v>
      </c>
      <c r="C64" t="s">
        <v>35</v>
      </c>
      <c r="D64" t="s">
        <v>36</v>
      </c>
      <c r="E64" t="s">
        <v>66</v>
      </c>
      <c r="F64" t="s">
        <v>87</v>
      </c>
      <c r="G64" t="s">
        <v>17</v>
      </c>
      <c r="H64" t="s">
        <v>196</v>
      </c>
      <c r="I64">
        <v>1</v>
      </c>
      <c r="J64">
        <v>41200</v>
      </c>
      <c r="K64">
        <v>5</v>
      </c>
      <c r="L64" t="s">
        <v>73</v>
      </c>
    </row>
    <row r="65" spans="1:12" x14ac:dyDescent="0.3">
      <c r="A65" t="s">
        <v>197</v>
      </c>
      <c r="B65" s="1">
        <v>45140</v>
      </c>
      <c r="C65" t="s">
        <v>135</v>
      </c>
      <c r="D65" t="s">
        <v>136</v>
      </c>
      <c r="E65" t="s">
        <v>23</v>
      </c>
      <c r="F65" t="s">
        <v>51</v>
      </c>
      <c r="G65" t="s">
        <v>25</v>
      </c>
      <c r="H65" t="s">
        <v>26</v>
      </c>
      <c r="I65">
        <v>3</v>
      </c>
      <c r="J65">
        <v>1700</v>
      </c>
      <c r="K65">
        <v>10</v>
      </c>
      <c r="L65" t="s">
        <v>47</v>
      </c>
    </row>
    <row r="66" spans="1:12" x14ac:dyDescent="0.3">
      <c r="A66" t="s">
        <v>198</v>
      </c>
      <c r="B66" s="1">
        <v>45171</v>
      </c>
      <c r="C66" t="s">
        <v>13</v>
      </c>
      <c r="D66" t="s">
        <v>14</v>
      </c>
      <c r="E66" t="s">
        <v>15</v>
      </c>
      <c r="F66" t="s">
        <v>131</v>
      </c>
      <c r="G66" t="s">
        <v>39</v>
      </c>
      <c r="H66" t="s">
        <v>40</v>
      </c>
      <c r="I66">
        <v>1</v>
      </c>
      <c r="J66">
        <v>21600</v>
      </c>
      <c r="K66">
        <v>10</v>
      </c>
      <c r="L66" t="s">
        <v>73</v>
      </c>
    </row>
    <row r="67" spans="1:12" x14ac:dyDescent="0.3">
      <c r="A67" t="s">
        <v>199</v>
      </c>
      <c r="B67" s="1">
        <v>45171</v>
      </c>
      <c r="C67" t="s">
        <v>143</v>
      </c>
      <c r="D67" t="s">
        <v>144</v>
      </c>
      <c r="E67" t="s">
        <v>81</v>
      </c>
      <c r="F67" t="s">
        <v>117</v>
      </c>
      <c r="G67" t="s">
        <v>97</v>
      </c>
      <c r="H67" t="s">
        <v>98</v>
      </c>
      <c r="I67">
        <v>1</v>
      </c>
      <c r="J67">
        <v>55200</v>
      </c>
      <c r="K67">
        <v>10</v>
      </c>
      <c r="L67" t="s">
        <v>73</v>
      </c>
    </row>
    <row r="68" spans="1:12" x14ac:dyDescent="0.3">
      <c r="A68" t="s">
        <v>200</v>
      </c>
      <c r="B68" s="1">
        <v>45171</v>
      </c>
      <c r="C68" t="s">
        <v>183</v>
      </c>
      <c r="D68" t="s">
        <v>27</v>
      </c>
      <c r="E68" t="s">
        <v>23</v>
      </c>
      <c r="F68" t="s">
        <v>51</v>
      </c>
      <c r="G68" t="s">
        <v>25</v>
      </c>
      <c r="H68" t="s">
        <v>26</v>
      </c>
      <c r="I68">
        <v>2</v>
      </c>
      <c r="J68">
        <v>1900</v>
      </c>
      <c r="K68">
        <v>0</v>
      </c>
      <c r="L68" t="s">
        <v>53</v>
      </c>
    </row>
    <row r="69" spans="1:12" x14ac:dyDescent="0.3">
      <c r="A69" t="s">
        <v>201</v>
      </c>
      <c r="B69" s="1">
        <v>45171</v>
      </c>
      <c r="C69" t="s">
        <v>130</v>
      </c>
      <c r="D69" t="s">
        <v>53</v>
      </c>
      <c r="E69" t="s">
        <v>37</v>
      </c>
      <c r="F69" t="s">
        <v>61</v>
      </c>
      <c r="G69" t="s">
        <v>45</v>
      </c>
      <c r="H69" t="s">
        <v>52</v>
      </c>
      <c r="I69">
        <v>1</v>
      </c>
      <c r="J69">
        <v>25900</v>
      </c>
      <c r="K69">
        <v>0</v>
      </c>
      <c r="L69" t="s">
        <v>33</v>
      </c>
    </row>
    <row r="70" spans="1:12" x14ac:dyDescent="0.3">
      <c r="A70" t="s">
        <v>202</v>
      </c>
      <c r="B70" s="1">
        <v>45232</v>
      </c>
      <c r="C70" t="s">
        <v>203</v>
      </c>
      <c r="D70" t="s">
        <v>204</v>
      </c>
      <c r="E70" t="s">
        <v>37</v>
      </c>
      <c r="F70" t="s">
        <v>38</v>
      </c>
      <c r="G70" t="s">
        <v>97</v>
      </c>
      <c r="H70" t="s">
        <v>98</v>
      </c>
      <c r="I70">
        <v>2</v>
      </c>
      <c r="J70">
        <v>63200</v>
      </c>
      <c r="K70">
        <v>0</v>
      </c>
      <c r="L70" t="s">
        <v>62</v>
      </c>
    </row>
    <row r="71" spans="1:12" x14ac:dyDescent="0.3">
      <c r="A71" t="s">
        <v>205</v>
      </c>
      <c r="B71" s="1">
        <v>45232</v>
      </c>
      <c r="C71" t="s">
        <v>147</v>
      </c>
      <c r="D71" t="s">
        <v>148</v>
      </c>
      <c r="E71" t="s">
        <v>15</v>
      </c>
      <c r="F71" t="s">
        <v>131</v>
      </c>
      <c r="G71" t="s">
        <v>39</v>
      </c>
      <c r="H71" t="s">
        <v>57</v>
      </c>
      <c r="I71">
        <v>1</v>
      </c>
      <c r="J71">
        <v>30500</v>
      </c>
      <c r="K71">
        <v>0</v>
      </c>
      <c r="L71" t="s">
        <v>27</v>
      </c>
    </row>
    <row r="72" spans="1:12" x14ac:dyDescent="0.3">
      <c r="A72" t="s">
        <v>206</v>
      </c>
      <c r="B72" s="1">
        <v>45232</v>
      </c>
      <c r="C72" t="s">
        <v>35</v>
      </c>
      <c r="D72" t="s">
        <v>36</v>
      </c>
      <c r="E72" t="s">
        <v>37</v>
      </c>
      <c r="F72" t="s">
        <v>101</v>
      </c>
      <c r="G72" t="s">
        <v>45</v>
      </c>
      <c r="H72" t="s">
        <v>207</v>
      </c>
      <c r="I72">
        <v>1</v>
      </c>
      <c r="J72">
        <v>31000</v>
      </c>
      <c r="K72">
        <v>15</v>
      </c>
      <c r="L72" t="s">
        <v>53</v>
      </c>
    </row>
    <row r="73" spans="1:12" x14ac:dyDescent="0.3">
      <c r="A73" t="s">
        <v>208</v>
      </c>
      <c r="B73" s="1">
        <v>45232</v>
      </c>
      <c r="C73" t="s">
        <v>55</v>
      </c>
      <c r="D73" t="s">
        <v>56</v>
      </c>
      <c r="E73" t="s">
        <v>15</v>
      </c>
      <c r="F73" t="s">
        <v>131</v>
      </c>
      <c r="G73" t="s">
        <v>17</v>
      </c>
      <c r="H73" t="s">
        <v>196</v>
      </c>
      <c r="I73">
        <v>1</v>
      </c>
      <c r="J73">
        <v>26600</v>
      </c>
      <c r="K73">
        <v>20</v>
      </c>
      <c r="L73" t="s">
        <v>103</v>
      </c>
    </row>
    <row r="74" spans="1:12" x14ac:dyDescent="0.3">
      <c r="A74" t="s">
        <v>209</v>
      </c>
      <c r="B74" s="1">
        <v>45262</v>
      </c>
      <c r="C74" t="s">
        <v>210</v>
      </c>
      <c r="D74" t="s">
        <v>211</v>
      </c>
      <c r="E74" t="s">
        <v>23</v>
      </c>
      <c r="F74" t="s">
        <v>51</v>
      </c>
      <c r="G74" t="s">
        <v>25</v>
      </c>
      <c r="H74" t="s">
        <v>212</v>
      </c>
      <c r="I74">
        <v>2</v>
      </c>
      <c r="J74">
        <v>1200</v>
      </c>
      <c r="K74">
        <v>25</v>
      </c>
      <c r="L74" t="s">
        <v>73</v>
      </c>
    </row>
    <row r="75" spans="1:12" x14ac:dyDescent="0.3">
      <c r="A75" t="s">
        <v>213</v>
      </c>
      <c r="B75" s="1">
        <v>45262</v>
      </c>
      <c r="C75" t="s">
        <v>122</v>
      </c>
      <c r="D75" t="s">
        <v>123</v>
      </c>
      <c r="E75" t="s">
        <v>66</v>
      </c>
      <c r="F75" t="s">
        <v>72</v>
      </c>
      <c r="G75" t="s">
        <v>25</v>
      </c>
      <c r="H75" t="s">
        <v>108</v>
      </c>
      <c r="I75">
        <v>2</v>
      </c>
      <c r="J75">
        <v>2100</v>
      </c>
      <c r="K75">
        <v>15</v>
      </c>
      <c r="L75" t="s">
        <v>53</v>
      </c>
    </row>
    <row r="76" spans="1:12" x14ac:dyDescent="0.3">
      <c r="A76" t="s">
        <v>214</v>
      </c>
      <c r="B76" s="1">
        <v>45262</v>
      </c>
      <c r="C76" t="s">
        <v>158</v>
      </c>
      <c r="D76" t="s">
        <v>159</v>
      </c>
      <c r="E76" t="s">
        <v>66</v>
      </c>
      <c r="F76" t="s">
        <v>92</v>
      </c>
      <c r="G76" t="s">
        <v>17</v>
      </c>
      <c r="H76" t="s">
        <v>196</v>
      </c>
      <c r="I76">
        <v>1</v>
      </c>
      <c r="J76">
        <v>21600</v>
      </c>
      <c r="K76">
        <v>5</v>
      </c>
      <c r="L76" t="s">
        <v>62</v>
      </c>
    </row>
    <row r="77" spans="1:12" x14ac:dyDescent="0.3">
      <c r="A77" t="s">
        <v>215</v>
      </c>
      <c r="B77" s="1">
        <v>45262</v>
      </c>
      <c r="C77" t="s">
        <v>29</v>
      </c>
      <c r="D77" t="s">
        <v>30</v>
      </c>
      <c r="E77" t="s">
        <v>15</v>
      </c>
      <c r="F77" t="s">
        <v>119</v>
      </c>
      <c r="G77" t="s">
        <v>25</v>
      </c>
      <c r="H77" t="s">
        <v>32</v>
      </c>
      <c r="I77">
        <v>2</v>
      </c>
      <c r="J77">
        <v>2300</v>
      </c>
      <c r="K77">
        <v>25</v>
      </c>
      <c r="L77" t="s">
        <v>53</v>
      </c>
    </row>
    <row r="78" spans="1:12" x14ac:dyDescent="0.3">
      <c r="A78" t="s">
        <v>216</v>
      </c>
      <c r="B78" s="1">
        <v>45262</v>
      </c>
      <c r="C78" t="s">
        <v>35</v>
      </c>
      <c r="D78" t="s">
        <v>36</v>
      </c>
      <c r="E78" t="s">
        <v>23</v>
      </c>
      <c r="F78" t="s">
        <v>24</v>
      </c>
      <c r="G78" t="s">
        <v>25</v>
      </c>
      <c r="H78" t="s">
        <v>32</v>
      </c>
      <c r="I78">
        <v>2</v>
      </c>
      <c r="J78">
        <v>3000</v>
      </c>
      <c r="K78">
        <v>0</v>
      </c>
      <c r="L78" t="s">
        <v>73</v>
      </c>
    </row>
    <row r="79" spans="1:12" x14ac:dyDescent="0.3">
      <c r="A79" t="s">
        <v>217</v>
      </c>
      <c r="B79" s="1">
        <v>45262</v>
      </c>
      <c r="C79" t="s">
        <v>183</v>
      </c>
      <c r="D79" t="s">
        <v>27</v>
      </c>
      <c r="E79" t="s">
        <v>23</v>
      </c>
      <c r="F79" t="s">
        <v>24</v>
      </c>
      <c r="G79" t="s">
        <v>25</v>
      </c>
      <c r="H79" t="s">
        <v>124</v>
      </c>
      <c r="I79">
        <v>3</v>
      </c>
      <c r="J79">
        <v>1800</v>
      </c>
      <c r="K79">
        <v>10</v>
      </c>
      <c r="L79" t="s">
        <v>103</v>
      </c>
    </row>
    <row r="80" spans="1:12" x14ac:dyDescent="0.3">
      <c r="A80" t="s">
        <v>218</v>
      </c>
      <c r="B80" s="1">
        <v>45262</v>
      </c>
      <c r="C80" t="s">
        <v>59</v>
      </c>
      <c r="D80" t="s">
        <v>60</v>
      </c>
      <c r="E80" t="s">
        <v>23</v>
      </c>
      <c r="F80" t="s">
        <v>51</v>
      </c>
      <c r="G80" t="s">
        <v>45</v>
      </c>
      <c r="H80" t="s">
        <v>46</v>
      </c>
      <c r="I80">
        <v>1</v>
      </c>
      <c r="J80">
        <v>45000</v>
      </c>
      <c r="K80">
        <v>5</v>
      </c>
      <c r="L80" t="s">
        <v>53</v>
      </c>
    </row>
    <row r="81" spans="1:12" x14ac:dyDescent="0.3">
      <c r="A81" t="s">
        <v>219</v>
      </c>
      <c r="B81" s="1">
        <v>44929</v>
      </c>
      <c r="C81" t="s">
        <v>188</v>
      </c>
      <c r="D81" t="s">
        <v>189</v>
      </c>
      <c r="E81" t="s">
        <v>81</v>
      </c>
      <c r="F81" t="s">
        <v>117</v>
      </c>
      <c r="G81" t="s">
        <v>17</v>
      </c>
      <c r="H81" t="s">
        <v>77</v>
      </c>
      <c r="I81">
        <v>1</v>
      </c>
      <c r="J81">
        <v>50900</v>
      </c>
      <c r="K81">
        <v>5</v>
      </c>
      <c r="L81" t="s">
        <v>62</v>
      </c>
    </row>
    <row r="82" spans="1:12" x14ac:dyDescent="0.3">
      <c r="A82" t="s">
        <v>220</v>
      </c>
      <c r="B82" s="1">
        <v>44929</v>
      </c>
      <c r="C82" t="s">
        <v>185</v>
      </c>
      <c r="D82" t="s">
        <v>186</v>
      </c>
      <c r="E82" t="s">
        <v>66</v>
      </c>
      <c r="F82" t="s">
        <v>92</v>
      </c>
      <c r="G82" t="s">
        <v>17</v>
      </c>
      <c r="H82" t="s">
        <v>196</v>
      </c>
      <c r="I82">
        <v>1</v>
      </c>
      <c r="J82">
        <v>29800</v>
      </c>
      <c r="K82">
        <v>25</v>
      </c>
      <c r="L82" t="s">
        <v>73</v>
      </c>
    </row>
    <row r="83" spans="1:12" x14ac:dyDescent="0.3">
      <c r="A83" t="s">
        <v>221</v>
      </c>
      <c r="B83" s="1">
        <v>44929</v>
      </c>
      <c r="C83" t="s">
        <v>75</v>
      </c>
      <c r="D83" t="s">
        <v>76</v>
      </c>
      <c r="E83" t="s">
        <v>81</v>
      </c>
      <c r="F83" t="s">
        <v>110</v>
      </c>
      <c r="G83" t="s">
        <v>45</v>
      </c>
      <c r="H83" t="s">
        <v>156</v>
      </c>
      <c r="I83">
        <v>1</v>
      </c>
      <c r="J83">
        <v>49700</v>
      </c>
      <c r="K83">
        <v>10</v>
      </c>
      <c r="L83" t="s">
        <v>103</v>
      </c>
    </row>
    <row r="84" spans="1:12" x14ac:dyDescent="0.3">
      <c r="A84" t="s">
        <v>222</v>
      </c>
      <c r="B84" s="1">
        <v>44929</v>
      </c>
      <c r="C84" t="s">
        <v>55</v>
      </c>
      <c r="D84" t="s">
        <v>56</v>
      </c>
      <c r="E84" t="s">
        <v>81</v>
      </c>
      <c r="F84" t="s">
        <v>82</v>
      </c>
      <c r="G84" t="s">
        <v>39</v>
      </c>
      <c r="H84" t="s">
        <v>102</v>
      </c>
      <c r="I84">
        <v>1</v>
      </c>
      <c r="J84">
        <v>26200</v>
      </c>
      <c r="K84">
        <v>10</v>
      </c>
      <c r="L84" t="s">
        <v>103</v>
      </c>
    </row>
    <row r="85" spans="1:12" x14ac:dyDescent="0.3">
      <c r="A85" t="s">
        <v>223</v>
      </c>
      <c r="B85" s="1">
        <v>44929</v>
      </c>
      <c r="C85" t="s">
        <v>70</v>
      </c>
      <c r="D85" t="s">
        <v>71</v>
      </c>
      <c r="E85" t="s">
        <v>81</v>
      </c>
      <c r="F85" t="s">
        <v>110</v>
      </c>
      <c r="G85" t="s">
        <v>17</v>
      </c>
      <c r="H85" t="s">
        <v>88</v>
      </c>
      <c r="I85">
        <v>1</v>
      </c>
      <c r="J85">
        <v>23100</v>
      </c>
      <c r="K85">
        <v>0</v>
      </c>
      <c r="L85" t="s">
        <v>103</v>
      </c>
    </row>
    <row r="86" spans="1:12" x14ac:dyDescent="0.3">
      <c r="A86" t="s">
        <v>224</v>
      </c>
      <c r="B86" s="1">
        <v>44929</v>
      </c>
      <c r="C86" t="s">
        <v>35</v>
      </c>
      <c r="D86" t="s">
        <v>36</v>
      </c>
      <c r="E86" t="s">
        <v>23</v>
      </c>
      <c r="F86" t="s">
        <v>51</v>
      </c>
      <c r="G86" t="s">
        <v>45</v>
      </c>
      <c r="H86" t="s">
        <v>207</v>
      </c>
      <c r="I86">
        <v>1</v>
      </c>
      <c r="J86">
        <v>20800</v>
      </c>
      <c r="K86">
        <v>10</v>
      </c>
      <c r="L86" t="s">
        <v>33</v>
      </c>
    </row>
    <row r="87" spans="1:12" x14ac:dyDescent="0.3">
      <c r="A87" t="s">
        <v>225</v>
      </c>
      <c r="B87" s="1">
        <v>44960</v>
      </c>
      <c r="C87" t="s">
        <v>59</v>
      </c>
      <c r="D87" t="s">
        <v>60</v>
      </c>
      <c r="E87" t="s">
        <v>81</v>
      </c>
      <c r="F87" t="s">
        <v>110</v>
      </c>
      <c r="G87" t="s">
        <v>25</v>
      </c>
      <c r="H87" t="s">
        <v>108</v>
      </c>
      <c r="I87">
        <v>2</v>
      </c>
      <c r="J87">
        <v>1000</v>
      </c>
      <c r="K87">
        <v>10</v>
      </c>
      <c r="L87" t="s">
        <v>19</v>
      </c>
    </row>
    <row r="88" spans="1:12" x14ac:dyDescent="0.3">
      <c r="A88" t="s">
        <v>226</v>
      </c>
      <c r="B88" s="1">
        <v>44960</v>
      </c>
      <c r="C88" t="s">
        <v>55</v>
      </c>
      <c r="D88" t="s">
        <v>56</v>
      </c>
      <c r="E88" t="s">
        <v>37</v>
      </c>
      <c r="F88" t="s">
        <v>61</v>
      </c>
      <c r="G88" t="s">
        <v>17</v>
      </c>
      <c r="H88" t="s">
        <v>77</v>
      </c>
      <c r="I88">
        <v>1</v>
      </c>
      <c r="J88">
        <v>21500</v>
      </c>
      <c r="K88">
        <v>10</v>
      </c>
      <c r="L88" t="s">
        <v>62</v>
      </c>
    </row>
    <row r="89" spans="1:12" x14ac:dyDescent="0.3">
      <c r="A89" t="s">
        <v>227</v>
      </c>
      <c r="B89" s="1">
        <v>44960</v>
      </c>
      <c r="C89" t="s">
        <v>135</v>
      </c>
      <c r="D89" t="s">
        <v>136</v>
      </c>
      <c r="E89" t="s">
        <v>81</v>
      </c>
      <c r="F89" t="s">
        <v>110</v>
      </c>
      <c r="G89" t="s">
        <v>17</v>
      </c>
      <c r="H89" t="s">
        <v>18</v>
      </c>
      <c r="I89">
        <v>2</v>
      </c>
      <c r="J89">
        <v>36800</v>
      </c>
      <c r="K89">
        <v>25</v>
      </c>
      <c r="L89" t="s">
        <v>62</v>
      </c>
    </row>
    <row r="90" spans="1:12" x14ac:dyDescent="0.3">
      <c r="A90" t="s">
        <v>228</v>
      </c>
      <c r="B90" s="1">
        <v>44988</v>
      </c>
      <c r="C90" t="s">
        <v>49</v>
      </c>
      <c r="D90" t="s">
        <v>50</v>
      </c>
      <c r="E90" t="s">
        <v>15</v>
      </c>
      <c r="F90" t="s">
        <v>119</v>
      </c>
      <c r="G90" t="s">
        <v>45</v>
      </c>
      <c r="H90" t="s">
        <v>207</v>
      </c>
      <c r="I90">
        <v>1</v>
      </c>
      <c r="J90">
        <v>50000</v>
      </c>
      <c r="K90">
        <v>0</v>
      </c>
      <c r="L90" t="s">
        <v>27</v>
      </c>
    </row>
    <row r="91" spans="1:12" x14ac:dyDescent="0.3">
      <c r="A91" t="s">
        <v>229</v>
      </c>
      <c r="B91" s="1">
        <v>44988</v>
      </c>
      <c r="C91" t="s">
        <v>75</v>
      </c>
      <c r="D91" t="s">
        <v>76</v>
      </c>
      <c r="E91" t="s">
        <v>66</v>
      </c>
      <c r="F91" t="s">
        <v>87</v>
      </c>
      <c r="G91" t="s">
        <v>17</v>
      </c>
      <c r="H91" t="s">
        <v>196</v>
      </c>
      <c r="I91">
        <v>1</v>
      </c>
      <c r="J91">
        <v>45900</v>
      </c>
      <c r="K91">
        <v>5</v>
      </c>
      <c r="L91" t="s">
        <v>103</v>
      </c>
    </row>
    <row r="92" spans="1:12" x14ac:dyDescent="0.3">
      <c r="A92" t="s">
        <v>230</v>
      </c>
      <c r="B92" s="1">
        <v>44988</v>
      </c>
      <c r="C92" t="s">
        <v>29</v>
      </c>
      <c r="D92" t="s">
        <v>30</v>
      </c>
      <c r="E92" t="s">
        <v>37</v>
      </c>
      <c r="F92" t="s">
        <v>61</v>
      </c>
      <c r="G92" t="s">
        <v>97</v>
      </c>
      <c r="H92" t="s">
        <v>154</v>
      </c>
      <c r="I92">
        <v>1</v>
      </c>
      <c r="J92">
        <v>47900</v>
      </c>
      <c r="K92">
        <v>0</v>
      </c>
      <c r="L92" t="s">
        <v>33</v>
      </c>
    </row>
    <row r="93" spans="1:12" x14ac:dyDescent="0.3">
      <c r="A93" t="s">
        <v>231</v>
      </c>
      <c r="B93" s="1">
        <v>45019</v>
      </c>
      <c r="C93" t="s">
        <v>232</v>
      </c>
      <c r="D93" t="s">
        <v>233</v>
      </c>
      <c r="E93" t="s">
        <v>15</v>
      </c>
      <c r="F93" t="s">
        <v>128</v>
      </c>
      <c r="G93" t="s">
        <v>39</v>
      </c>
      <c r="H93" t="s">
        <v>57</v>
      </c>
      <c r="I93">
        <v>1</v>
      </c>
      <c r="J93">
        <v>19000</v>
      </c>
      <c r="K93">
        <v>0</v>
      </c>
      <c r="L93" t="s">
        <v>33</v>
      </c>
    </row>
    <row r="94" spans="1:12" x14ac:dyDescent="0.3">
      <c r="A94" t="s">
        <v>234</v>
      </c>
      <c r="B94" s="1">
        <v>45019</v>
      </c>
      <c r="C94" t="s">
        <v>151</v>
      </c>
      <c r="D94" t="s">
        <v>152</v>
      </c>
      <c r="E94" t="s">
        <v>15</v>
      </c>
      <c r="F94" t="s">
        <v>119</v>
      </c>
      <c r="G94" t="s">
        <v>25</v>
      </c>
      <c r="H94" t="s">
        <v>26</v>
      </c>
      <c r="I94">
        <v>2</v>
      </c>
      <c r="J94">
        <v>2200</v>
      </c>
      <c r="K94">
        <v>15</v>
      </c>
      <c r="L94" t="s">
        <v>27</v>
      </c>
    </row>
    <row r="95" spans="1:12" x14ac:dyDescent="0.3">
      <c r="A95" t="s">
        <v>235</v>
      </c>
      <c r="B95" s="1">
        <v>45049</v>
      </c>
      <c r="C95" t="s">
        <v>236</v>
      </c>
      <c r="D95" t="s">
        <v>237</v>
      </c>
      <c r="E95" t="s">
        <v>15</v>
      </c>
      <c r="F95" t="s">
        <v>128</v>
      </c>
      <c r="G95" t="s">
        <v>39</v>
      </c>
      <c r="H95" t="s">
        <v>57</v>
      </c>
      <c r="I95">
        <v>2</v>
      </c>
      <c r="J95">
        <v>32100</v>
      </c>
      <c r="K95">
        <v>15</v>
      </c>
      <c r="L95" t="s">
        <v>19</v>
      </c>
    </row>
    <row r="96" spans="1:12" x14ac:dyDescent="0.3">
      <c r="A96" t="s">
        <v>238</v>
      </c>
      <c r="B96" s="1">
        <v>45049</v>
      </c>
      <c r="C96" t="s">
        <v>70</v>
      </c>
      <c r="D96" t="s">
        <v>71</v>
      </c>
      <c r="E96" t="s">
        <v>81</v>
      </c>
      <c r="F96" t="s">
        <v>110</v>
      </c>
      <c r="G96" t="s">
        <v>17</v>
      </c>
      <c r="H96" t="s">
        <v>168</v>
      </c>
      <c r="I96">
        <v>1</v>
      </c>
      <c r="J96">
        <v>46700</v>
      </c>
      <c r="K96">
        <v>15</v>
      </c>
      <c r="L96" t="s">
        <v>19</v>
      </c>
    </row>
    <row r="97" spans="1:12" x14ac:dyDescent="0.3">
      <c r="A97" t="s">
        <v>239</v>
      </c>
      <c r="B97" s="1">
        <v>45080</v>
      </c>
      <c r="C97" t="s">
        <v>130</v>
      </c>
      <c r="D97" t="s">
        <v>53</v>
      </c>
      <c r="E97" t="s">
        <v>66</v>
      </c>
      <c r="F97" t="s">
        <v>92</v>
      </c>
      <c r="G97" t="s">
        <v>45</v>
      </c>
      <c r="H97" t="s">
        <v>156</v>
      </c>
      <c r="I97">
        <v>1</v>
      </c>
      <c r="J97">
        <v>23600</v>
      </c>
      <c r="K97">
        <v>25</v>
      </c>
      <c r="L97" t="s">
        <v>33</v>
      </c>
    </row>
    <row r="98" spans="1:12" x14ac:dyDescent="0.3">
      <c r="A98" t="s">
        <v>240</v>
      </c>
      <c r="B98" s="1">
        <v>45080</v>
      </c>
      <c r="C98" t="s">
        <v>64</v>
      </c>
      <c r="D98" t="s">
        <v>65</v>
      </c>
      <c r="E98" t="s">
        <v>81</v>
      </c>
      <c r="F98" t="s">
        <v>82</v>
      </c>
      <c r="G98" t="s">
        <v>25</v>
      </c>
      <c r="H98" t="s">
        <v>26</v>
      </c>
      <c r="I98">
        <v>2</v>
      </c>
      <c r="J98">
        <v>1100</v>
      </c>
      <c r="K98">
        <v>0</v>
      </c>
      <c r="L98" t="s">
        <v>33</v>
      </c>
    </row>
    <row r="99" spans="1:12" x14ac:dyDescent="0.3">
      <c r="A99" t="s">
        <v>241</v>
      </c>
      <c r="B99" s="1">
        <v>45080</v>
      </c>
      <c r="C99" t="s">
        <v>180</v>
      </c>
      <c r="D99" t="s">
        <v>181</v>
      </c>
      <c r="E99" t="s">
        <v>66</v>
      </c>
      <c r="F99" t="s">
        <v>67</v>
      </c>
      <c r="G99" t="s">
        <v>45</v>
      </c>
      <c r="H99" t="s">
        <v>52</v>
      </c>
      <c r="I99">
        <v>1</v>
      </c>
      <c r="J99">
        <v>30900</v>
      </c>
      <c r="K99">
        <v>5</v>
      </c>
      <c r="L99" t="s">
        <v>33</v>
      </c>
    </row>
    <row r="100" spans="1:12" x14ac:dyDescent="0.3">
      <c r="A100" t="s">
        <v>242</v>
      </c>
      <c r="B100" s="1">
        <v>45110</v>
      </c>
      <c r="C100" t="s">
        <v>130</v>
      </c>
      <c r="D100" t="s">
        <v>53</v>
      </c>
      <c r="E100" t="s">
        <v>15</v>
      </c>
      <c r="F100" t="s">
        <v>131</v>
      </c>
      <c r="G100" t="s">
        <v>45</v>
      </c>
      <c r="H100" t="s">
        <v>52</v>
      </c>
      <c r="I100">
        <v>1</v>
      </c>
      <c r="J100">
        <v>20000</v>
      </c>
      <c r="K100">
        <v>25</v>
      </c>
      <c r="L100" t="s">
        <v>47</v>
      </c>
    </row>
    <row r="101" spans="1:12" x14ac:dyDescent="0.3">
      <c r="A101" t="s">
        <v>243</v>
      </c>
      <c r="B101" s="1">
        <v>45110</v>
      </c>
      <c r="C101" t="s">
        <v>244</v>
      </c>
      <c r="D101" t="s">
        <v>245</v>
      </c>
      <c r="E101" t="s">
        <v>23</v>
      </c>
      <c r="F101" t="s">
        <v>44</v>
      </c>
      <c r="G101" t="s">
        <v>17</v>
      </c>
      <c r="H101" t="s">
        <v>196</v>
      </c>
      <c r="I101">
        <v>1</v>
      </c>
      <c r="J101">
        <v>49900</v>
      </c>
      <c r="K101">
        <v>10</v>
      </c>
      <c r="L101" t="s">
        <v>73</v>
      </c>
    </row>
    <row r="102" spans="1:12" x14ac:dyDescent="0.3">
      <c r="A102" t="s">
        <v>246</v>
      </c>
      <c r="B102" s="1">
        <v>45110</v>
      </c>
      <c r="C102" t="s">
        <v>64</v>
      </c>
      <c r="D102" t="s">
        <v>65</v>
      </c>
      <c r="E102" t="s">
        <v>37</v>
      </c>
      <c r="F102" t="s">
        <v>61</v>
      </c>
      <c r="G102" t="s">
        <v>97</v>
      </c>
      <c r="H102" t="s">
        <v>171</v>
      </c>
      <c r="I102">
        <v>1</v>
      </c>
      <c r="J102">
        <v>64600</v>
      </c>
      <c r="K102">
        <v>5</v>
      </c>
      <c r="L102" t="s">
        <v>62</v>
      </c>
    </row>
    <row r="103" spans="1:12" x14ac:dyDescent="0.3">
      <c r="A103" t="s">
        <v>247</v>
      </c>
      <c r="B103" s="1">
        <v>45110</v>
      </c>
      <c r="C103" t="s">
        <v>236</v>
      </c>
      <c r="D103" t="s">
        <v>237</v>
      </c>
      <c r="E103" t="s">
        <v>66</v>
      </c>
      <c r="F103" t="s">
        <v>67</v>
      </c>
      <c r="G103" t="s">
        <v>39</v>
      </c>
      <c r="H103" t="s">
        <v>57</v>
      </c>
      <c r="I103">
        <v>1</v>
      </c>
      <c r="J103">
        <v>11600</v>
      </c>
      <c r="K103">
        <v>20</v>
      </c>
      <c r="L103" t="s">
        <v>33</v>
      </c>
    </row>
    <row r="104" spans="1:12" x14ac:dyDescent="0.3">
      <c r="A104" t="s">
        <v>248</v>
      </c>
      <c r="B104" s="1">
        <v>45141</v>
      </c>
      <c r="C104" t="s">
        <v>176</v>
      </c>
      <c r="D104" t="s">
        <v>177</v>
      </c>
      <c r="E104" t="s">
        <v>66</v>
      </c>
      <c r="F104" t="s">
        <v>67</v>
      </c>
      <c r="G104" t="s">
        <v>17</v>
      </c>
      <c r="H104" t="s">
        <v>168</v>
      </c>
      <c r="I104">
        <v>1</v>
      </c>
      <c r="J104">
        <v>32600</v>
      </c>
      <c r="K104">
        <v>0</v>
      </c>
      <c r="L104" t="s">
        <v>33</v>
      </c>
    </row>
    <row r="105" spans="1:12" x14ac:dyDescent="0.3">
      <c r="A105" t="s">
        <v>249</v>
      </c>
      <c r="B105" s="1">
        <v>45141</v>
      </c>
      <c r="C105" t="s">
        <v>250</v>
      </c>
      <c r="D105" t="s">
        <v>251</v>
      </c>
      <c r="E105" t="s">
        <v>81</v>
      </c>
      <c r="F105" t="s">
        <v>82</v>
      </c>
      <c r="G105" t="s">
        <v>45</v>
      </c>
      <c r="H105" t="s">
        <v>52</v>
      </c>
      <c r="I105">
        <v>1</v>
      </c>
      <c r="J105">
        <v>39100</v>
      </c>
      <c r="K105">
        <v>20</v>
      </c>
      <c r="L105" t="s">
        <v>33</v>
      </c>
    </row>
    <row r="106" spans="1:12" x14ac:dyDescent="0.3">
      <c r="A106" t="s">
        <v>252</v>
      </c>
      <c r="B106" s="1">
        <v>45141</v>
      </c>
      <c r="C106" t="s">
        <v>115</v>
      </c>
      <c r="D106" t="s">
        <v>116</v>
      </c>
      <c r="E106" t="s">
        <v>15</v>
      </c>
      <c r="F106" t="s">
        <v>128</v>
      </c>
      <c r="G106" t="s">
        <v>25</v>
      </c>
      <c r="H106" t="s">
        <v>32</v>
      </c>
      <c r="I106">
        <v>2</v>
      </c>
      <c r="J106">
        <v>2600</v>
      </c>
      <c r="K106">
        <v>5</v>
      </c>
      <c r="L106" t="s">
        <v>73</v>
      </c>
    </row>
    <row r="107" spans="1:12" x14ac:dyDescent="0.3">
      <c r="A107" t="s">
        <v>253</v>
      </c>
      <c r="B107" s="1">
        <v>45172</v>
      </c>
      <c r="C107" t="s">
        <v>70</v>
      </c>
      <c r="D107" t="s">
        <v>71</v>
      </c>
      <c r="E107" t="s">
        <v>37</v>
      </c>
      <c r="F107" t="s">
        <v>38</v>
      </c>
      <c r="G107" t="s">
        <v>25</v>
      </c>
      <c r="H107" t="s">
        <v>32</v>
      </c>
      <c r="I107">
        <v>2</v>
      </c>
      <c r="J107">
        <v>2600</v>
      </c>
      <c r="K107">
        <v>20</v>
      </c>
      <c r="L107" t="s">
        <v>47</v>
      </c>
    </row>
    <row r="108" spans="1:12" x14ac:dyDescent="0.3">
      <c r="A108" t="s">
        <v>254</v>
      </c>
      <c r="B108" s="1">
        <v>45172</v>
      </c>
      <c r="C108" t="s">
        <v>29</v>
      </c>
      <c r="D108" t="s">
        <v>30</v>
      </c>
      <c r="E108" t="s">
        <v>37</v>
      </c>
      <c r="F108" t="s">
        <v>61</v>
      </c>
      <c r="G108" t="s">
        <v>45</v>
      </c>
      <c r="H108" t="s">
        <v>207</v>
      </c>
      <c r="I108">
        <v>1</v>
      </c>
      <c r="J108">
        <v>28100</v>
      </c>
      <c r="K108">
        <v>5</v>
      </c>
      <c r="L108" t="s">
        <v>19</v>
      </c>
    </row>
    <row r="109" spans="1:12" x14ac:dyDescent="0.3">
      <c r="A109" t="s">
        <v>255</v>
      </c>
      <c r="B109" s="1">
        <v>45172</v>
      </c>
      <c r="C109" t="s">
        <v>176</v>
      </c>
      <c r="D109" t="s">
        <v>177</v>
      </c>
      <c r="E109" t="s">
        <v>37</v>
      </c>
      <c r="F109" t="s">
        <v>38</v>
      </c>
      <c r="G109" t="s">
        <v>25</v>
      </c>
      <c r="H109" t="s">
        <v>26</v>
      </c>
      <c r="I109">
        <v>2</v>
      </c>
      <c r="J109">
        <v>900</v>
      </c>
      <c r="K109">
        <v>5</v>
      </c>
      <c r="L109" t="s">
        <v>62</v>
      </c>
    </row>
    <row r="110" spans="1:12" x14ac:dyDescent="0.3">
      <c r="A110" t="s">
        <v>256</v>
      </c>
      <c r="B110" s="1">
        <v>45172</v>
      </c>
      <c r="C110" t="s">
        <v>244</v>
      </c>
      <c r="D110" t="s">
        <v>245</v>
      </c>
      <c r="E110" t="s">
        <v>23</v>
      </c>
      <c r="F110" t="s">
        <v>44</v>
      </c>
      <c r="G110" t="s">
        <v>25</v>
      </c>
      <c r="H110" t="s">
        <v>32</v>
      </c>
      <c r="I110">
        <v>2</v>
      </c>
      <c r="J110">
        <v>1900</v>
      </c>
      <c r="K110">
        <v>0</v>
      </c>
      <c r="L110" t="s">
        <v>103</v>
      </c>
    </row>
    <row r="111" spans="1:12" x14ac:dyDescent="0.3">
      <c r="A111" t="s">
        <v>257</v>
      </c>
      <c r="B111" s="1">
        <v>45172</v>
      </c>
      <c r="C111" t="s">
        <v>176</v>
      </c>
      <c r="D111" t="s">
        <v>177</v>
      </c>
      <c r="E111" t="s">
        <v>15</v>
      </c>
      <c r="F111" t="s">
        <v>128</v>
      </c>
      <c r="G111" t="s">
        <v>17</v>
      </c>
      <c r="H111" t="s">
        <v>77</v>
      </c>
      <c r="I111">
        <v>2</v>
      </c>
      <c r="J111">
        <v>31500</v>
      </c>
      <c r="K111">
        <v>0</v>
      </c>
      <c r="L111" t="s">
        <v>47</v>
      </c>
    </row>
    <row r="112" spans="1:12" x14ac:dyDescent="0.3">
      <c r="A112" t="s">
        <v>258</v>
      </c>
      <c r="B112" s="1">
        <v>45202</v>
      </c>
      <c r="C112" t="s">
        <v>210</v>
      </c>
      <c r="D112" t="s">
        <v>211</v>
      </c>
      <c r="E112" t="s">
        <v>81</v>
      </c>
      <c r="F112" t="s">
        <v>160</v>
      </c>
      <c r="G112" t="s">
        <v>17</v>
      </c>
      <c r="H112" t="s">
        <v>88</v>
      </c>
      <c r="I112">
        <v>1</v>
      </c>
      <c r="J112">
        <v>38000</v>
      </c>
      <c r="K112">
        <v>25</v>
      </c>
      <c r="L112" t="s">
        <v>33</v>
      </c>
    </row>
    <row r="113" spans="1:12" x14ac:dyDescent="0.3">
      <c r="A113" t="s">
        <v>259</v>
      </c>
      <c r="B113" s="1">
        <v>45202</v>
      </c>
      <c r="C113" t="s">
        <v>163</v>
      </c>
      <c r="D113" t="s">
        <v>73</v>
      </c>
      <c r="E113" t="s">
        <v>37</v>
      </c>
      <c r="F113" t="s">
        <v>38</v>
      </c>
      <c r="G113" t="s">
        <v>97</v>
      </c>
      <c r="H113" t="s">
        <v>133</v>
      </c>
      <c r="I113">
        <v>2</v>
      </c>
      <c r="J113">
        <v>57200</v>
      </c>
      <c r="K113">
        <v>20</v>
      </c>
      <c r="L113" t="s">
        <v>19</v>
      </c>
    </row>
    <row r="114" spans="1:12" x14ac:dyDescent="0.3">
      <c r="A114" t="s">
        <v>260</v>
      </c>
      <c r="B114" s="1">
        <v>45233</v>
      </c>
      <c r="C114" t="s">
        <v>95</v>
      </c>
      <c r="D114" t="s">
        <v>96</v>
      </c>
      <c r="E114" t="s">
        <v>15</v>
      </c>
      <c r="F114" t="s">
        <v>128</v>
      </c>
      <c r="G114" t="s">
        <v>97</v>
      </c>
      <c r="H114" t="s">
        <v>98</v>
      </c>
      <c r="I114">
        <v>1</v>
      </c>
      <c r="J114">
        <v>50200</v>
      </c>
      <c r="K114">
        <v>10</v>
      </c>
      <c r="L114" t="s">
        <v>47</v>
      </c>
    </row>
    <row r="115" spans="1:12" x14ac:dyDescent="0.3">
      <c r="A115" t="s">
        <v>261</v>
      </c>
      <c r="B115" s="1">
        <v>45233</v>
      </c>
      <c r="C115" t="s">
        <v>236</v>
      </c>
      <c r="D115" t="s">
        <v>237</v>
      </c>
      <c r="E115" t="s">
        <v>23</v>
      </c>
      <c r="F115" t="s">
        <v>24</v>
      </c>
      <c r="G115" t="s">
        <v>97</v>
      </c>
      <c r="H115" t="s">
        <v>154</v>
      </c>
      <c r="I115">
        <v>1</v>
      </c>
      <c r="J115">
        <v>73000</v>
      </c>
      <c r="K115">
        <v>0</v>
      </c>
      <c r="L115" t="s">
        <v>62</v>
      </c>
    </row>
    <row r="116" spans="1:12" x14ac:dyDescent="0.3">
      <c r="A116" t="s">
        <v>262</v>
      </c>
      <c r="B116" s="1">
        <v>45233</v>
      </c>
      <c r="C116" t="s">
        <v>203</v>
      </c>
      <c r="D116" t="s">
        <v>204</v>
      </c>
      <c r="E116" t="s">
        <v>81</v>
      </c>
      <c r="F116" t="s">
        <v>110</v>
      </c>
      <c r="G116" t="s">
        <v>39</v>
      </c>
      <c r="H116" t="s">
        <v>68</v>
      </c>
      <c r="I116">
        <v>1</v>
      </c>
      <c r="J116">
        <v>12500</v>
      </c>
      <c r="K116">
        <v>5</v>
      </c>
      <c r="L116" t="s">
        <v>19</v>
      </c>
    </row>
    <row r="117" spans="1:12" x14ac:dyDescent="0.3">
      <c r="A117" t="s">
        <v>263</v>
      </c>
      <c r="B117" s="1">
        <v>45233</v>
      </c>
      <c r="C117" t="s">
        <v>75</v>
      </c>
      <c r="D117" t="s">
        <v>76</v>
      </c>
      <c r="E117" t="s">
        <v>23</v>
      </c>
      <c r="F117" t="s">
        <v>24</v>
      </c>
      <c r="G117" t="s">
        <v>17</v>
      </c>
      <c r="H117" t="s">
        <v>168</v>
      </c>
      <c r="I117">
        <v>1</v>
      </c>
      <c r="J117">
        <v>40200</v>
      </c>
      <c r="K117">
        <v>5</v>
      </c>
      <c r="L117" t="s">
        <v>47</v>
      </c>
    </row>
    <row r="118" spans="1:12" x14ac:dyDescent="0.3">
      <c r="A118" t="s">
        <v>264</v>
      </c>
      <c r="B118" s="1">
        <v>45263</v>
      </c>
      <c r="C118" t="s">
        <v>42</v>
      </c>
      <c r="D118" t="s">
        <v>43</v>
      </c>
      <c r="E118" t="s">
        <v>15</v>
      </c>
      <c r="F118" t="s">
        <v>16</v>
      </c>
      <c r="G118" t="s">
        <v>17</v>
      </c>
      <c r="H118" t="s">
        <v>88</v>
      </c>
      <c r="I118">
        <v>1</v>
      </c>
      <c r="J118">
        <v>42500</v>
      </c>
      <c r="K118">
        <v>25</v>
      </c>
      <c r="L118" t="s">
        <v>33</v>
      </c>
    </row>
    <row r="119" spans="1:12" x14ac:dyDescent="0.3">
      <c r="A119" t="s">
        <v>265</v>
      </c>
      <c r="B119" s="1">
        <v>45263</v>
      </c>
      <c r="C119" t="s">
        <v>55</v>
      </c>
      <c r="D119" t="s">
        <v>56</v>
      </c>
      <c r="E119" t="s">
        <v>66</v>
      </c>
      <c r="F119" t="s">
        <v>87</v>
      </c>
      <c r="G119" t="s">
        <v>97</v>
      </c>
      <c r="H119" t="s">
        <v>171</v>
      </c>
      <c r="I119">
        <v>1</v>
      </c>
      <c r="J119">
        <v>48200</v>
      </c>
      <c r="K119">
        <v>10</v>
      </c>
      <c r="L119" t="s">
        <v>27</v>
      </c>
    </row>
    <row r="120" spans="1:12" x14ac:dyDescent="0.3">
      <c r="A120" t="s">
        <v>266</v>
      </c>
      <c r="B120" s="1">
        <v>45263</v>
      </c>
      <c r="C120" t="s">
        <v>84</v>
      </c>
      <c r="D120" t="s">
        <v>85</v>
      </c>
      <c r="E120" t="s">
        <v>15</v>
      </c>
      <c r="F120" t="s">
        <v>16</v>
      </c>
      <c r="G120" t="s">
        <v>39</v>
      </c>
      <c r="H120" t="s">
        <v>68</v>
      </c>
      <c r="I120">
        <v>1</v>
      </c>
      <c r="J120">
        <v>12600</v>
      </c>
      <c r="K120">
        <v>10</v>
      </c>
      <c r="L120" t="s">
        <v>33</v>
      </c>
    </row>
    <row r="121" spans="1:12" x14ac:dyDescent="0.3">
      <c r="A121" t="s">
        <v>267</v>
      </c>
      <c r="B121" s="1">
        <v>45263</v>
      </c>
      <c r="C121" t="s">
        <v>75</v>
      </c>
      <c r="D121" t="s">
        <v>76</v>
      </c>
      <c r="E121" t="s">
        <v>81</v>
      </c>
      <c r="F121" t="s">
        <v>82</v>
      </c>
      <c r="G121" t="s">
        <v>45</v>
      </c>
      <c r="H121" t="s">
        <v>156</v>
      </c>
      <c r="I121">
        <v>1</v>
      </c>
      <c r="J121">
        <v>24800</v>
      </c>
      <c r="K121">
        <v>0</v>
      </c>
      <c r="L121" t="s">
        <v>19</v>
      </c>
    </row>
    <row r="122" spans="1:12" x14ac:dyDescent="0.3">
      <c r="A122" t="s">
        <v>268</v>
      </c>
      <c r="B122" s="1">
        <v>44930</v>
      </c>
      <c r="C122" t="s">
        <v>112</v>
      </c>
      <c r="D122" t="s">
        <v>113</v>
      </c>
      <c r="E122" t="s">
        <v>37</v>
      </c>
      <c r="F122" t="s">
        <v>38</v>
      </c>
      <c r="G122" t="s">
        <v>39</v>
      </c>
      <c r="H122" t="s">
        <v>68</v>
      </c>
      <c r="I122">
        <v>1</v>
      </c>
      <c r="J122">
        <v>26400</v>
      </c>
      <c r="K122">
        <v>0</v>
      </c>
      <c r="L122" t="s">
        <v>103</v>
      </c>
    </row>
    <row r="123" spans="1:12" x14ac:dyDescent="0.3">
      <c r="A123" t="s">
        <v>269</v>
      </c>
      <c r="B123" s="1">
        <v>44961</v>
      </c>
      <c r="C123" t="s">
        <v>70</v>
      </c>
      <c r="D123" t="s">
        <v>71</v>
      </c>
      <c r="E123" t="s">
        <v>23</v>
      </c>
      <c r="F123" t="s">
        <v>44</v>
      </c>
      <c r="G123" t="s">
        <v>39</v>
      </c>
      <c r="H123" t="s">
        <v>68</v>
      </c>
      <c r="I123">
        <v>1</v>
      </c>
      <c r="J123">
        <v>23900</v>
      </c>
      <c r="K123">
        <v>20</v>
      </c>
      <c r="L123" t="s">
        <v>47</v>
      </c>
    </row>
    <row r="124" spans="1:12" x14ac:dyDescent="0.3">
      <c r="A124" t="s">
        <v>270</v>
      </c>
      <c r="B124" s="1">
        <v>44961</v>
      </c>
      <c r="C124" t="s">
        <v>135</v>
      </c>
      <c r="D124" t="s">
        <v>136</v>
      </c>
      <c r="E124" t="s">
        <v>15</v>
      </c>
      <c r="F124" t="s">
        <v>131</v>
      </c>
      <c r="G124" t="s">
        <v>17</v>
      </c>
      <c r="H124" t="s">
        <v>168</v>
      </c>
      <c r="I124">
        <v>1</v>
      </c>
      <c r="J124">
        <v>60000</v>
      </c>
      <c r="K124">
        <v>0</v>
      </c>
      <c r="L124" t="s">
        <v>53</v>
      </c>
    </row>
    <row r="125" spans="1:12" x14ac:dyDescent="0.3">
      <c r="A125" t="s">
        <v>271</v>
      </c>
      <c r="B125" s="1">
        <v>44961</v>
      </c>
      <c r="C125" t="s">
        <v>188</v>
      </c>
      <c r="D125" t="s">
        <v>189</v>
      </c>
      <c r="E125" t="s">
        <v>37</v>
      </c>
      <c r="F125" t="s">
        <v>101</v>
      </c>
      <c r="G125" t="s">
        <v>17</v>
      </c>
      <c r="H125" t="s">
        <v>18</v>
      </c>
      <c r="I125">
        <v>1</v>
      </c>
      <c r="J125">
        <v>40000</v>
      </c>
      <c r="K125">
        <v>15</v>
      </c>
      <c r="L125" t="s">
        <v>103</v>
      </c>
    </row>
    <row r="126" spans="1:12" x14ac:dyDescent="0.3">
      <c r="A126" t="s">
        <v>272</v>
      </c>
      <c r="B126" s="1">
        <v>44961</v>
      </c>
      <c r="C126" t="s">
        <v>250</v>
      </c>
      <c r="D126" t="s">
        <v>251</v>
      </c>
      <c r="E126" t="s">
        <v>15</v>
      </c>
      <c r="F126" t="s">
        <v>119</v>
      </c>
      <c r="G126" t="s">
        <v>25</v>
      </c>
      <c r="H126" t="s">
        <v>32</v>
      </c>
      <c r="I126">
        <v>3</v>
      </c>
      <c r="J126">
        <v>1600</v>
      </c>
      <c r="K126">
        <v>10</v>
      </c>
      <c r="L126" t="s">
        <v>47</v>
      </c>
    </row>
    <row r="127" spans="1:12" x14ac:dyDescent="0.3">
      <c r="A127" t="s">
        <v>273</v>
      </c>
      <c r="B127" s="1">
        <v>44989</v>
      </c>
      <c r="C127" t="s">
        <v>29</v>
      </c>
      <c r="D127" t="s">
        <v>30</v>
      </c>
      <c r="E127" t="s">
        <v>37</v>
      </c>
      <c r="F127" t="s">
        <v>141</v>
      </c>
      <c r="G127" t="s">
        <v>25</v>
      </c>
      <c r="H127" t="s">
        <v>32</v>
      </c>
      <c r="I127">
        <v>2</v>
      </c>
      <c r="J127">
        <v>2000</v>
      </c>
      <c r="K127">
        <v>0</v>
      </c>
      <c r="L127" t="s">
        <v>73</v>
      </c>
    </row>
    <row r="128" spans="1:12" x14ac:dyDescent="0.3">
      <c r="A128" t="s">
        <v>274</v>
      </c>
      <c r="B128" s="1">
        <v>44989</v>
      </c>
      <c r="C128" t="s">
        <v>210</v>
      </c>
      <c r="D128" t="s">
        <v>211</v>
      </c>
      <c r="E128" t="s">
        <v>37</v>
      </c>
      <c r="F128" t="s">
        <v>141</v>
      </c>
      <c r="G128" t="s">
        <v>25</v>
      </c>
      <c r="H128" t="s">
        <v>124</v>
      </c>
      <c r="I128">
        <v>2</v>
      </c>
      <c r="J128">
        <v>1200</v>
      </c>
      <c r="K128">
        <v>25</v>
      </c>
      <c r="L128" t="s">
        <v>47</v>
      </c>
    </row>
    <row r="129" spans="1:12" x14ac:dyDescent="0.3">
      <c r="A129" t="s">
        <v>275</v>
      </c>
      <c r="B129" s="1">
        <v>44989</v>
      </c>
      <c r="C129" t="s">
        <v>49</v>
      </c>
      <c r="D129" t="s">
        <v>50</v>
      </c>
      <c r="E129" t="s">
        <v>81</v>
      </c>
      <c r="F129" t="s">
        <v>160</v>
      </c>
      <c r="G129" t="s">
        <v>39</v>
      </c>
      <c r="H129" t="s">
        <v>68</v>
      </c>
      <c r="I129">
        <v>1</v>
      </c>
      <c r="J129">
        <v>26200</v>
      </c>
      <c r="K129">
        <v>20</v>
      </c>
      <c r="L129" t="s">
        <v>33</v>
      </c>
    </row>
    <row r="130" spans="1:12" x14ac:dyDescent="0.3">
      <c r="A130" t="s">
        <v>276</v>
      </c>
      <c r="B130" s="1">
        <v>44989</v>
      </c>
      <c r="C130" t="s">
        <v>130</v>
      </c>
      <c r="D130" t="s">
        <v>53</v>
      </c>
      <c r="E130" t="s">
        <v>37</v>
      </c>
      <c r="F130" t="s">
        <v>101</v>
      </c>
      <c r="G130" t="s">
        <v>25</v>
      </c>
      <c r="H130" t="s">
        <v>32</v>
      </c>
      <c r="I130">
        <v>2</v>
      </c>
      <c r="J130">
        <v>2300</v>
      </c>
      <c r="K130">
        <v>15</v>
      </c>
      <c r="L130" t="s">
        <v>53</v>
      </c>
    </row>
    <row r="131" spans="1:12" x14ac:dyDescent="0.3">
      <c r="A131" t="s">
        <v>277</v>
      </c>
      <c r="B131" s="1">
        <v>45020</v>
      </c>
      <c r="C131" t="s">
        <v>183</v>
      </c>
      <c r="D131" t="s">
        <v>27</v>
      </c>
      <c r="E131" t="s">
        <v>15</v>
      </c>
      <c r="F131" t="s">
        <v>16</v>
      </c>
      <c r="G131" t="s">
        <v>39</v>
      </c>
      <c r="H131" t="s">
        <v>57</v>
      </c>
      <c r="I131">
        <v>1</v>
      </c>
      <c r="J131">
        <v>17500</v>
      </c>
      <c r="K131">
        <v>25</v>
      </c>
      <c r="L131" t="s">
        <v>73</v>
      </c>
    </row>
    <row r="132" spans="1:12" x14ac:dyDescent="0.3">
      <c r="A132" t="s">
        <v>278</v>
      </c>
      <c r="B132" s="1">
        <v>45020</v>
      </c>
      <c r="C132" t="s">
        <v>135</v>
      </c>
      <c r="D132" t="s">
        <v>136</v>
      </c>
      <c r="E132" t="s">
        <v>66</v>
      </c>
      <c r="F132" t="s">
        <v>72</v>
      </c>
      <c r="G132" t="s">
        <v>39</v>
      </c>
      <c r="H132" t="s">
        <v>57</v>
      </c>
      <c r="I132">
        <v>1</v>
      </c>
      <c r="J132">
        <v>23400</v>
      </c>
      <c r="K132">
        <v>0</v>
      </c>
      <c r="L132" t="s">
        <v>33</v>
      </c>
    </row>
    <row r="133" spans="1:12" x14ac:dyDescent="0.3">
      <c r="A133" t="s">
        <v>279</v>
      </c>
      <c r="B133" s="1">
        <v>45020</v>
      </c>
      <c r="C133" t="s">
        <v>244</v>
      </c>
      <c r="D133" t="s">
        <v>245</v>
      </c>
      <c r="E133" t="s">
        <v>81</v>
      </c>
      <c r="F133" t="s">
        <v>110</v>
      </c>
      <c r="G133" t="s">
        <v>17</v>
      </c>
      <c r="H133" t="s">
        <v>88</v>
      </c>
      <c r="I133">
        <v>1</v>
      </c>
      <c r="J133">
        <v>48500</v>
      </c>
      <c r="K133">
        <v>15</v>
      </c>
      <c r="L133" t="s">
        <v>19</v>
      </c>
    </row>
    <row r="134" spans="1:12" x14ac:dyDescent="0.3">
      <c r="A134" t="s">
        <v>280</v>
      </c>
      <c r="B134" s="1">
        <v>45020</v>
      </c>
      <c r="C134" t="s">
        <v>176</v>
      </c>
      <c r="D134" t="s">
        <v>177</v>
      </c>
      <c r="E134" t="s">
        <v>37</v>
      </c>
      <c r="F134" t="s">
        <v>38</v>
      </c>
      <c r="G134" t="s">
        <v>17</v>
      </c>
      <c r="H134" t="s">
        <v>196</v>
      </c>
      <c r="I134">
        <v>1</v>
      </c>
      <c r="J134">
        <v>49700</v>
      </c>
      <c r="K134">
        <v>0</v>
      </c>
      <c r="L134" t="s">
        <v>53</v>
      </c>
    </row>
    <row r="135" spans="1:12" x14ac:dyDescent="0.3">
      <c r="A135" t="s">
        <v>281</v>
      </c>
      <c r="B135" s="1">
        <v>45020</v>
      </c>
      <c r="C135" t="s">
        <v>115</v>
      </c>
      <c r="D135" t="s">
        <v>116</v>
      </c>
      <c r="E135" t="s">
        <v>23</v>
      </c>
      <c r="F135" t="s">
        <v>44</v>
      </c>
      <c r="G135" t="s">
        <v>45</v>
      </c>
      <c r="H135" t="s">
        <v>46</v>
      </c>
      <c r="I135">
        <v>1</v>
      </c>
      <c r="J135">
        <v>32100</v>
      </c>
      <c r="K135">
        <v>15</v>
      </c>
      <c r="L135" t="s">
        <v>19</v>
      </c>
    </row>
    <row r="136" spans="1:12" x14ac:dyDescent="0.3">
      <c r="A136" t="s">
        <v>282</v>
      </c>
      <c r="B136" s="1">
        <v>45050</v>
      </c>
      <c r="C136" t="s">
        <v>21</v>
      </c>
      <c r="D136" t="s">
        <v>22</v>
      </c>
      <c r="E136" t="s">
        <v>81</v>
      </c>
      <c r="F136" t="s">
        <v>117</v>
      </c>
      <c r="G136" t="s">
        <v>17</v>
      </c>
      <c r="H136" t="s">
        <v>196</v>
      </c>
      <c r="I136">
        <v>1</v>
      </c>
      <c r="J136">
        <v>60000</v>
      </c>
      <c r="K136">
        <v>5</v>
      </c>
      <c r="L136" t="s">
        <v>53</v>
      </c>
    </row>
    <row r="137" spans="1:12" x14ac:dyDescent="0.3">
      <c r="A137" t="s">
        <v>283</v>
      </c>
      <c r="B137" s="1">
        <v>45050</v>
      </c>
      <c r="C137" t="s">
        <v>284</v>
      </c>
      <c r="D137" t="s">
        <v>285</v>
      </c>
      <c r="E137" t="s">
        <v>23</v>
      </c>
      <c r="F137" t="s">
        <v>31</v>
      </c>
      <c r="G137" t="s">
        <v>17</v>
      </c>
      <c r="H137" t="s">
        <v>88</v>
      </c>
      <c r="I137">
        <v>2</v>
      </c>
      <c r="J137">
        <v>57200</v>
      </c>
      <c r="K137">
        <v>10</v>
      </c>
      <c r="L137" t="s">
        <v>53</v>
      </c>
    </row>
    <row r="138" spans="1:12" x14ac:dyDescent="0.3">
      <c r="A138" t="s">
        <v>286</v>
      </c>
      <c r="B138" s="1">
        <v>45081</v>
      </c>
      <c r="C138" t="s">
        <v>236</v>
      </c>
      <c r="D138" t="s">
        <v>237</v>
      </c>
      <c r="E138" t="s">
        <v>37</v>
      </c>
      <c r="F138" t="s">
        <v>141</v>
      </c>
      <c r="G138" t="s">
        <v>25</v>
      </c>
      <c r="H138" t="s">
        <v>26</v>
      </c>
      <c r="I138">
        <v>2</v>
      </c>
      <c r="J138">
        <v>1700</v>
      </c>
      <c r="K138">
        <v>5</v>
      </c>
      <c r="L138" t="s">
        <v>53</v>
      </c>
    </row>
    <row r="139" spans="1:12" x14ac:dyDescent="0.3">
      <c r="A139" t="s">
        <v>287</v>
      </c>
      <c r="B139" s="1">
        <v>45111</v>
      </c>
      <c r="C139" t="s">
        <v>232</v>
      </c>
      <c r="D139" t="s">
        <v>233</v>
      </c>
      <c r="E139" t="s">
        <v>15</v>
      </c>
      <c r="F139" t="s">
        <v>119</v>
      </c>
      <c r="G139" t="s">
        <v>45</v>
      </c>
      <c r="H139" t="s">
        <v>207</v>
      </c>
      <c r="I139">
        <v>1</v>
      </c>
      <c r="J139">
        <v>32500</v>
      </c>
      <c r="K139">
        <v>25</v>
      </c>
      <c r="L139" t="s">
        <v>103</v>
      </c>
    </row>
    <row r="140" spans="1:12" x14ac:dyDescent="0.3">
      <c r="A140" t="s">
        <v>288</v>
      </c>
      <c r="B140" s="1">
        <v>45142</v>
      </c>
      <c r="C140" t="s">
        <v>84</v>
      </c>
      <c r="D140" t="s">
        <v>85</v>
      </c>
      <c r="E140" t="s">
        <v>81</v>
      </c>
      <c r="F140" t="s">
        <v>160</v>
      </c>
      <c r="G140" t="s">
        <v>45</v>
      </c>
      <c r="H140" t="s">
        <v>46</v>
      </c>
      <c r="I140">
        <v>1</v>
      </c>
      <c r="J140">
        <v>31000</v>
      </c>
      <c r="K140">
        <v>0</v>
      </c>
      <c r="L140" t="s">
        <v>47</v>
      </c>
    </row>
    <row r="141" spans="1:12" x14ac:dyDescent="0.3">
      <c r="A141" t="s">
        <v>289</v>
      </c>
      <c r="B141" s="1">
        <v>45142</v>
      </c>
      <c r="C141" t="s">
        <v>188</v>
      </c>
      <c r="D141" t="s">
        <v>189</v>
      </c>
      <c r="E141" t="s">
        <v>15</v>
      </c>
      <c r="F141" t="s">
        <v>131</v>
      </c>
      <c r="G141" t="s">
        <v>97</v>
      </c>
      <c r="H141" t="s">
        <v>133</v>
      </c>
      <c r="I141">
        <v>1</v>
      </c>
      <c r="J141">
        <v>51200</v>
      </c>
      <c r="K141">
        <v>15</v>
      </c>
      <c r="L141" t="s">
        <v>19</v>
      </c>
    </row>
    <row r="142" spans="1:12" x14ac:dyDescent="0.3">
      <c r="A142" t="s">
        <v>290</v>
      </c>
      <c r="B142" s="1">
        <v>45173</v>
      </c>
      <c r="C142" t="s">
        <v>180</v>
      </c>
      <c r="D142" t="s">
        <v>181</v>
      </c>
      <c r="E142" t="s">
        <v>81</v>
      </c>
      <c r="F142" t="s">
        <v>160</v>
      </c>
      <c r="G142" t="s">
        <v>25</v>
      </c>
      <c r="H142" t="s">
        <v>108</v>
      </c>
      <c r="I142">
        <v>2</v>
      </c>
      <c r="J142">
        <v>2000</v>
      </c>
      <c r="K142">
        <v>5</v>
      </c>
      <c r="L142" t="s">
        <v>62</v>
      </c>
    </row>
    <row r="143" spans="1:12" x14ac:dyDescent="0.3">
      <c r="A143" t="s">
        <v>291</v>
      </c>
      <c r="B143" s="1">
        <v>45173</v>
      </c>
      <c r="C143" t="s">
        <v>165</v>
      </c>
      <c r="D143" t="s">
        <v>166</v>
      </c>
      <c r="E143" t="s">
        <v>37</v>
      </c>
      <c r="F143" t="s">
        <v>141</v>
      </c>
      <c r="G143" t="s">
        <v>97</v>
      </c>
      <c r="H143" t="s">
        <v>171</v>
      </c>
      <c r="I143">
        <v>1</v>
      </c>
      <c r="J143">
        <v>44000</v>
      </c>
      <c r="K143">
        <v>10</v>
      </c>
      <c r="L143" t="s">
        <v>27</v>
      </c>
    </row>
    <row r="144" spans="1:12" x14ac:dyDescent="0.3">
      <c r="A144" t="s">
        <v>292</v>
      </c>
      <c r="B144" s="1">
        <v>45203</v>
      </c>
      <c r="C144" t="s">
        <v>70</v>
      </c>
      <c r="D144" t="s">
        <v>71</v>
      </c>
      <c r="E144" t="s">
        <v>23</v>
      </c>
      <c r="F144" t="s">
        <v>44</v>
      </c>
      <c r="G144" t="s">
        <v>39</v>
      </c>
      <c r="H144" t="s">
        <v>57</v>
      </c>
      <c r="I144">
        <v>1</v>
      </c>
      <c r="J144">
        <v>29400</v>
      </c>
      <c r="K144">
        <v>5</v>
      </c>
      <c r="L144" t="s">
        <v>53</v>
      </c>
    </row>
    <row r="145" spans="1:12" x14ac:dyDescent="0.3">
      <c r="A145" t="s">
        <v>293</v>
      </c>
      <c r="B145" s="1">
        <v>45203</v>
      </c>
      <c r="C145" t="s">
        <v>90</v>
      </c>
      <c r="D145" t="s">
        <v>91</v>
      </c>
      <c r="E145" t="s">
        <v>37</v>
      </c>
      <c r="F145" t="s">
        <v>101</v>
      </c>
      <c r="G145" t="s">
        <v>17</v>
      </c>
      <c r="H145" t="s">
        <v>18</v>
      </c>
      <c r="I145">
        <v>1</v>
      </c>
      <c r="J145">
        <v>60000</v>
      </c>
      <c r="K145">
        <v>5</v>
      </c>
      <c r="L145" t="s">
        <v>53</v>
      </c>
    </row>
    <row r="146" spans="1:12" x14ac:dyDescent="0.3">
      <c r="A146" t="s">
        <v>294</v>
      </c>
      <c r="B146" s="1">
        <v>45203</v>
      </c>
      <c r="C146" t="s">
        <v>135</v>
      </c>
      <c r="D146" t="s">
        <v>136</v>
      </c>
      <c r="E146" t="s">
        <v>15</v>
      </c>
      <c r="F146" t="s">
        <v>131</v>
      </c>
      <c r="G146" t="s">
        <v>39</v>
      </c>
      <c r="H146" t="s">
        <v>40</v>
      </c>
      <c r="I146">
        <v>1</v>
      </c>
      <c r="J146">
        <v>10300</v>
      </c>
      <c r="K146">
        <v>15</v>
      </c>
      <c r="L146" t="s">
        <v>19</v>
      </c>
    </row>
    <row r="147" spans="1:12" x14ac:dyDescent="0.3">
      <c r="A147" t="s">
        <v>295</v>
      </c>
      <c r="B147" s="1">
        <v>45234</v>
      </c>
      <c r="C147" t="s">
        <v>105</v>
      </c>
      <c r="D147" t="s">
        <v>106</v>
      </c>
      <c r="E147" t="s">
        <v>81</v>
      </c>
      <c r="F147" t="s">
        <v>117</v>
      </c>
      <c r="G147" t="s">
        <v>97</v>
      </c>
      <c r="H147" t="s">
        <v>98</v>
      </c>
      <c r="I147">
        <v>1</v>
      </c>
      <c r="J147">
        <v>63100</v>
      </c>
      <c r="K147">
        <v>0</v>
      </c>
      <c r="L147" t="s">
        <v>19</v>
      </c>
    </row>
    <row r="148" spans="1:12" x14ac:dyDescent="0.3">
      <c r="A148" t="s">
        <v>296</v>
      </c>
      <c r="B148" s="1">
        <v>45234</v>
      </c>
      <c r="C148" t="s">
        <v>59</v>
      </c>
      <c r="D148" t="s">
        <v>60</v>
      </c>
      <c r="E148" t="s">
        <v>37</v>
      </c>
      <c r="F148" t="s">
        <v>61</v>
      </c>
      <c r="G148" t="s">
        <v>17</v>
      </c>
      <c r="H148" t="s">
        <v>77</v>
      </c>
      <c r="I148">
        <v>1</v>
      </c>
      <c r="J148">
        <v>32200</v>
      </c>
      <c r="K148">
        <v>0</v>
      </c>
      <c r="L148" t="s">
        <v>62</v>
      </c>
    </row>
    <row r="149" spans="1:12" x14ac:dyDescent="0.3">
      <c r="A149" t="s">
        <v>297</v>
      </c>
      <c r="B149" s="1">
        <v>44931</v>
      </c>
      <c r="C149" t="s">
        <v>42</v>
      </c>
      <c r="D149" t="s">
        <v>43</v>
      </c>
      <c r="E149" t="s">
        <v>66</v>
      </c>
      <c r="F149" t="s">
        <v>67</v>
      </c>
      <c r="G149" t="s">
        <v>97</v>
      </c>
      <c r="H149" t="s">
        <v>154</v>
      </c>
      <c r="I149">
        <v>1</v>
      </c>
      <c r="J149">
        <v>54100</v>
      </c>
      <c r="K149">
        <v>5</v>
      </c>
      <c r="L149" t="s">
        <v>47</v>
      </c>
    </row>
    <row r="150" spans="1:12" x14ac:dyDescent="0.3">
      <c r="A150" t="s">
        <v>298</v>
      </c>
      <c r="B150" s="1">
        <v>44962</v>
      </c>
      <c r="C150" t="s">
        <v>75</v>
      </c>
      <c r="D150" t="s">
        <v>76</v>
      </c>
      <c r="E150" t="s">
        <v>66</v>
      </c>
      <c r="F150" t="s">
        <v>67</v>
      </c>
      <c r="G150" t="s">
        <v>45</v>
      </c>
      <c r="H150" t="s">
        <v>156</v>
      </c>
      <c r="I150">
        <v>1</v>
      </c>
      <c r="J150">
        <v>32400</v>
      </c>
      <c r="K150">
        <v>0</v>
      </c>
      <c r="L150" t="s">
        <v>27</v>
      </c>
    </row>
    <row r="151" spans="1:12" x14ac:dyDescent="0.3">
      <c r="A151" t="s">
        <v>299</v>
      </c>
      <c r="B151" s="1">
        <v>44962</v>
      </c>
      <c r="C151" t="s">
        <v>183</v>
      </c>
      <c r="D151" t="s">
        <v>27</v>
      </c>
      <c r="E151" t="s">
        <v>66</v>
      </c>
      <c r="F151" t="s">
        <v>92</v>
      </c>
      <c r="G151" t="s">
        <v>17</v>
      </c>
      <c r="H151" t="s">
        <v>88</v>
      </c>
      <c r="I151">
        <v>1</v>
      </c>
      <c r="J151">
        <v>47600</v>
      </c>
      <c r="K151">
        <v>15</v>
      </c>
      <c r="L151" t="s">
        <v>27</v>
      </c>
    </row>
    <row r="152" spans="1:12" x14ac:dyDescent="0.3">
      <c r="A152" t="s">
        <v>300</v>
      </c>
      <c r="B152" s="1">
        <v>44990</v>
      </c>
      <c r="C152" t="s">
        <v>151</v>
      </c>
      <c r="D152" t="s">
        <v>152</v>
      </c>
      <c r="E152" t="s">
        <v>15</v>
      </c>
      <c r="F152" t="s">
        <v>128</v>
      </c>
      <c r="G152" t="s">
        <v>39</v>
      </c>
      <c r="H152" t="s">
        <v>57</v>
      </c>
      <c r="I152">
        <v>1</v>
      </c>
      <c r="J152">
        <v>23200</v>
      </c>
      <c r="K152">
        <v>0</v>
      </c>
      <c r="L152" t="s">
        <v>103</v>
      </c>
    </row>
    <row r="153" spans="1:12" x14ac:dyDescent="0.3">
      <c r="A153" t="s">
        <v>301</v>
      </c>
      <c r="B153" s="1">
        <v>44990</v>
      </c>
      <c r="C153" t="s">
        <v>244</v>
      </c>
      <c r="D153" t="s">
        <v>245</v>
      </c>
      <c r="E153" t="s">
        <v>23</v>
      </c>
      <c r="F153" t="s">
        <v>24</v>
      </c>
      <c r="G153" t="s">
        <v>39</v>
      </c>
      <c r="H153" t="s">
        <v>68</v>
      </c>
      <c r="I153">
        <v>1</v>
      </c>
      <c r="J153">
        <v>15900</v>
      </c>
      <c r="K153">
        <v>20</v>
      </c>
      <c r="L153" t="s">
        <v>19</v>
      </c>
    </row>
    <row r="154" spans="1:12" x14ac:dyDescent="0.3">
      <c r="A154" t="s">
        <v>302</v>
      </c>
      <c r="B154" s="1">
        <v>44990</v>
      </c>
      <c r="C154" t="s">
        <v>29</v>
      </c>
      <c r="D154" t="s">
        <v>30</v>
      </c>
      <c r="E154" t="s">
        <v>37</v>
      </c>
      <c r="F154" t="s">
        <v>141</v>
      </c>
      <c r="G154" t="s">
        <v>25</v>
      </c>
      <c r="H154" t="s">
        <v>26</v>
      </c>
      <c r="I154">
        <v>2</v>
      </c>
      <c r="J154">
        <v>1300</v>
      </c>
      <c r="K154">
        <v>10</v>
      </c>
      <c r="L154" t="s">
        <v>62</v>
      </c>
    </row>
    <row r="155" spans="1:12" x14ac:dyDescent="0.3">
      <c r="A155" t="s">
        <v>303</v>
      </c>
      <c r="B155" s="1">
        <v>45021</v>
      </c>
      <c r="C155" t="s">
        <v>105</v>
      </c>
      <c r="D155" t="s">
        <v>106</v>
      </c>
      <c r="E155" t="s">
        <v>37</v>
      </c>
      <c r="F155" t="s">
        <v>61</v>
      </c>
      <c r="G155" t="s">
        <v>17</v>
      </c>
      <c r="H155" t="s">
        <v>88</v>
      </c>
      <c r="I155">
        <v>1</v>
      </c>
      <c r="J155">
        <v>39900</v>
      </c>
      <c r="K155">
        <v>0</v>
      </c>
      <c r="L155" t="s">
        <v>103</v>
      </c>
    </row>
    <row r="156" spans="1:12" x14ac:dyDescent="0.3">
      <c r="A156" t="s">
        <v>304</v>
      </c>
      <c r="B156" s="1">
        <v>45021</v>
      </c>
      <c r="C156" t="s">
        <v>250</v>
      </c>
      <c r="D156" t="s">
        <v>251</v>
      </c>
      <c r="E156" t="s">
        <v>23</v>
      </c>
      <c r="F156" t="s">
        <v>31</v>
      </c>
      <c r="G156" t="s">
        <v>39</v>
      </c>
      <c r="H156" t="s">
        <v>57</v>
      </c>
      <c r="I156">
        <v>1</v>
      </c>
      <c r="J156">
        <v>25500</v>
      </c>
      <c r="K156">
        <v>10</v>
      </c>
      <c r="L156" t="s">
        <v>27</v>
      </c>
    </row>
    <row r="157" spans="1:12" x14ac:dyDescent="0.3">
      <c r="A157" t="s">
        <v>305</v>
      </c>
      <c r="B157" s="1">
        <v>45051</v>
      </c>
      <c r="C157" t="s">
        <v>115</v>
      </c>
      <c r="D157" t="s">
        <v>116</v>
      </c>
      <c r="E157" t="s">
        <v>66</v>
      </c>
      <c r="F157" t="s">
        <v>72</v>
      </c>
      <c r="G157" t="s">
        <v>17</v>
      </c>
      <c r="H157" t="s">
        <v>88</v>
      </c>
      <c r="I157">
        <v>1</v>
      </c>
      <c r="J157">
        <v>44400</v>
      </c>
      <c r="K157">
        <v>0</v>
      </c>
      <c r="L157" t="s">
        <v>53</v>
      </c>
    </row>
    <row r="158" spans="1:12" x14ac:dyDescent="0.3">
      <c r="A158" t="s">
        <v>306</v>
      </c>
      <c r="B158" s="1">
        <v>45051</v>
      </c>
      <c r="C158" t="s">
        <v>236</v>
      </c>
      <c r="D158" t="s">
        <v>237</v>
      </c>
      <c r="E158" t="s">
        <v>15</v>
      </c>
      <c r="F158" t="s">
        <v>131</v>
      </c>
      <c r="G158" t="s">
        <v>17</v>
      </c>
      <c r="H158" t="s">
        <v>88</v>
      </c>
      <c r="I158">
        <v>1</v>
      </c>
      <c r="J158">
        <v>48600</v>
      </c>
      <c r="K158">
        <v>25</v>
      </c>
      <c r="L158" t="s">
        <v>62</v>
      </c>
    </row>
    <row r="159" spans="1:12" x14ac:dyDescent="0.3">
      <c r="A159" t="s">
        <v>307</v>
      </c>
      <c r="B159" s="1">
        <v>45051</v>
      </c>
      <c r="C159" t="s">
        <v>203</v>
      </c>
      <c r="D159" t="s">
        <v>204</v>
      </c>
      <c r="E159" t="s">
        <v>81</v>
      </c>
      <c r="F159" t="s">
        <v>110</v>
      </c>
      <c r="G159" t="s">
        <v>25</v>
      </c>
      <c r="H159" t="s">
        <v>108</v>
      </c>
      <c r="I159">
        <v>1</v>
      </c>
      <c r="J159">
        <v>2800</v>
      </c>
      <c r="K159">
        <v>0</v>
      </c>
      <c r="L159" t="s">
        <v>19</v>
      </c>
    </row>
    <row r="160" spans="1:12" x14ac:dyDescent="0.3">
      <c r="A160" t="s">
        <v>308</v>
      </c>
      <c r="B160" s="1">
        <v>45051</v>
      </c>
      <c r="C160" t="s">
        <v>59</v>
      </c>
      <c r="D160" t="s">
        <v>60</v>
      </c>
      <c r="E160" t="s">
        <v>23</v>
      </c>
      <c r="F160" t="s">
        <v>51</v>
      </c>
      <c r="G160" t="s">
        <v>17</v>
      </c>
      <c r="H160" t="s">
        <v>88</v>
      </c>
      <c r="I160">
        <v>1</v>
      </c>
      <c r="J160">
        <v>27300</v>
      </c>
      <c r="K160">
        <v>0</v>
      </c>
      <c r="L160" t="s">
        <v>53</v>
      </c>
    </row>
    <row r="161" spans="1:12" x14ac:dyDescent="0.3">
      <c r="A161" t="s">
        <v>309</v>
      </c>
      <c r="B161" s="1">
        <v>45112</v>
      </c>
      <c r="C161" t="s">
        <v>188</v>
      </c>
      <c r="D161" t="s">
        <v>189</v>
      </c>
      <c r="E161" t="s">
        <v>66</v>
      </c>
      <c r="F161" t="s">
        <v>67</v>
      </c>
      <c r="G161" t="s">
        <v>39</v>
      </c>
      <c r="H161" t="s">
        <v>57</v>
      </c>
      <c r="I161">
        <v>1</v>
      </c>
      <c r="J161">
        <v>21900</v>
      </c>
      <c r="K161">
        <v>15</v>
      </c>
      <c r="L161" t="s">
        <v>53</v>
      </c>
    </row>
    <row r="162" spans="1:12" x14ac:dyDescent="0.3">
      <c r="A162" t="s">
        <v>310</v>
      </c>
      <c r="B162" s="1">
        <v>45112</v>
      </c>
      <c r="C162" t="s">
        <v>158</v>
      </c>
      <c r="D162" t="s">
        <v>159</v>
      </c>
      <c r="E162" t="s">
        <v>15</v>
      </c>
      <c r="F162" t="s">
        <v>16</v>
      </c>
      <c r="G162" t="s">
        <v>97</v>
      </c>
      <c r="H162" t="s">
        <v>133</v>
      </c>
      <c r="I162">
        <v>2</v>
      </c>
      <c r="J162">
        <v>63600</v>
      </c>
      <c r="K162">
        <v>20</v>
      </c>
      <c r="L162" t="s">
        <v>47</v>
      </c>
    </row>
    <row r="163" spans="1:12" x14ac:dyDescent="0.3">
      <c r="A163" t="s">
        <v>311</v>
      </c>
      <c r="B163" s="1">
        <v>45112</v>
      </c>
      <c r="C163" t="s">
        <v>130</v>
      </c>
      <c r="D163" t="s">
        <v>53</v>
      </c>
      <c r="E163" t="s">
        <v>81</v>
      </c>
      <c r="F163" t="s">
        <v>117</v>
      </c>
      <c r="G163" t="s">
        <v>97</v>
      </c>
      <c r="H163" t="s">
        <v>171</v>
      </c>
      <c r="I163">
        <v>1</v>
      </c>
      <c r="J163">
        <v>59700</v>
      </c>
      <c r="K163">
        <v>25</v>
      </c>
      <c r="L163" t="s">
        <v>19</v>
      </c>
    </row>
    <row r="164" spans="1:12" x14ac:dyDescent="0.3">
      <c r="A164" t="s">
        <v>312</v>
      </c>
      <c r="B164" s="1">
        <v>45112</v>
      </c>
      <c r="C164" t="s">
        <v>143</v>
      </c>
      <c r="D164" t="s">
        <v>144</v>
      </c>
      <c r="E164" t="s">
        <v>15</v>
      </c>
      <c r="F164" t="s">
        <v>128</v>
      </c>
      <c r="G164" t="s">
        <v>97</v>
      </c>
      <c r="H164" t="s">
        <v>171</v>
      </c>
      <c r="I164">
        <v>1</v>
      </c>
      <c r="J164">
        <v>48600</v>
      </c>
      <c r="K164">
        <v>0</v>
      </c>
      <c r="L164" t="s">
        <v>73</v>
      </c>
    </row>
    <row r="165" spans="1:12" x14ac:dyDescent="0.3">
      <c r="A165" t="s">
        <v>313</v>
      </c>
      <c r="B165" s="1">
        <v>45112</v>
      </c>
      <c r="C165" t="s">
        <v>64</v>
      </c>
      <c r="D165" t="s">
        <v>65</v>
      </c>
      <c r="E165" t="s">
        <v>37</v>
      </c>
      <c r="F165" t="s">
        <v>38</v>
      </c>
      <c r="G165" t="s">
        <v>39</v>
      </c>
      <c r="H165" t="s">
        <v>68</v>
      </c>
      <c r="I165">
        <v>1</v>
      </c>
      <c r="J165">
        <v>24800</v>
      </c>
      <c r="K165">
        <v>0</v>
      </c>
      <c r="L165" t="s">
        <v>19</v>
      </c>
    </row>
    <row r="166" spans="1:12" x14ac:dyDescent="0.3">
      <c r="A166" t="s">
        <v>314</v>
      </c>
      <c r="B166" s="1">
        <v>45143</v>
      </c>
      <c r="C166" t="s">
        <v>79</v>
      </c>
      <c r="D166" t="s">
        <v>80</v>
      </c>
      <c r="E166" t="s">
        <v>66</v>
      </c>
      <c r="F166" t="s">
        <v>72</v>
      </c>
      <c r="G166" t="s">
        <v>97</v>
      </c>
      <c r="H166" t="s">
        <v>174</v>
      </c>
      <c r="I166">
        <v>2</v>
      </c>
      <c r="J166">
        <v>68000</v>
      </c>
      <c r="K166">
        <v>0</v>
      </c>
      <c r="L166" t="s">
        <v>53</v>
      </c>
    </row>
    <row r="167" spans="1:12" x14ac:dyDescent="0.3">
      <c r="A167" t="s">
        <v>315</v>
      </c>
      <c r="B167" s="1">
        <v>45143</v>
      </c>
      <c r="C167" t="s">
        <v>126</v>
      </c>
      <c r="D167" t="s">
        <v>127</v>
      </c>
      <c r="E167" t="s">
        <v>23</v>
      </c>
      <c r="F167" t="s">
        <v>44</v>
      </c>
      <c r="G167" t="s">
        <v>17</v>
      </c>
      <c r="H167" t="s">
        <v>196</v>
      </c>
      <c r="I167">
        <v>1</v>
      </c>
      <c r="J167">
        <v>60000</v>
      </c>
      <c r="K167">
        <v>25</v>
      </c>
      <c r="L167" t="s">
        <v>53</v>
      </c>
    </row>
    <row r="168" spans="1:12" x14ac:dyDescent="0.3">
      <c r="A168" t="s">
        <v>316</v>
      </c>
      <c r="B168" s="1">
        <v>45143</v>
      </c>
      <c r="C168" t="s">
        <v>55</v>
      </c>
      <c r="D168" t="s">
        <v>56</v>
      </c>
      <c r="E168" t="s">
        <v>66</v>
      </c>
      <c r="F168" t="s">
        <v>92</v>
      </c>
      <c r="G168" t="s">
        <v>25</v>
      </c>
      <c r="H168" t="s">
        <v>124</v>
      </c>
      <c r="I168">
        <v>3</v>
      </c>
      <c r="J168">
        <v>1100</v>
      </c>
      <c r="K168">
        <v>5</v>
      </c>
      <c r="L168" t="s">
        <v>47</v>
      </c>
    </row>
    <row r="169" spans="1:12" x14ac:dyDescent="0.3">
      <c r="A169" t="s">
        <v>317</v>
      </c>
      <c r="B169" s="1">
        <v>45143</v>
      </c>
      <c r="C169" t="s">
        <v>180</v>
      </c>
      <c r="D169" t="s">
        <v>181</v>
      </c>
      <c r="E169" t="s">
        <v>23</v>
      </c>
      <c r="F169" t="s">
        <v>24</v>
      </c>
      <c r="G169" t="s">
        <v>17</v>
      </c>
      <c r="H169" t="s">
        <v>196</v>
      </c>
      <c r="I169">
        <v>1</v>
      </c>
      <c r="J169">
        <v>49500</v>
      </c>
      <c r="K169">
        <v>15</v>
      </c>
      <c r="L169" t="s">
        <v>73</v>
      </c>
    </row>
    <row r="170" spans="1:12" x14ac:dyDescent="0.3">
      <c r="A170" t="s">
        <v>318</v>
      </c>
      <c r="B170" s="1">
        <v>45143</v>
      </c>
      <c r="C170" t="s">
        <v>135</v>
      </c>
      <c r="D170" t="s">
        <v>136</v>
      </c>
      <c r="E170" t="s">
        <v>23</v>
      </c>
      <c r="F170" t="s">
        <v>51</v>
      </c>
      <c r="G170" t="s">
        <v>17</v>
      </c>
      <c r="H170" t="s">
        <v>168</v>
      </c>
      <c r="I170">
        <v>1</v>
      </c>
      <c r="J170">
        <v>46300</v>
      </c>
      <c r="K170">
        <v>0</v>
      </c>
      <c r="L170" t="s">
        <v>47</v>
      </c>
    </row>
    <row r="171" spans="1:12" x14ac:dyDescent="0.3">
      <c r="A171" t="s">
        <v>319</v>
      </c>
      <c r="B171" s="1">
        <v>45143</v>
      </c>
      <c r="C171" t="s">
        <v>158</v>
      </c>
      <c r="D171" t="s">
        <v>159</v>
      </c>
      <c r="E171" t="s">
        <v>81</v>
      </c>
      <c r="F171" t="s">
        <v>82</v>
      </c>
      <c r="G171" t="s">
        <v>39</v>
      </c>
      <c r="H171" t="s">
        <v>57</v>
      </c>
      <c r="I171">
        <v>1</v>
      </c>
      <c r="J171">
        <v>24300</v>
      </c>
      <c r="K171">
        <v>15</v>
      </c>
      <c r="L171" t="s">
        <v>19</v>
      </c>
    </row>
    <row r="172" spans="1:12" x14ac:dyDescent="0.3">
      <c r="A172" t="s">
        <v>320</v>
      </c>
      <c r="B172" s="1">
        <v>45174</v>
      </c>
      <c r="C172" t="s">
        <v>250</v>
      </c>
      <c r="D172" t="s">
        <v>251</v>
      </c>
      <c r="E172" t="s">
        <v>81</v>
      </c>
      <c r="F172" t="s">
        <v>82</v>
      </c>
      <c r="G172" t="s">
        <v>17</v>
      </c>
      <c r="H172" t="s">
        <v>77</v>
      </c>
      <c r="I172">
        <v>1</v>
      </c>
      <c r="J172">
        <v>23700</v>
      </c>
      <c r="K172">
        <v>5</v>
      </c>
      <c r="L172" t="s">
        <v>47</v>
      </c>
    </row>
    <row r="173" spans="1:12" x14ac:dyDescent="0.3">
      <c r="A173" t="s">
        <v>321</v>
      </c>
      <c r="B173" s="1">
        <v>45174</v>
      </c>
      <c r="C173" t="s">
        <v>90</v>
      </c>
      <c r="D173" t="s">
        <v>91</v>
      </c>
      <c r="E173" t="s">
        <v>81</v>
      </c>
      <c r="F173" t="s">
        <v>160</v>
      </c>
      <c r="G173" t="s">
        <v>97</v>
      </c>
      <c r="H173" t="s">
        <v>171</v>
      </c>
      <c r="I173">
        <v>1</v>
      </c>
      <c r="J173">
        <v>62900</v>
      </c>
      <c r="K173">
        <v>5</v>
      </c>
      <c r="L173" t="s">
        <v>53</v>
      </c>
    </row>
    <row r="174" spans="1:12" x14ac:dyDescent="0.3">
      <c r="A174" t="s">
        <v>322</v>
      </c>
      <c r="B174" s="1">
        <v>45174</v>
      </c>
      <c r="C174" t="s">
        <v>236</v>
      </c>
      <c r="D174" t="s">
        <v>237</v>
      </c>
      <c r="E174" t="s">
        <v>66</v>
      </c>
      <c r="F174" t="s">
        <v>87</v>
      </c>
      <c r="G174" t="s">
        <v>25</v>
      </c>
      <c r="H174" t="s">
        <v>108</v>
      </c>
      <c r="I174">
        <v>2</v>
      </c>
      <c r="J174">
        <v>1900</v>
      </c>
      <c r="K174">
        <v>0</v>
      </c>
      <c r="L174" t="s">
        <v>33</v>
      </c>
    </row>
    <row r="175" spans="1:12" x14ac:dyDescent="0.3">
      <c r="A175" t="s">
        <v>323</v>
      </c>
      <c r="B175" s="1">
        <v>45204</v>
      </c>
      <c r="C175" t="s">
        <v>29</v>
      </c>
      <c r="D175" t="s">
        <v>30</v>
      </c>
      <c r="E175" t="s">
        <v>37</v>
      </c>
      <c r="F175" t="s">
        <v>38</v>
      </c>
      <c r="G175" t="s">
        <v>17</v>
      </c>
      <c r="H175" t="s">
        <v>18</v>
      </c>
      <c r="I175">
        <v>1</v>
      </c>
      <c r="J175">
        <v>34700</v>
      </c>
      <c r="K175">
        <v>20</v>
      </c>
      <c r="L175" t="s">
        <v>62</v>
      </c>
    </row>
    <row r="176" spans="1:12" x14ac:dyDescent="0.3">
      <c r="A176" t="s">
        <v>324</v>
      </c>
      <c r="B176" s="1">
        <v>45204</v>
      </c>
      <c r="C176" t="s">
        <v>64</v>
      </c>
      <c r="D176" t="s">
        <v>65</v>
      </c>
      <c r="E176" t="s">
        <v>81</v>
      </c>
      <c r="F176" t="s">
        <v>117</v>
      </c>
      <c r="G176" t="s">
        <v>25</v>
      </c>
      <c r="H176" t="s">
        <v>26</v>
      </c>
      <c r="I176">
        <v>2</v>
      </c>
      <c r="J176">
        <v>2000</v>
      </c>
      <c r="K176">
        <v>0</v>
      </c>
      <c r="L176" t="s">
        <v>33</v>
      </c>
    </row>
    <row r="177" spans="1:12" x14ac:dyDescent="0.3">
      <c r="A177" t="s">
        <v>325</v>
      </c>
      <c r="B177" s="1">
        <v>45235</v>
      </c>
      <c r="C177" t="s">
        <v>203</v>
      </c>
      <c r="D177" t="s">
        <v>204</v>
      </c>
      <c r="E177" t="s">
        <v>23</v>
      </c>
      <c r="F177" t="s">
        <v>51</v>
      </c>
      <c r="G177" t="s">
        <v>25</v>
      </c>
      <c r="H177" t="s">
        <v>124</v>
      </c>
      <c r="I177">
        <v>2</v>
      </c>
      <c r="J177">
        <v>500</v>
      </c>
      <c r="K177">
        <v>0</v>
      </c>
      <c r="L177" t="s">
        <v>73</v>
      </c>
    </row>
    <row r="178" spans="1:12" x14ac:dyDescent="0.3">
      <c r="A178" t="s">
        <v>326</v>
      </c>
      <c r="B178" s="1">
        <v>45235</v>
      </c>
      <c r="C178" t="s">
        <v>70</v>
      </c>
      <c r="D178" t="s">
        <v>71</v>
      </c>
      <c r="E178" t="s">
        <v>37</v>
      </c>
      <c r="F178" t="s">
        <v>141</v>
      </c>
      <c r="G178" t="s">
        <v>45</v>
      </c>
      <c r="H178" t="s">
        <v>46</v>
      </c>
      <c r="I178">
        <v>1</v>
      </c>
      <c r="J178">
        <v>46300</v>
      </c>
      <c r="K178">
        <v>10</v>
      </c>
      <c r="L178" t="s">
        <v>47</v>
      </c>
    </row>
    <row r="179" spans="1:12" x14ac:dyDescent="0.3">
      <c r="A179" t="s">
        <v>327</v>
      </c>
      <c r="B179" s="1">
        <v>45235</v>
      </c>
      <c r="C179" t="s">
        <v>49</v>
      </c>
      <c r="D179" t="s">
        <v>50</v>
      </c>
      <c r="E179" t="s">
        <v>15</v>
      </c>
      <c r="F179" t="s">
        <v>16</v>
      </c>
      <c r="G179" t="s">
        <v>39</v>
      </c>
      <c r="H179" t="s">
        <v>40</v>
      </c>
      <c r="I179">
        <v>1</v>
      </c>
      <c r="J179">
        <v>25000</v>
      </c>
      <c r="K179">
        <v>20</v>
      </c>
      <c r="L179" t="s">
        <v>33</v>
      </c>
    </row>
    <row r="180" spans="1:12" x14ac:dyDescent="0.3">
      <c r="A180" t="s">
        <v>328</v>
      </c>
      <c r="B180" s="1">
        <v>45235</v>
      </c>
      <c r="C180" t="s">
        <v>95</v>
      </c>
      <c r="D180" t="s">
        <v>96</v>
      </c>
      <c r="E180" t="s">
        <v>37</v>
      </c>
      <c r="F180" t="s">
        <v>101</v>
      </c>
      <c r="G180" t="s">
        <v>39</v>
      </c>
      <c r="H180" t="s">
        <v>68</v>
      </c>
      <c r="I180">
        <v>1</v>
      </c>
      <c r="J180">
        <v>26500</v>
      </c>
      <c r="K180">
        <v>0</v>
      </c>
      <c r="L180" t="s">
        <v>33</v>
      </c>
    </row>
    <row r="181" spans="1:12" x14ac:dyDescent="0.3">
      <c r="A181" t="s">
        <v>329</v>
      </c>
      <c r="B181" s="1">
        <v>45265</v>
      </c>
      <c r="C181" t="s">
        <v>203</v>
      </c>
      <c r="D181" t="s">
        <v>204</v>
      </c>
      <c r="E181" t="s">
        <v>81</v>
      </c>
      <c r="F181" t="s">
        <v>82</v>
      </c>
      <c r="G181" t="s">
        <v>17</v>
      </c>
      <c r="H181" t="s">
        <v>77</v>
      </c>
      <c r="I181">
        <v>1</v>
      </c>
      <c r="J181">
        <v>33800</v>
      </c>
      <c r="K181">
        <v>25</v>
      </c>
      <c r="L181" t="s">
        <v>73</v>
      </c>
    </row>
    <row r="182" spans="1:12" x14ac:dyDescent="0.3">
      <c r="A182" t="s">
        <v>330</v>
      </c>
      <c r="B182" s="1">
        <v>45265</v>
      </c>
      <c r="C182" t="s">
        <v>180</v>
      </c>
      <c r="D182" t="s">
        <v>181</v>
      </c>
      <c r="E182" t="s">
        <v>37</v>
      </c>
      <c r="F182" t="s">
        <v>61</v>
      </c>
      <c r="G182" t="s">
        <v>25</v>
      </c>
      <c r="H182" t="s">
        <v>26</v>
      </c>
      <c r="I182">
        <v>3</v>
      </c>
      <c r="J182">
        <v>2400</v>
      </c>
      <c r="K182">
        <v>10</v>
      </c>
      <c r="L182" t="s">
        <v>19</v>
      </c>
    </row>
    <row r="183" spans="1:12" x14ac:dyDescent="0.3">
      <c r="A183" t="s">
        <v>331</v>
      </c>
      <c r="B183" s="1">
        <v>44932</v>
      </c>
      <c r="C183" t="s">
        <v>244</v>
      </c>
      <c r="D183" t="s">
        <v>245</v>
      </c>
      <c r="E183" t="s">
        <v>23</v>
      </c>
      <c r="F183" t="s">
        <v>31</v>
      </c>
      <c r="G183" t="s">
        <v>17</v>
      </c>
      <c r="H183" t="s">
        <v>18</v>
      </c>
      <c r="I183">
        <v>1</v>
      </c>
      <c r="J183">
        <v>43000</v>
      </c>
      <c r="K183">
        <v>20</v>
      </c>
      <c r="L183" t="s">
        <v>33</v>
      </c>
    </row>
    <row r="184" spans="1:12" x14ac:dyDescent="0.3">
      <c r="A184" t="s">
        <v>332</v>
      </c>
      <c r="B184" s="1">
        <v>44963</v>
      </c>
      <c r="C184" t="s">
        <v>112</v>
      </c>
      <c r="D184" t="s">
        <v>113</v>
      </c>
      <c r="E184" t="s">
        <v>15</v>
      </c>
      <c r="F184" t="s">
        <v>16</v>
      </c>
      <c r="G184" t="s">
        <v>25</v>
      </c>
      <c r="H184" t="s">
        <v>26</v>
      </c>
      <c r="I184">
        <v>2</v>
      </c>
      <c r="J184">
        <v>1700</v>
      </c>
      <c r="K184">
        <v>15</v>
      </c>
      <c r="L184" t="s">
        <v>103</v>
      </c>
    </row>
    <row r="185" spans="1:12" x14ac:dyDescent="0.3">
      <c r="A185" t="s">
        <v>333</v>
      </c>
      <c r="B185" s="1">
        <v>44963</v>
      </c>
      <c r="C185" t="s">
        <v>250</v>
      </c>
      <c r="D185" t="s">
        <v>251</v>
      </c>
      <c r="E185" t="s">
        <v>23</v>
      </c>
      <c r="F185" t="s">
        <v>51</v>
      </c>
      <c r="G185" t="s">
        <v>97</v>
      </c>
      <c r="H185" t="s">
        <v>174</v>
      </c>
      <c r="I185">
        <v>1</v>
      </c>
      <c r="J185">
        <v>37700</v>
      </c>
      <c r="K185">
        <v>10</v>
      </c>
      <c r="L185" t="s">
        <v>33</v>
      </c>
    </row>
    <row r="186" spans="1:12" x14ac:dyDescent="0.3">
      <c r="A186" t="s">
        <v>334</v>
      </c>
      <c r="B186" s="1">
        <v>44963</v>
      </c>
      <c r="C186" t="s">
        <v>70</v>
      </c>
      <c r="D186" t="s">
        <v>71</v>
      </c>
      <c r="E186" t="s">
        <v>23</v>
      </c>
      <c r="F186" t="s">
        <v>51</v>
      </c>
      <c r="G186" t="s">
        <v>45</v>
      </c>
      <c r="H186" t="s">
        <v>46</v>
      </c>
      <c r="I186">
        <v>1</v>
      </c>
      <c r="J186">
        <v>25900</v>
      </c>
      <c r="K186">
        <v>10</v>
      </c>
      <c r="L186" t="s">
        <v>47</v>
      </c>
    </row>
    <row r="187" spans="1:12" x14ac:dyDescent="0.3">
      <c r="A187" t="s">
        <v>335</v>
      </c>
      <c r="B187" s="1">
        <v>44963</v>
      </c>
      <c r="C187" t="s">
        <v>183</v>
      </c>
      <c r="D187" t="s">
        <v>27</v>
      </c>
      <c r="E187" t="s">
        <v>81</v>
      </c>
      <c r="F187" t="s">
        <v>82</v>
      </c>
      <c r="G187" t="s">
        <v>17</v>
      </c>
      <c r="H187" t="s">
        <v>18</v>
      </c>
      <c r="I187">
        <v>1</v>
      </c>
      <c r="J187">
        <v>34100</v>
      </c>
      <c r="K187">
        <v>0</v>
      </c>
      <c r="L187" t="s">
        <v>33</v>
      </c>
    </row>
    <row r="188" spans="1:12" x14ac:dyDescent="0.3">
      <c r="A188" t="s">
        <v>336</v>
      </c>
      <c r="B188" s="1">
        <v>44991</v>
      </c>
      <c r="C188" t="s">
        <v>151</v>
      </c>
      <c r="D188" t="s">
        <v>152</v>
      </c>
      <c r="E188" t="s">
        <v>81</v>
      </c>
      <c r="F188" t="s">
        <v>82</v>
      </c>
      <c r="G188" t="s">
        <v>25</v>
      </c>
      <c r="H188" t="s">
        <v>212</v>
      </c>
      <c r="I188">
        <v>3</v>
      </c>
      <c r="J188">
        <v>1800</v>
      </c>
      <c r="K188">
        <v>20</v>
      </c>
      <c r="L188" t="s">
        <v>62</v>
      </c>
    </row>
    <row r="189" spans="1:12" x14ac:dyDescent="0.3">
      <c r="A189" t="s">
        <v>337</v>
      </c>
      <c r="B189" s="1">
        <v>44991</v>
      </c>
      <c r="C189" t="s">
        <v>147</v>
      </c>
      <c r="D189" t="s">
        <v>148</v>
      </c>
      <c r="E189" t="s">
        <v>81</v>
      </c>
      <c r="F189" t="s">
        <v>160</v>
      </c>
      <c r="G189" t="s">
        <v>25</v>
      </c>
      <c r="H189" t="s">
        <v>108</v>
      </c>
      <c r="I189">
        <v>2</v>
      </c>
      <c r="J189">
        <v>1600</v>
      </c>
      <c r="K189">
        <v>20</v>
      </c>
      <c r="L189" t="s">
        <v>73</v>
      </c>
    </row>
    <row r="190" spans="1:12" x14ac:dyDescent="0.3">
      <c r="A190" t="s">
        <v>338</v>
      </c>
      <c r="B190" s="1">
        <v>44991</v>
      </c>
      <c r="C190" t="s">
        <v>29</v>
      </c>
      <c r="D190" t="s">
        <v>30</v>
      </c>
      <c r="E190" t="s">
        <v>66</v>
      </c>
      <c r="F190" t="s">
        <v>87</v>
      </c>
      <c r="G190" t="s">
        <v>45</v>
      </c>
      <c r="H190" t="s">
        <v>52</v>
      </c>
      <c r="I190">
        <v>1</v>
      </c>
      <c r="J190">
        <v>39200</v>
      </c>
      <c r="K190">
        <v>15</v>
      </c>
      <c r="L190" t="s">
        <v>103</v>
      </c>
    </row>
    <row r="191" spans="1:12" x14ac:dyDescent="0.3">
      <c r="A191" t="s">
        <v>339</v>
      </c>
      <c r="B191" s="1">
        <v>45022</v>
      </c>
      <c r="C191" t="s">
        <v>84</v>
      </c>
      <c r="D191" t="s">
        <v>85</v>
      </c>
      <c r="E191" t="s">
        <v>81</v>
      </c>
      <c r="F191" t="s">
        <v>82</v>
      </c>
      <c r="G191" t="s">
        <v>97</v>
      </c>
      <c r="H191" t="s">
        <v>98</v>
      </c>
      <c r="I191">
        <v>1</v>
      </c>
      <c r="J191">
        <v>53200</v>
      </c>
      <c r="K191">
        <v>25</v>
      </c>
      <c r="L191" t="s">
        <v>19</v>
      </c>
    </row>
    <row r="192" spans="1:12" x14ac:dyDescent="0.3">
      <c r="A192" t="s">
        <v>340</v>
      </c>
      <c r="B192" s="1">
        <v>45052</v>
      </c>
      <c r="C192" t="s">
        <v>13</v>
      </c>
      <c r="D192" t="s">
        <v>14</v>
      </c>
      <c r="E192" t="s">
        <v>15</v>
      </c>
      <c r="F192" t="s">
        <v>119</v>
      </c>
      <c r="G192" t="s">
        <v>39</v>
      </c>
      <c r="H192" t="s">
        <v>57</v>
      </c>
      <c r="I192">
        <v>2</v>
      </c>
      <c r="J192">
        <v>29000</v>
      </c>
      <c r="K192">
        <v>0</v>
      </c>
      <c r="L192" t="s">
        <v>19</v>
      </c>
    </row>
    <row r="193" spans="1:12" x14ac:dyDescent="0.3">
      <c r="A193" t="s">
        <v>341</v>
      </c>
      <c r="B193" s="1">
        <v>45052</v>
      </c>
      <c r="C193" t="s">
        <v>64</v>
      </c>
      <c r="D193" t="s">
        <v>65</v>
      </c>
      <c r="E193" t="s">
        <v>66</v>
      </c>
      <c r="F193" t="s">
        <v>67</v>
      </c>
      <c r="G193" t="s">
        <v>39</v>
      </c>
      <c r="H193" t="s">
        <v>40</v>
      </c>
      <c r="I193">
        <v>1</v>
      </c>
      <c r="J193">
        <v>20700</v>
      </c>
      <c r="K193">
        <v>25</v>
      </c>
      <c r="L193" t="s">
        <v>53</v>
      </c>
    </row>
    <row r="194" spans="1:12" x14ac:dyDescent="0.3">
      <c r="A194" t="s">
        <v>342</v>
      </c>
      <c r="B194" s="1">
        <v>45052</v>
      </c>
      <c r="C194" t="s">
        <v>35</v>
      </c>
      <c r="D194" t="s">
        <v>36</v>
      </c>
      <c r="E194" t="s">
        <v>15</v>
      </c>
      <c r="F194" t="s">
        <v>119</v>
      </c>
      <c r="G194" t="s">
        <v>97</v>
      </c>
      <c r="H194" t="s">
        <v>154</v>
      </c>
      <c r="I194">
        <v>1</v>
      </c>
      <c r="J194">
        <v>66700</v>
      </c>
      <c r="K194">
        <v>10</v>
      </c>
      <c r="L194" t="s">
        <v>103</v>
      </c>
    </row>
    <row r="195" spans="1:12" x14ac:dyDescent="0.3">
      <c r="A195" t="s">
        <v>343</v>
      </c>
      <c r="B195" s="1">
        <v>45052</v>
      </c>
      <c r="C195" t="s">
        <v>105</v>
      </c>
      <c r="D195" t="s">
        <v>106</v>
      </c>
      <c r="E195" t="s">
        <v>23</v>
      </c>
      <c r="F195" t="s">
        <v>31</v>
      </c>
      <c r="G195" t="s">
        <v>25</v>
      </c>
      <c r="H195" t="s">
        <v>32</v>
      </c>
      <c r="I195">
        <v>2</v>
      </c>
      <c r="J195">
        <v>2900</v>
      </c>
      <c r="K195">
        <v>15</v>
      </c>
      <c r="L195" t="s">
        <v>27</v>
      </c>
    </row>
    <row r="196" spans="1:12" x14ac:dyDescent="0.3">
      <c r="A196" t="s">
        <v>344</v>
      </c>
      <c r="B196" s="1">
        <v>45083</v>
      </c>
      <c r="C196" t="s">
        <v>112</v>
      </c>
      <c r="D196" t="s">
        <v>113</v>
      </c>
      <c r="E196" t="s">
        <v>37</v>
      </c>
      <c r="F196" t="s">
        <v>61</v>
      </c>
      <c r="G196" t="s">
        <v>17</v>
      </c>
      <c r="H196" t="s">
        <v>77</v>
      </c>
      <c r="I196">
        <v>1</v>
      </c>
      <c r="J196">
        <v>59000</v>
      </c>
      <c r="K196">
        <v>20</v>
      </c>
      <c r="L196" t="s">
        <v>62</v>
      </c>
    </row>
    <row r="197" spans="1:12" x14ac:dyDescent="0.3">
      <c r="A197" t="s">
        <v>345</v>
      </c>
      <c r="B197" s="1">
        <v>45144</v>
      </c>
      <c r="C197" t="s">
        <v>147</v>
      </c>
      <c r="D197" t="s">
        <v>148</v>
      </c>
      <c r="E197" t="s">
        <v>37</v>
      </c>
      <c r="F197" t="s">
        <v>61</v>
      </c>
      <c r="G197" t="s">
        <v>25</v>
      </c>
      <c r="H197" t="s">
        <v>32</v>
      </c>
      <c r="I197">
        <v>2</v>
      </c>
      <c r="J197">
        <v>1700</v>
      </c>
      <c r="K197">
        <v>0</v>
      </c>
      <c r="L197" t="s">
        <v>27</v>
      </c>
    </row>
    <row r="198" spans="1:12" x14ac:dyDescent="0.3">
      <c r="A198" t="s">
        <v>346</v>
      </c>
      <c r="B198" s="1">
        <v>45144</v>
      </c>
      <c r="C198" t="s">
        <v>232</v>
      </c>
      <c r="D198" t="s">
        <v>233</v>
      </c>
      <c r="E198" t="s">
        <v>37</v>
      </c>
      <c r="F198" t="s">
        <v>141</v>
      </c>
      <c r="G198" t="s">
        <v>45</v>
      </c>
      <c r="H198" t="s">
        <v>52</v>
      </c>
      <c r="I198">
        <v>1</v>
      </c>
      <c r="J198">
        <v>47300</v>
      </c>
      <c r="K198">
        <v>10</v>
      </c>
      <c r="L198" t="s">
        <v>73</v>
      </c>
    </row>
    <row r="199" spans="1:12" x14ac:dyDescent="0.3">
      <c r="A199" t="s">
        <v>347</v>
      </c>
      <c r="B199" s="1">
        <v>45144</v>
      </c>
      <c r="C199" t="s">
        <v>250</v>
      </c>
      <c r="D199" t="s">
        <v>251</v>
      </c>
      <c r="E199" t="s">
        <v>23</v>
      </c>
      <c r="F199" t="s">
        <v>51</v>
      </c>
      <c r="G199" t="s">
        <v>17</v>
      </c>
      <c r="H199" t="s">
        <v>168</v>
      </c>
      <c r="I199">
        <v>1</v>
      </c>
      <c r="J199">
        <v>26900</v>
      </c>
      <c r="K199">
        <v>0</v>
      </c>
      <c r="L199" t="s">
        <v>103</v>
      </c>
    </row>
    <row r="200" spans="1:12" x14ac:dyDescent="0.3">
      <c r="A200" t="s">
        <v>348</v>
      </c>
      <c r="B200" s="1">
        <v>45144</v>
      </c>
      <c r="C200" t="s">
        <v>163</v>
      </c>
      <c r="D200" t="s">
        <v>73</v>
      </c>
      <c r="E200" t="s">
        <v>37</v>
      </c>
      <c r="F200" t="s">
        <v>38</v>
      </c>
      <c r="G200" t="s">
        <v>25</v>
      </c>
      <c r="H200" t="s">
        <v>26</v>
      </c>
      <c r="I200">
        <v>3</v>
      </c>
      <c r="J200">
        <v>1700</v>
      </c>
      <c r="K200">
        <v>10</v>
      </c>
      <c r="L200" t="s">
        <v>73</v>
      </c>
    </row>
    <row r="201" spans="1:12" x14ac:dyDescent="0.3">
      <c r="A201" t="s">
        <v>349</v>
      </c>
      <c r="B201" s="1">
        <v>45175</v>
      </c>
      <c r="C201" t="s">
        <v>147</v>
      </c>
      <c r="D201" t="s">
        <v>148</v>
      </c>
      <c r="E201" t="s">
        <v>37</v>
      </c>
      <c r="F201" t="s">
        <v>38</v>
      </c>
      <c r="G201" t="s">
        <v>17</v>
      </c>
      <c r="H201" t="s">
        <v>196</v>
      </c>
      <c r="I201">
        <v>1</v>
      </c>
      <c r="J201">
        <v>39200</v>
      </c>
      <c r="K201">
        <v>0</v>
      </c>
      <c r="L201" t="s">
        <v>19</v>
      </c>
    </row>
    <row r="202" spans="1:12" x14ac:dyDescent="0.3">
      <c r="A202" t="s">
        <v>350</v>
      </c>
      <c r="B202" s="1">
        <v>45175</v>
      </c>
      <c r="C202" t="s">
        <v>185</v>
      </c>
      <c r="D202" t="s">
        <v>186</v>
      </c>
      <c r="E202" t="s">
        <v>23</v>
      </c>
      <c r="F202" t="s">
        <v>51</v>
      </c>
      <c r="G202" t="s">
        <v>17</v>
      </c>
      <c r="H202" t="s">
        <v>77</v>
      </c>
      <c r="I202">
        <v>1</v>
      </c>
      <c r="J202">
        <v>39400</v>
      </c>
      <c r="K202">
        <v>20</v>
      </c>
      <c r="L202" t="s">
        <v>47</v>
      </c>
    </row>
    <row r="203" spans="1:12" x14ac:dyDescent="0.3">
      <c r="A203" t="s">
        <v>351</v>
      </c>
      <c r="B203" s="1">
        <v>45205</v>
      </c>
      <c r="C203" t="s">
        <v>143</v>
      </c>
      <c r="D203" t="s">
        <v>144</v>
      </c>
      <c r="E203" t="s">
        <v>23</v>
      </c>
      <c r="F203" t="s">
        <v>31</v>
      </c>
      <c r="G203" t="s">
        <v>39</v>
      </c>
      <c r="H203" t="s">
        <v>102</v>
      </c>
      <c r="I203">
        <v>1</v>
      </c>
      <c r="J203">
        <v>30400</v>
      </c>
      <c r="K203">
        <v>0</v>
      </c>
      <c r="L203" t="s">
        <v>53</v>
      </c>
    </row>
    <row r="204" spans="1:12" x14ac:dyDescent="0.3">
      <c r="A204" t="s">
        <v>352</v>
      </c>
      <c r="B204" s="1">
        <v>45205</v>
      </c>
      <c r="C204" t="s">
        <v>115</v>
      </c>
      <c r="D204" t="s">
        <v>116</v>
      </c>
      <c r="E204" t="s">
        <v>81</v>
      </c>
      <c r="F204" t="s">
        <v>82</v>
      </c>
      <c r="G204" t="s">
        <v>25</v>
      </c>
      <c r="H204" t="s">
        <v>108</v>
      </c>
      <c r="I204">
        <v>1</v>
      </c>
      <c r="J204">
        <v>2200</v>
      </c>
      <c r="K204">
        <v>5</v>
      </c>
      <c r="L204" t="s">
        <v>19</v>
      </c>
    </row>
    <row r="205" spans="1:12" x14ac:dyDescent="0.3">
      <c r="A205" t="s">
        <v>353</v>
      </c>
      <c r="B205" s="1">
        <v>45205</v>
      </c>
      <c r="C205" t="s">
        <v>75</v>
      </c>
      <c r="D205" t="s">
        <v>76</v>
      </c>
      <c r="E205" t="s">
        <v>81</v>
      </c>
      <c r="F205" t="s">
        <v>82</v>
      </c>
      <c r="G205" t="s">
        <v>39</v>
      </c>
      <c r="H205" t="s">
        <v>40</v>
      </c>
      <c r="I205">
        <v>1</v>
      </c>
      <c r="J205">
        <v>24700</v>
      </c>
      <c r="K205">
        <v>0</v>
      </c>
      <c r="L205" t="s">
        <v>47</v>
      </c>
    </row>
    <row r="206" spans="1:12" x14ac:dyDescent="0.3">
      <c r="A206" t="s">
        <v>354</v>
      </c>
      <c r="B206" s="1">
        <v>45236</v>
      </c>
      <c r="C206" t="s">
        <v>59</v>
      </c>
      <c r="D206" t="s">
        <v>60</v>
      </c>
      <c r="E206" t="s">
        <v>37</v>
      </c>
      <c r="F206" t="s">
        <v>38</v>
      </c>
      <c r="G206" t="s">
        <v>39</v>
      </c>
      <c r="H206" t="s">
        <v>57</v>
      </c>
      <c r="I206">
        <v>1</v>
      </c>
      <c r="J206">
        <v>19800</v>
      </c>
      <c r="K206">
        <v>0</v>
      </c>
      <c r="L206" t="s">
        <v>73</v>
      </c>
    </row>
    <row r="207" spans="1:12" x14ac:dyDescent="0.3">
      <c r="A207" t="s">
        <v>355</v>
      </c>
      <c r="B207" s="1">
        <v>45266</v>
      </c>
      <c r="C207" t="s">
        <v>151</v>
      </c>
      <c r="D207" t="s">
        <v>152</v>
      </c>
      <c r="E207" t="s">
        <v>15</v>
      </c>
      <c r="F207" t="s">
        <v>16</v>
      </c>
      <c r="G207" t="s">
        <v>25</v>
      </c>
      <c r="H207" t="s">
        <v>108</v>
      </c>
      <c r="I207">
        <v>2</v>
      </c>
      <c r="J207">
        <v>2700</v>
      </c>
      <c r="K207">
        <v>20</v>
      </c>
      <c r="L207" t="s">
        <v>27</v>
      </c>
    </row>
    <row r="208" spans="1:12" x14ac:dyDescent="0.3">
      <c r="A208" t="s">
        <v>356</v>
      </c>
      <c r="B208" s="1">
        <v>45266</v>
      </c>
      <c r="C208" t="s">
        <v>188</v>
      </c>
      <c r="D208" t="s">
        <v>189</v>
      </c>
      <c r="E208" t="s">
        <v>23</v>
      </c>
      <c r="F208" t="s">
        <v>51</v>
      </c>
      <c r="G208" t="s">
        <v>45</v>
      </c>
      <c r="H208" t="s">
        <v>156</v>
      </c>
      <c r="I208">
        <v>1</v>
      </c>
      <c r="J208">
        <v>35000</v>
      </c>
      <c r="K208">
        <v>5</v>
      </c>
      <c r="L208" t="s">
        <v>19</v>
      </c>
    </row>
    <row r="209" spans="1:12" x14ac:dyDescent="0.3">
      <c r="A209" t="s">
        <v>357</v>
      </c>
      <c r="B209" s="1">
        <v>45266</v>
      </c>
      <c r="C209" t="s">
        <v>126</v>
      </c>
      <c r="D209" t="s">
        <v>127</v>
      </c>
      <c r="E209" t="s">
        <v>66</v>
      </c>
      <c r="F209" t="s">
        <v>67</v>
      </c>
      <c r="G209" t="s">
        <v>25</v>
      </c>
      <c r="H209" t="s">
        <v>26</v>
      </c>
      <c r="I209">
        <v>2</v>
      </c>
      <c r="J209">
        <v>1800</v>
      </c>
      <c r="K209">
        <v>10</v>
      </c>
      <c r="L209" t="s">
        <v>53</v>
      </c>
    </row>
    <row r="210" spans="1:12" x14ac:dyDescent="0.3">
      <c r="A210" t="s">
        <v>358</v>
      </c>
      <c r="B210" s="1">
        <v>44933</v>
      </c>
      <c r="C210" t="s">
        <v>188</v>
      </c>
      <c r="D210" t="s">
        <v>189</v>
      </c>
      <c r="E210" t="s">
        <v>23</v>
      </c>
      <c r="F210" t="s">
        <v>51</v>
      </c>
      <c r="G210" t="s">
        <v>17</v>
      </c>
      <c r="H210" t="s">
        <v>196</v>
      </c>
      <c r="I210">
        <v>1</v>
      </c>
      <c r="J210">
        <v>27200</v>
      </c>
      <c r="K210">
        <v>10</v>
      </c>
      <c r="L210" t="s">
        <v>19</v>
      </c>
    </row>
    <row r="211" spans="1:12" x14ac:dyDescent="0.3">
      <c r="A211" t="s">
        <v>359</v>
      </c>
      <c r="B211" s="1">
        <v>44933</v>
      </c>
      <c r="C211" t="s">
        <v>188</v>
      </c>
      <c r="D211" t="s">
        <v>189</v>
      </c>
      <c r="E211" t="s">
        <v>81</v>
      </c>
      <c r="F211" t="s">
        <v>117</v>
      </c>
      <c r="G211" t="s">
        <v>39</v>
      </c>
      <c r="H211" t="s">
        <v>68</v>
      </c>
      <c r="I211">
        <v>1</v>
      </c>
      <c r="J211">
        <v>29800</v>
      </c>
      <c r="K211">
        <v>5</v>
      </c>
      <c r="L211" t="s">
        <v>33</v>
      </c>
    </row>
    <row r="212" spans="1:12" x14ac:dyDescent="0.3">
      <c r="A212" t="s">
        <v>360</v>
      </c>
      <c r="B212" s="1">
        <v>44933</v>
      </c>
      <c r="C212" t="s">
        <v>42</v>
      </c>
      <c r="D212" t="s">
        <v>43</v>
      </c>
      <c r="E212" t="s">
        <v>23</v>
      </c>
      <c r="F212" t="s">
        <v>31</v>
      </c>
      <c r="G212" t="s">
        <v>39</v>
      </c>
      <c r="H212" t="s">
        <v>40</v>
      </c>
      <c r="I212">
        <v>2</v>
      </c>
      <c r="J212">
        <v>30900</v>
      </c>
      <c r="K212">
        <v>0</v>
      </c>
      <c r="L212" t="s">
        <v>27</v>
      </c>
    </row>
    <row r="213" spans="1:12" x14ac:dyDescent="0.3">
      <c r="A213" t="s">
        <v>361</v>
      </c>
      <c r="B213" s="1">
        <v>44964</v>
      </c>
      <c r="C213" t="s">
        <v>49</v>
      </c>
      <c r="D213" t="s">
        <v>50</v>
      </c>
      <c r="E213" t="s">
        <v>66</v>
      </c>
      <c r="F213" t="s">
        <v>72</v>
      </c>
      <c r="G213" t="s">
        <v>97</v>
      </c>
      <c r="H213" t="s">
        <v>133</v>
      </c>
      <c r="I213">
        <v>1</v>
      </c>
      <c r="J213">
        <v>53400</v>
      </c>
      <c r="K213">
        <v>0</v>
      </c>
      <c r="L213" t="s">
        <v>73</v>
      </c>
    </row>
    <row r="214" spans="1:12" x14ac:dyDescent="0.3">
      <c r="A214" t="s">
        <v>362</v>
      </c>
      <c r="B214" s="1">
        <v>44964</v>
      </c>
      <c r="C214" t="s">
        <v>90</v>
      </c>
      <c r="D214" t="s">
        <v>91</v>
      </c>
      <c r="E214" t="s">
        <v>23</v>
      </c>
      <c r="F214" t="s">
        <v>51</v>
      </c>
      <c r="G214" t="s">
        <v>45</v>
      </c>
      <c r="H214" t="s">
        <v>207</v>
      </c>
      <c r="I214">
        <v>1</v>
      </c>
      <c r="J214">
        <v>34400</v>
      </c>
      <c r="K214">
        <v>25</v>
      </c>
      <c r="L214" t="s">
        <v>47</v>
      </c>
    </row>
    <row r="215" spans="1:12" x14ac:dyDescent="0.3">
      <c r="A215" t="s">
        <v>363</v>
      </c>
      <c r="B215" s="1">
        <v>44964</v>
      </c>
      <c r="C215" t="s">
        <v>126</v>
      </c>
      <c r="D215" t="s">
        <v>127</v>
      </c>
      <c r="E215" t="s">
        <v>66</v>
      </c>
      <c r="F215" t="s">
        <v>92</v>
      </c>
      <c r="G215" t="s">
        <v>39</v>
      </c>
      <c r="H215" t="s">
        <v>40</v>
      </c>
      <c r="I215">
        <v>1</v>
      </c>
      <c r="J215">
        <v>27300</v>
      </c>
      <c r="K215">
        <v>10</v>
      </c>
      <c r="L215" t="s">
        <v>73</v>
      </c>
    </row>
    <row r="216" spans="1:12" x14ac:dyDescent="0.3">
      <c r="A216" t="s">
        <v>364</v>
      </c>
      <c r="B216" s="1">
        <v>44992</v>
      </c>
      <c r="C216" t="s">
        <v>244</v>
      </c>
      <c r="D216" t="s">
        <v>245</v>
      </c>
      <c r="E216" t="s">
        <v>81</v>
      </c>
      <c r="F216" t="s">
        <v>82</v>
      </c>
      <c r="G216" t="s">
        <v>45</v>
      </c>
      <c r="H216" t="s">
        <v>207</v>
      </c>
      <c r="I216">
        <v>2</v>
      </c>
      <c r="J216">
        <v>31600</v>
      </c>
      <c r="K216">
        <v>0</v>
      </c>
      <c r="L216" t="s">
        <v>53</v>
      </c>
    </row>
    <row r="217" spans="1:12" x14ac:dyDescent="0.3">
      <c r="A217" t="s">
        <v>365</v>
      </c>
      <c r="B217" s="1">
        <v>44992</v>
      </c>
      <c r="C217" t="s">
        <v>64</v>
      </c>
      <c r="D217" t="s">
        <v>65</v>
      </c>
      <c r="E217" t="s">
        <v>23</v>
      </c>
      <c r="F217" t="s">
        <v>31</v>
      </c>
      <c r="G217" t="s">
        <v>97</v>
      </c>
      <c r="H217" t="s">
        <v>174</v>
      </c>
      <c r="I217">
        <v>1</v>
      </c>
      <c r="J217">
        <v>60100</v>
      </c>
      <c r="K217">
        <v>15</v>
      </c>
      <c r="L217" t="s">
        <v>62</v>
      </c>
    </row>
    <row r="218" spans="1:12" x14ac:dyDescent="0.3">
      <c r="A218" t="s">
        <v>366</v>
      </c>
      <c r="B218" s="1">
        <v>44992</v>
      </c>
      <c r="C218" t="s">
        <v>236</v>
      </c>
      <c r="D218" t="s">
        <v>237</v>
      </c>
      <c r="E218" t="s">
        <v>81</v>
      </c>
      <c r="F218" t="s">
        <v>160</v>
      </c>
      <c r="G218" t="s">
        <v>39</v>
      </c>
      <c r="H218" t="s">
        <v>102</v>
      </c>
      <c r="I218">
        <v>1</v>
      </c>
      <c r="J218">
        <v>21200</v>
      </c>
      <c r="K218">
        <v>10</v>
      </c>
      <c r="L218" t="s">
        <v>19</v>
      </c>
    </row>
    <row r="219" spans="1:12" x14ac:dyDescent="0.3">
      <c r="A219" t="s">
        <v>367</v>
      </c>
      <c r="B219" s="1">
        <v>45023</v>
      </c>
      <c r="C219" t="s">
        <v>135</v>
      </c>
      <c r="D219" t="s">
        <v>136</v>
      </c>
      <c r="E219" t="s">
        <v>81</v>
      </c>
      <c r="F219" t="s">
        <v>82</v>
      </c>
      <c r="G219" t="s">
        <v>17</v>
      </c>
      <c r="H219" t="s">
        <v>88</v>
      </c>
      <c r="I219">
        <v>1</v>
      </c>
      <c r="J219">
        <v>15000</v>
      </c>
      <c r="K219">
        <v>20</v>
      </c>
      <c r="L219" t="s">
        <v>62</v>
      </c>
    </row>
    <row r="220" spans="1:12" x14ac:dyDescent="0.3">
      <c r="A220" t="s">
        <v>368</v>
      </c>
      <c r="B220" s="1">
        <v>45023</v>
      </c>
      <c r="C220" t="s">
        <v>75</v>
      </c>
      <c r="D220" t="s">
        <v>76</v>
      </c>
      <c r="E220" t="s">
        <v>37</v>
      </c>
      <c r="F220" t="s">
        <v>141</v>
      </c>
      <c r="G220" t="s">
        <v>97</v>
      </c>
      <c r="H220" t="s">
        <v>171</v>
      </c>
      <c r="I220">
        <v>1</v>
      </c>
      <c r="J220">
        <v>57000</v>
      </c>
      <c r="K220">
        <v>5</v>
      </c>
      <c r="L220" t="s">
        <v>33</v>
      </c>
    </row>
    <row r="221" spans="1:12" x14ac:dyDescent="0.3">
      <c r="A221" t="s">
        <v>369</v>
      </c>
      <c r="B221" s="1">
        <v>45053</v>
      </c>
      <c r="C221" t="s">
        <v>188</v>
      </c>
      <c r="D221" t="s">
        <v>189</v>
      </c>
      <c r="E221" t="s">
        <v>15</v>
      </c>
      <c r="F221" t="s">
        <v>131</v>
      </c>
      <c r="G221" t="s">
        <v>39</v>
      </c>
      <c r="H221" t="s">
        <v>68</v>
      </c>
      <c r="I221">
        <v>1</v>
      </c>
      <c r="J221">
        <v>19800</v>
      </c>
      <c r="K221">
        <v>20</v>
      </c>
      <c r="L221" t="s">
        <v>19</v>
      </c>
    </row>
    <row r="222" spans="1:12" x14ac:dyDescent="0.3">
      <c r="A222" t="s">
        <v>370</v>
      </c>
      <c r="B222" s="1">
        <v>45053</v>
      </c>
      <c r="C222" t="s">
        <v>112</v>
      </c>
      <c r="D222" t="s">
        <v>113</v>
      </c>
      <c r="E222" t="s">
        <v>81</v>
      </c>
      <c r="F222" t="s">
        <v>110</v>
      </c>
      <c r="G222" t="s">
        <v>39</v>
      </c>
      <c r="H222" t="s">
        <v>57</v>
      </c>
      <c r="I222">
        <v>1</v>
      </c>
      <c r="J222">
        <v>24500</v>
      </c>
      <c r="K222">
        <v>25</v>
      </c>
      <c r="L222" t="s">
        <v>103</v>
      </c>
    </row>
    <row r="223" spans="1:12" x14ac:dyDescent="0.3">
      <c r="A223" t="s">
        <v>371</v>
      </c>
      <c r="B223" s="1">
        <v>45084</v>
      </c>
      <c r="C223" t="s">
        <v>163</v>
      </c>
      <c r="D223" t="s">
        <v>73</v>
      </c>
      <c r="E223" t="s">
        <v>37</v>
      </c>
      <c r="F223" t="s">
        <v>38</v>
      </c>
      <c r="G223" t="s">
        <v>17</v>
      </c>
      <c r="H223" t="s">
        <v>88</v>
      </c>
      <c r="I223">
        <v>1</v>
      </c>
      <c r="J223">
        <v>21100</v>
      </c>
      <c r="K223">
        <v>10</v>
      </c>
      <c r="L223" t="s">
        <v>19</v>
      </c>
    </row>
    <row r="224" spans="1:12" x14ac:dyDescent="0.3">
      <c r="A224" t="s">
        <v>372</v>
      </c>
      <c r="B224" s="1">
        <v>45084</v>
      </c>
      <c r="C224" t="s">
        <v>180</v>
      </c>
      <c r="D224" t="s">
        <v>181</v>
      </c>
      <c r="E224" t="s">
        <v>81</v>
      </c>
      <c r="F224" t="s">
        <v>82</v>
      </c>
      <c r="G224" t="s">
        <v>45</v>
      </c>
      <c r="H224" t="s">
        <v>156</v>
      </c>
      <c r="I224">
        <v>1</v>
      </c>
      <c r="J224">
        <v>44500</v>
      </c>
      <c r="K224">
        <v>0</v>
      </c>
      <c r="L224" t="s">
        <v>33</v>
      </c>
    </row>
    <row r="225" spans="1:12" x14ac:dyDescent="0.3">
      <c r="A225" t="s">
        <v>373</v>
      </c>
      <c r="B225" s="1">
        <v>45084</v>
      </c>
      <c r="C225" t="s">
        <v>158</v>
      </c>
      <c r="D225" t="s">
        <v>159</v>
      </c>
      <c r="E225" t="s">
        <v>66</v>
      </c>
      <c r="F225" t="s">
        <v>67</v>
      </c>
      <c r="G225" t="s">
        <v>17</v>
      </c>
      <c r="H225" t="s">
        <v>77</v>
      </c>
      <c r="I225">
        <v>1</v>
      </c>
      <c r="J225">
        <v>43100</v>
      </c>
      <c r="K225">
        <v>10</v>
      </c>
      <c r="L225" t="s">
        <v>47</v>
      </c>
    </row>
    <row r="226" spans="1:12" x14ac:dyDescent="0.3">
      <c r="A226" t="s">
        <v>374</v>
      </c>
      <c r="B226" s="1">
        <v>45114</v>
      </c>
      <c r="C226" t="s">
        <v>95</v>
      </c>
      <c r="D226" t="s">
        <v>96</v>
      </c>
      <c r="E226" t="s">
        <v>37</v>
      </c>
      <c r="F226" t="s">
        <v>101</v>
      </c>
      <c r="G226" t="s">
        <v>39</v>
      </c>
      <c r="H226" t="s">
        <v>57</v>
      </c>
      <c r="I226">
        <v>1</v>
      </c>
      <c r="J226">
        <v>25600</v>
      </c>
      <c r="K226">
        <v>0</v>
      </c>
      <c r="L226" t="s">
        <v>33</v>
      </c>
    </row>
    <row r="227" spans="1:12" x14ac:dyDescent="0.3">
      <c r="A227" t="s">
        <v>375</v>
      </c>
      <c r="B227" s="1">
        <v>45114</v>
      </c>
      <c r="C227" t="s">
        <v>151</v>
      </c>
      <c r="D227" t="s">
        <v>152</v>
      </c>
      <c r="E227" t="s">
        <v>15</v>
      </c>
      <c r="F227" t="s">
        <v>128</v>
      </c>
      <c r="G227" t="s">
        <v>25</v>
      </c>
      <c r="H227" t="s">
        <v>26</v>
      </c>
      <c r="I227">
        <v>3</v>
      </c>
      <c r="J227">
        <v>1800</v>
      </c>
      <c r="K227">
        <v>0</v>
      </c>
      <c r="L227" t="s">
        <v>27</v>
      </c>
    </row>
    <row r="228" spans="1:12" x14ac:dyDescent="0.3">
      <c r="A228" t="s">
        <v>376</v>
      </c>
      <c r="B228" s="1">
        <v>45145</v>
      </c>
      <c r="C228" t="s">
        <v>13</v>
      </c>
      <c r="D228" t="s">
        <v>14</v>
      </c>
      <c r="E228" t="s">
        <v>15</v>
      </c>
      <c r="F228" t="s">
        <v>16</v>
      </c>
      <c r="G228" t="s">
        <v>97</v>
      </c>
      <c r="H228" t="s">
        <v>133</v>
      </c>
      <c r="I228">
        <v>1</v>
      </c>
      <c r="J228">
        <v>48500</v>
      </c>
      <c r="K228">
        <v>0</v>
      </c>
      <c r="L228" t="s">
        <v>62</v>
      </c>
    </row>
    <row r="229" spans="1:12" x14ac:dyDescent="0.3">
      <c r="A229" t="s">
        <v>377</v>
      </c>
      <c r="B229" s="1">
        <v>45145</v>
      </c>
      <c r="C229" t="s">
        <v>64</v>
      </c>
      <c r="D229" t="s">
        <v>65</v>
      </c>
      <c r="E229" t="s">
        <v>81</v>
      </c>
      <c r="F229" t="s">
        <v>160</v>
      </c>
      <c r="G229" t="s">
        <v>17</v>
      </c>
      <c r="H229" t="s">
        <v>88</v>
      </c>
      <c r="I229">
        <v>1</v>
      </c>
      <c r="J229">
        <v>26800</v>
      </c>
      <c r="K229">
        <v>5</v>
      </c>
      <c r="L229" t="s">
        <v>27</v>
      </c>
    </row>
    <row r="230" spans="1:12" x14ac:dyDescent="0.3">
      <c r="A230" t="s">
        <v>378</v>
      </c>
      <c r="B230" s="1">
        <v>45145</v>
      </c>
      <c r="C230" t="s">
        <v>151</v>
      </c>
      <c r="D230" t="s">
        <v>152</v>
      </c>
      <c r="E230" t="s">
        <v>81</v>
      </c>
      <c r="F230" t="s">
        <v>110</v>
      </c>
      <c r="G230" t="s">
        <v>45</v>
      </c>
      <c r="H230" t="s">
        <v>207</v>
      </c>
      <c r="I230">
        <v>1</v>
      </c>
      <c r="J230">
        <v>36800</v>
      </c>
      <c r="K230">
        <v>5</v>
      </c>
      <c r="L230" t="s">
        <v>53</v>
      </c>
    </row>
    <row r="231" spans="1:12" x14ac:dyDescent="0.3">
      <c r="A231" t="s">
        <v>379</v>
      </c>
      <c r="B231" s="1">
        <v>45145</v>
      </c>
      <c r="C231" t="s">
        <v>21</v>
      </c>
      <c r="D231" t="s">
        <v>22</v>
      </c>
      <c r="E231" t="s">
        <v>15</v>
      </c>
      <c r="F231" t="s">
        <v>16</v>
      </c>
      <c r="G231" t="s">
        <v>45</v>
      </c>
      <c r="H231" t="s">
        <v>52</v>
      </c>
      <c r="I231">
        <v>1</v>
      </c>
      <c r="J231">
        <v>38300</v>
      </c>
      <c r="K231">
        <v>0</v>
      </c>
      <c r="L231" t="s">
        <v>73</v>
      </c>
    </row>
    <row r="232" spans="1:12" x14ac:dyDescent="0.3">
      <c r="A232" t="s">
        <v>380</v>
      </c>
      <c r="B232" s="1">
        <v>45176</v>
      </c>
      <c r="C232" t="s">
        <v>185</v>
      </c>
      <c r="D232" t="s">
        <v>186</v>
      </c>
      <c r="E232" t="s">
        <v>66</v>
      </c>
      <c r="F232" t="s">
        <v>67</v>
      </c>
      <c r="G232" t="s">
        <v>39</v>
      </c>
      <c r="H232" t="s">
        <v>57</v>
      </c>
      <c r="I232">
        <v>1</v>
      </c>
      <c r="J232">
        <v>13500</v>
      </c>
      <c r="K232">
        <v>15</v>
      </c>
      <c r="L232" t="s">
        <v>33</v>
      </c>
    </row>
    <row r="233" spans="1:12" x14ac:dyDescent="0.3">
      <c r="A233" t="s">
        <v>381</v>
      </c>
      <c r="B233" s="1">
        <v>45237</v>
      </c>
      <c r="C233" t="s">
        <v>79</v>
      </c>
      <c r="D233" t="s">
        <v>80</v>
      </c>
      <c r="E233" t="s">
        <v>15</v>
      </c>
      <c r="F233" t="s">
        <v>128</v>
      </c>
      <c r="G233" t="s">
        <v>45</v>
      </c>
      <c r="H233" t="s">
        <v>52</v>
      </c>
      <c r="I233">
        <v>1</v>
      </c>
      <c r="J233">
        <v>39200</v>
      </c>
      <c r="K233">
        <v>0</v>
      </c>
      <c r="L233" t="s">
        <v>47</v>
      </c>
    </row>
    <row r="234" spans="1:12" x14ac:dyDescent="0.3">
      <c r="A234" t="s">
        <v>382</v>
      </c>
      <c r="B234" s="1">
        <v>45237</v>
      </c>
      <c r="C234" t="s">
        <v>49</v>
      </c>
      <c r="D234" t="s">
        <v>50</v>
      </c>
      <c r="E234" t="s">
        <v>66</v>
      </c>
      <c r="F234" t="s">
        <v>87</v>
      </c>
      <c r="G234" t="s">
        <v>97</v>
      </c>
      <c r="H234" t="s">
        <v>174</v>
      </c>
      <c r="I234">
        <v>1</v>
      </c>
      <c r="J234">
        <v>53500</v>
      </c>
      <c r="K234">
        <v>10</v>
      </c>
      <c r="L234" t="s">
        <v>33</v>
      </c>
    </row>
    <row r="235" spans="1:12" x14ac:dyDescent="0.3">
      <c r="A235" t="s">
        <v>383</v>
      </c>
      <c r="B235" s="1">
        <v>45237</v>
      </c>
      <c r="C235" t="s">
        <v>176</v>
      </c>
      <c r="D235" t="s">
        <v>177</v>
      </c>
      <c r="E235" t="s">
        <v>23</v>
      </c>
      <c r="F235" t="s">
        <v>51</v>
      </c>
      <c r="G235" t="s">
        <v>25</v>
      </c>
      <c r="H235" t="s">
        <v>108</v>
      </c>
      <c r="I235">
        <v>3</v>
      </c>
      <c r="J235">
        <v>2100</v>
      </c>
      <c r="K235">
        <v>25</v>
      </c>
      <c r="L235" t="s">
        <v>19</v>
      </c>
    </row>
    <row r="236" spans="1:12" x14ac:dyDescent="0.3">
      <c r="A236" t="s">
        <v>384</v>
      </c>
      <c r="B236" s="1">
        <v>45237</v>
      </c>
      <c r="C236" t="s">
        <v>158</v>
      </c>
      <c r="D236" t="s">
        <v>159</v>
      </c>
      <c r="E236" t="s">
        <v>15</v>
      </c>
      <c r="F236" t="s">
        <v>128</v>
      </c>
      <c r="G236" t="s">
        <v>39</v>
      </c>
      <c r="H236" t="s">
        <v>68</v>
      </c>
      <c r="I236">
        <v>1</v>
      </c>
      <c r="J236">
        <v>24900</v>
      </c>
      <c r="K236">
        <v>15</v>
      </c>
      <c r="L236" t="s">
        <v>47</v>
      </c>
    </row>
    <row r="237" spans="1:12" x14ac:dyDescent="0.3">
      <c r="A237" t="s">
        <v>385</v>
      </c>
      <c r="B237" s="1">
        <v>45237</v>
      </c>
      <c r="C237" t="s">
        <v>90</v>
      </c>
      <c r="D237" t="s">
        <v>91</v>
      </c>
      <c r="E237" t="s">
        <v>66</v>
      </c>
      <c r="F237" t="s">
        <v>92</v>
      </c>
      <c r="G237" t="s">
        <v>17</v>
      </c>
      <c r="H237" t="s">
        <v>18</v>
      </c>
      <c r="I237">
        <v>1</v>
      </c>
      <c r="J237">
        <v>23500</v>
      </c>
      <c r="K237">
        <v>10</v>
      </c>
      <c r="L237" t="s">
        <v>33</v>
      </c>
    </row>
    <row r="238" spans="1:12" x14ac:dyDescent="0.3">
      <c r="A238" t="s">
        <v>386</v>
      </c>
      <c r="B238" s="1">
        <v>45237</v>
      </c>
      <c r="C238" t="s">
        <v>55</v>
      </c>
      <c r="D238" t="s">
        <v>56</v>
      </c>
      <c r="E238" t="s">
        <v>23</v>
      </c>
      <c r="F238" t="s">
        <v>24</v>
      </c>
      <c r="G238" t="s">
        <v>17</v>
      </c>
      <c r="H238" t="s">
        <v>77</v>
      </c>
      <c r="I238">
        <v>1</v>
      </c>
      <c r="J238">
        <v>54300</v>
      </c>
      <c r="K238">
        <v>0</v>
      </c>
      <c r="L238" t="s">
        <v>103</v>
      </c>
    </row>
    <row r="239" spans="1:12" x14ac:dyDescent="0.3">
      <c r="A239" t="s">
        <v>387</v>
      </c>
      <c r="B239" s="1">
        <v>45267</v>
      </c>
      <c r="C239" t="s">
        <v>284</v>
      </c>
      <c r="D239" t="s">
        <v>285</v>
      </c>
      <c r="E239" t="s">
        <v>81</v>
      </c>
      <c r="F239" t="s">
        <v>160</v>
      </c>
      <c r="G239" t="s">
        <v>17</v>
      </c>
      <c r="H239" t="s">
        <v>168</v>
      </c>
      <c r="I239">
        <v>1</v>
      </c>
      <c r="J239">
        <v>58200</v>
      </c>
      <c r="K239">
        <v>15</v>
      </c>
      <c r="L239" t="s">
        <v>62</v>
      </c>
    </row>
    <row r="240" spans="1:12" x14ac:dyDescent="0.3">
      <c r="A240" t="s">
        <v>388</v>
      </c>
      <c r="B240" s="1">
        <v>45267</v>
      </c>
      <c r="C240" t="s">
        <v>122</v>
      </c>
      <c r="D240" t="s">
        <v>123</v>
      </c>
      <c r="E240" t="s">
        <v>81</v>
      </c>
      <c r="F240" t="s">
        <v>160</v>
      </c>
      <c r="G240" t="s">
        <v>97</v>
      </c>
      <c r="H240" t="s">
        <v>98</v>
      </c>
      <c r="I240">
        <v>1</v>
      </c>
      <c r="J240">
        <v>57200</v>
      </c>
      <c r="K240">
        <v>20</v>
      </c>
      <c r="L240" t="s">
        <v>27</v>
      </c>
    </row>
    <row r="241" spans="1:12" x14ac:dyDescent="0.3">
      <c r="A241" t="s">
        <v>389</v>
      </c>
      <c r="B241" s="1">
        <v>44934</v>
      </c>
      <c r="C241" t="s">
        <v>21</v>
      </c>
      <c r="D241" t="s">
        <v>22</v>
      </c>
      <c r="E241" t="s">
        <v>81</v>
      </c>
      <c r="F241" t="s">
        <v>160</v>
      </c>
      <c r="G241" t="s">
        <v>39</v>
      </c>
      <c r="H241" t="s">
        <v>57</v>
      </c>
      <c r="I241">
        <v>1</v>
      </c>
      <c r="J241">
        <v>31500</v>
      </c>
      <c r="K241">
        <v>0</v>
      </c>
      <c r="L241" t="s">
        <v>27</v>
      </c>
    </row>
    <row r="242" spans="1:12" x14ac:dyDescent="0.3">
      <c r="A242" t="s">
        <v>390</v>
      </c>
      <c r="B242" s="1">
        <v>44934</v>
      </c>
      <c r="C242" t="s">
        <v>135</v>
      </c>
      <c r="D242" t="s">
        <v>136</v>
      </c>
      <c r="E242" t="s">
        <v>81</v>
      </c>
      <c r="F242" t="s">
        <v>82</v>
      </c>
      <c r="G242" t="s">
        <v>45</v>
      </c>
      <c r="H242" t="s">
        <v>156</v>
      </c>
      <c r="I242">
        <v>1</v>
      </c>
      <c r="J242">
        <v>37200</v>
      </c>
      <c r="K242">
        <v>15</v>
      </c>
      <c r="L242" t="s">
        <v>53</v>
      </c>
    </row>
    <row r="243" spans="1:12" x14ac:dyDescent="0.3">
      <c r="A243" t="s">
        <v>391</v>
      </c>
      <c r="B243" s="1">
        <v>44934</v>
      </c>
      <c r="C243" t="s">
        <v>90</v>
      </c>
      <c r="D243" t="s">
        <v>91</v>
      </c>
      <c r="E243" t="s">
        <v>15</v>
      </c>
      <c r="F243" t="s">
        <v>119</v>
      </c>
      <c r="G243" t="s">
        <v>25</v>
      </c>
      <c r="H243" t="s">
        <v>212</v>
      </c>
      <c r="I243">
        <v>1</v>
      </c>
      <c r="J243">
        <v>1400</v>
      </c>
      <c r="K243">
        <v>0</v>
      </c>
      <c r="L243" t="s">
        <v>33</v>
      </c>
    </row>
    <row r="244" spans="1:12" x14ac:dyDescent="0.3">
      <c r="A244" t="s">
        <v>392</v>
      </c>
      <c r="B244" s="1">
        <v>44993</v>
      </c>
      <c r="C244" t="s">
        <v>112</v>
      </c>
      <c r="D244" t="s">
        <v>113</v>
      </c>
      <c r="E244" t="s">
        <v>81</v>
      </c>
      <c r="F244" t="s">
        <v>117</v>
      </c>
      <c r="G244" t="s">
        <v>45</v>
      </c>
      <c r="H244" t="s">
        <v>207</v>
      </c>
      <c r="I244">
        <v>1</v>
      </c>
      <c r="J244">
        <v>23600</v>
      </c>
      <c r="K244">
        <v>0</v>
      </c>
      <c r="L244" t="s">
        <v>62</v>
      </c>
    </row>
    <row r="245" spans="1:12" x14ac:dyDescent="0.3">
      <c r="A245" t="s">
        <v>393</v>
      </c>
      <c r="B245" s="1">
        <v>45024</v>
      </c>
      <c r="C245" t="s">
        <v>185</v>
      </c>
      <c r="D245" t="s">
        <v>186</v>
      </c>
      <c r="E245" t="s">
        <v>81</v>
      </c>
      <c r="F245" t="s">
        <v>160</v>
      </c>
      <c r="G245" t="s">
        <v>39</v>
      </c>
      <c r="H245" t="s">
        <v>102</v>
      </c>
      <c r="I245">
        <v>1</v>
      </c>
      <c r="J245">
        <v>33900</v>
      </c>
      <c r="K245">
        <v>5</v>
      </c>
      <c r="L245" t="s">
        <v>53</v>
      </c>
    </row>
    <row r="246" spans="1:12" x14ac:dyDescent="0.3">
      <c r="A246" t="s">
        <v>394</v>
      </c>
      <c r="B246" s="1">
        <v>45024</v>
      </c>
      <c r="C246" t="s">
        <v>163</v>
      </c>
      <c r="D246" t="s">
        <v>73</v>
      </c>
      <c r="E246" t="s">
        <v>81</v>
      </c>
      <c r="F246" t="s">
        <v>82</v>
      </c>
      <c r="G246" t="s">
        <v>25</v>
      </c>
      <c r="H246" t="s">
        <v>26</v>
      </c>
      <c r="I246">
        <v>3</v>
      </c>
      <c r="J246">
        <v>1500</v>
      </c>
      <c r="K246">
        <v>25</v>
      </c>
      <c r="L246" t="s">
        <v>73</v>
      </c>
    </row>
    <row r="247" spans="1:12" x14ac:dyDescent="0.3">
      <c r="A247" t="s">
        <v>395</v>
      </c>
      <c r="B247" s="1">
        <v>45024</v>
      </c>
      <c r="C247" t="s">
        <v>55</v>
      </c>
      <c r="D247" t="s">
        <v>56</v>
      </c>
      <c r="E247" t="s">
        <v>81</v>
      </c>
      <c r="F247" t="s">
        <v>110</v>
      </c>
      <c r="G247" t="s">
        <v>25</v>
      </c>
      <c r="H247" t="s">
        <v>124</v>
      </c>
      <c r="I247">
        <v>2</v>
      </c>
      <c r="J247">
        <v>1400</v>
      </c>
      <c r="K247">
        <v>5</v>
      </c>
      <c r="L247" t="s">
        <v>62</v>
      </c>
    </row>
    <row r="248" spans="1:12" x14ac:dyDescent="0.3">
      <c r="A248" t="s">
        <v>396</v>
      </c>
      <c r="B248" s="1">
        <v>45024</v>
      </c>
      <c r="C248" t="s">
        <v>135</v>
      </c>
      <c r="D248" t="s">
        <v>136</v>
      </c>
      <c r="E248" t="s">
        <v>23</v>
      </c>
      <c r="F248" t="s">
        <v>44</v>
      </c>
      <c r="G248" t="s">
        <v>97</v>
      </c>
      <c r="H248" t="s">
        <v>171</v>
      </c>
      <c r="I248">
        <v>1</v>
      </c>
      <c r="J248">
        <v>52000</v>
      </c>
      <c r="K248">
        <v>25</v>
      </c>
      <c r="L248" t="s">
        <v>103</v>
      </c>
    </row>
    <row r="249" spans="1:12" x14ac:dyDescent="0.3">
      <c r="A249" t="s">
        <v>397</v>
      </c>
      <c r="B249" s="1">
        <v>45024</v>
      </c>
      <c r="C249" t="s">
        <v>115</v>
      </c>
      <c r="D249" t="s">
        <v>116</v>
      </c>
      <c r="E249" t="s">
        <v>81</v>
      </c>
      <c r="F249" t="s">
        <v>160</v>
      </c>
      <c r="G249" t="s">
        <v>25</v>
      </c>
      <c r="H249" t="s">
        <v>212</v>
      </c>
      <c r="I249">
        <v>2</v>
      </c>
      <c r="J249">
        <v>1400</v>
      </c>
      <c r="K249">
        <v>0</v>
      </c>
      <c r="L249" t="s">
        <v>33</v>
      </c>
    </row>
    <row r="250" spans="1:12" x14ac:dyDescent="0.3">
      <c r="A250" t="s">
        <v>398</v>
      </c>
      <c r="B250" s="1">
        <v>45024</v>
      </c>
      <c r="C250" t="s">
        <v>147</v>
      </c>
      <c r="D250" t="s">
        <v>148</v>
      </c>
      <c r="E250" t="s">
        <v>15</v>
      </c>
      <c r="F250" t="s">
        <v>119</v>
      </c>
      <c r="G250" t="s">
        <v>39</v>
      </c>
      <c r="H250" t="s">
        <v>57</v>
      </c>
      <c r="I250">
        <v>1</v>
      </c>
      <c r="J250">
        <v>10200</v>
      </c>
      <c r="K250">
        <v>25</v>
      </c>
      <c r="L250" t="s">
        <v>53</v>
      </c>
    </row>
    <row r="251" spans="1:12" x14ac:dyDescent="0.3">
      <c r="A251" t="s">
        <v>399</v>
      </c>
      <c r="B251" s="1">
        <v>45054</v>
      </c>
      <c r="C251" t="s">
        <v>112</v>
      </c>
      <c r="D251" t="s">
        <v>113</v>
      </c>
      <c r="E251" t="s">
        <v>37</v>
      </c>
      <c r="F251" t="s">
        <v>61</v>
      </c>
      <c r="G251" t="s">
        <v>17</v>
      </c>
      <c r="H251" t="s">
        <v>77</v>
      </c>
      <c r="I251">
        <v>1</v>
      </c>
      <c r="J251">
        <v>42800</v>
      </c>
      <c r="K251">
        <v>15</v>
      </c>
      <c r="L251" t="s">
        <v>47</v>
      </c>
    </row>
    <row r="252" spans="1:12" x14ac:dyDescent="0.3">
      <c r="A252" t="s">
        <v>400</v>
      </c>
      <c r="B252" s="1">
        <v>45054</v>
      </c>
      <c r="C252" t="s">
        <v>185</v>
      </c>
      <c r="D252" t="s">
        <v>186</v>
      </c>
      <c r="E252" t="s">
        <v>37</v>
      </c>
      <c r="F252" t="s">
        <v>61</v>
      </c>
      <c r="G252" t="s">
        <v>39</v>
      </c>
      <c r="H252" t="s">
        <v>40</v>
      </c>
      <c r="I252">
        <v>1</v>
      </c>
      <c r="J252">
        <v>13600</v>
      </c>
      <c r="K252">
        <v>5</v>
      </c>
      <c r="L252" t="s">
        <v>73</v>
      </c>
    </row>
    <row r="253" spans="1:12" x14ac:dyDescent="0.3">
      <c r="A253" t="s">
        <v>401</v>
      </c>
      <c r="B253" s="1">
        <v>45054</v>
      </c>
      <c r="C253" t="s">
        <v>236</v>
      </c>
      <c r="D253" t="s">
        <v>237</v>
      </c>
      <c r="E253" t="s">
        <v>23</v>
      </c>
      <c r="F253" t="s">
        <v>24</v>
      </c>
      <c r="G253" t="s">
        <v>17</v>
      </c>
      <c r="H253" t="s">
        <v>77</v>
      </c>
      <c r="I253">
        <v>1</v>
      </c>
      <c r="J253">
        <v>26900</v>
      </c>
      <c r="K253">
        <v>20</v>
      </c>
      <c r="L253" t="s">
        <v>19</v>
      </c>
    </row>
    <row r="254" spans="1:12" x14ac:dyDescent="0.3">
      <c r="A254" t="s">
        <v>402</v>
      </c>
      <c r="B254" s="1">
        <v>45085</v>
      </c>
      <c r="C254" t="s">
        <v>185</v>
      </c>
      <c r="D254" t="s">
        <v>186</v>
      </c>
      <c r="E254" t="s">
        <v>15</v>
      </c>
      <c r="F254" t="s">
        <v>128</v>
      </c>
      <c r="G254" t="s">
        <v>25</v>
      </c>
      <c r="H254" t="s">
        <v>32</v>
      </c>
      <c r="I254">
        <v>3</v>
      </c>
      <c r="J254">
        <v>2100</v>
      </c>
      <c r="K254">
        <v>25</v>
      </c>
      <c r="L254" t="s">
        <v>53</v>
      </c>
    </row>
    <row r="255" spans="1:12" x14ac:dyDescent="0.3">
      <c r="A255" t="s">
        <v>403</v>
      </c>
      <c r="B255" s="1">
        <v>45085</v>
      </c>
      <c r="C255" t="s">
        <v>147</v>
      </c>
      <c r="D255" t="s">
        <v>148</v>
      </c>
      <c r="E255" t="s">
        <v>66</v>
      </c>
      <c r="F255" t="s">
        <v>72</v>
      </c>
      <c r="G255" t="s">
        <v>97</v>
      </c>
      <c r="H255" t="s">
        <v>174</v>
      </c>
      <c r="I255">
        <v>1</v>
      </c>
      <c r="J255">
        <v>53000</v>
      </c>
      <c r="K255">
        <v>10</v>
      </c>
      <c r="L255" t="s">
        <v>19</v>
      </c>
    </row>
    <row r="256" spans="1:12" x14ac:dyDescent="0.3">
      <c r="A256" t="s">
        <v>404</v>
      </c>
      <c r="B256" s="1">
        <v>45085</v>
      </c>
      <c r="C256" t="s">
        <v>130</v>
      </c>
      <c r="D256" t="s">
        <v>53</v>
      </c>
      <c r="E256" t="s">
        <v>15</v>
      </c>
      <c r="F256" t="s">
        <v>119</v>
      </c>
      <c r="G256" t="s">
        <v>45</v>
      </c>
      <c r="H256" t="s">
        <v>46</v>
      </c>
      <c r="I256">
        <v>1</v>
      </c>
      <c r="J256">
        <v>30500</v>
      </c>
      <c r="K256">
        <v>20</v>
      </c>
      <c r="L256" t="s">
        <v>27</v>
      </c>
    </row>
    <row r="257" spans="1:12" x14ac:dyDescent="0.3">
      <c r="A257" t="s">
        <v>405</v>
      </c>
      <c r="B257" s="1">
        <v>45115</v>
      </c>
      <c r="C257" t="s">
        <v>250</v>
      </c>
      <c r="D257" t="s">
        <v>251</v>
      </c>
      <c r="E257" t="s">
        <v>81</v>
      </c>
      <c r="F257" t="s">
        <v>117</v>
      </c>
      <c r="G257" t="s">
        <v>25</v>
      </c>
      <c r="H257" t="s">
        <v>32</v>
      </c>
      <c r="I257">
        <v>2</v>
      </c>
      <c r="J257">
        <v>2200</v>
      </c>
      <c r="K257">
        <v>0</v>
      </c>
      <c r="L257" t="s">
        <v>103</v>
      </c>
    </row>
    <row r="258" spans="1:12" x14ac:dyDescent="0.3">
      <c r="A258" t="s">
        <v>406</v>
      </c>
      <c r="B258" s="1">
        <v>45146</v>
      </c>
      <c r="C258" t="s">
        <v>143</v>
      </c>
      <c r="D258" t="s">
        <v>144</v>
      </c>
      <c r="E258" t="s">
        <v>81</v>
      </c>
      <c r="F258" t="s">
        <v>160</v>
      </c>
      <c r="G258" t="s">
        <v>25</v>
      </c>
      <c r="H258" t="s">
        <v>124</v>
      </c>
      <c r="I258">
        <v>2</v>
      </c>
      <c r="J258">
        <v>600</v>
      </c>
      <c r="K258">
        <v>0</v>
      </c>
      <c r="L258" t="s">
        <v>33</v>
      </c>
    </row>
    <row r="259" spans="1:12" x14ac:dyDescent="0.3">
      <c r="A259" t="s">
        <v>407</v>
      </c>
      <c r="B259" s="1">
        <v>45146</v>
      </c>
      <c r="C259" t="s">
        <v>143</v>
      </c>
      <c r="D259" t="s">
        <v>144</v>
      </c>
      <c r="E259" t="s">
        <v>81</v>
      </c>
      <c r="F259" t="s">
        <v>117</v>
      </c>
      <c r="G259" t="s">
        <v>17</v>
      </c>
      <c r="H259" t="s">
        <v>168</v>
      </c>
      <c r="I259">
        <v>1</v>
      </c>
      <c r="J259">
        <v>29600</v>
      </c>
      <c r="K259">
        <v>0</v>
      </c>
      <c r="L259" t="s">
        <v>47</v>
      </c>
    </row>
    <row r="260" spans="1:12" x14ac:dyDescent="0.3">
      <c r="A260" t="s">
        <v>408</v>
      </c>
      <c r="B260" s="1">
        <v>45177</v>
      </c>
      <c r="C260" t="s">
        <v>284</v>
      </c>
      <c r="D260" t="s">
        <v>285</v>
      </c>
      <c r="E260" t="s">
        <v>66</v>
      </c>
      <c r="F260" t="s">
        <v>67</v>
      </c>
      <c r="G260" t="s">
        <v>39</v>
      </c>
      <c r="H260" t="s">
        <v>40</v>
      </c>
      <c r="I260">
        <v>1</v>
      </c>
      <c r="J260">
        <v>27800</v>
      </c>
      <c r="K260">
        <v>15</v>
      </c>
      <c r="L260" t="s">
        <v>73</v>
      </c>
    </row>
    <row r="261" spans="1:12" x14ac:dyDescent="0.3">
      <c r="A261" t="s">
        <v>409</v>
      </c>
      <c r="B261" s="1">
        <v>45177</v>
      </c>
      <c r="C261" t="s">
        <v>188</v>
      </c>
      <c r="D261" t="s">
        <v>189</v>
      </c>
      <c r="E261" t="s">
        <v>81</v>
      </c>
      <c r="F261" t="s">
        <v>82</v>
      </c>
      <c r="G261" t="s">
        <v>39</v>
      </c>
      <c r="H261" t="s">
        <v>68</v>
      </c>
      <c r="I261">
        <v>1</v>
      </c>
      <c r="J261">
        <v>23400</v>
      </c>
      <c r="K261">
        <v>0</v>
      </c>
      <c r="L261" t="s">
        <v>27</v>
      </c>
    </row>
    <row r="262" spans="1:12" x14ac:dyDescent="0.3">
      <c r="A262" t="s">
        <v>410</v>
      </c>
      <c r="B262" s="1">
        <v>45177</v>
      </c>
      <c r="C262" t="s">
        <v>21</v>
      </c>
      <c r="D262" t="s">
        <v>22</v>
      </c>
      <c r="E262" t="s">
        <v>81</v>
      </c>
      <c r="F262" t="s">
        <v>117</v>
      </c>
      <c r="G262" t="s">
        <v>17</v>
      </c>
      <c r="H262" t="s">
        <v>168</v>
      </c>
      <c r="I262">
        <v>1</v>
      </c>
      <c r="J262">
        <v>42000</v>
      </c>
      <c r="K262">
        <v>15</v>
      </c>
      <c r="L262" t="s">
        <v>103</v>
      </c>
    </row>
    <row r="263" spans="1:12" x14ac:dyDescent="0.3">
      <c r="A263" t="s">
        <v>411</v>
      </c>
      <c r="B263" s="1">
        <v>45177</v>
      </c>
      <c r="C263" t="s">
        <v>84</v>
      </c>
      <c r="D263" t="s">
        <v>85</v>
      </c>
      <c r="E263" t="s">
        <v>66</v>
      </c>
      <c r="F263" t="s">
        <v>72</v>
      </c>
      <c r="G263" t="s">
        <v>25</v>
      </c>
      <c r="H263" t="s">
        <v>124</v>
      </c>
      <c r="I263">
        <v>2</v>
      </c>
      <c r="J263">
        <v>1800</v>
      </c>
      <c r="K263">
        <v>25</v>
      </c>
      <c r="L263" t="s">
        <v>27</v>
      </c>
    </row>
    <row r="264" spans="1:12" x14ac:dyDescent="0.3">
      <c r="A264" t="s">
        <v>412</v>
      </c>
      <c r="B264" s="1">
        <v>45177</v>
      </c>
      <c r="C264" t="s">
        <v>115</v>
      </c>
      <c r="D264" t="s">
        <v>116</v>
      </c>
      <c r="E264" t="s">
        <v>23</v>
      </c>
      <c r="F264" t="s">
        <v>44</v>
      </c>
      <c r="G264" t="s">
        <v>45</v>
      </c>
      <c r="H264" t="s">
        <v>156</v>
      </c>
      <c r="I264">
        <v>1</v>
      </c>
      <c r="J264">
        <v>28800</v>
      </c>
      <c r="K264">
        <v>0</v>
      </c>
      <c r="L264" t="s">
        <v>62</v>
      </c>
    </row>
    <row r="265" spans="1:12" x14ac:dyDescent="0.3">
      <c r="A265" t="s">
        <v>413</v>
      </c>
      <c r="B265" s="1">
        <v>45207</v>
      </c>
      <c r="C265" t="s">
        <v>64</v>
      </c>
      <c r="D265" t="s">
        <v>65</v>
      </c>
      <c r="E265" t="s">
        <v>81</v>
      </c>
      <c r="F265" t="s">
        <v>117</v>
      </c>
      <c r="G265" t="s">
        <v>97</v>
      </c>
      <c r="H265" t="s">
        <v>171</v>
      </c>
      <c r="I265">
        <v>1</v>
      </c>
      <c r="J265">
        <v>37700</v>
      </c>
      <c r="K265">
        <v>0</v>
      </c>
      <c r="L265" t="s">
        <v>53</v>
      </c>
    </row>
    <row r="266" spans="1:12" x14ac:dyDescent="0.3">
      <c r="A266" t="s">
        <v>414</v>
      </c>
      <c r="B266" s="1">
        <v>45238</v>
      </c>
      <c r="C266" t="s">
        <v>95</v>
      </c>
      <c r="D266" t="s">
        <v>96</v>
      </c>
      <c r="E266" t="s">
        <v>81</v>
      </c>
      <c r="F266" t="s">
        <v>82</v>
      </c>
      <c r="G266" t="s">
        <v>17</v>
      </c>
      <c r="H266" t="s">
        <v>168</v>
      </c>
      <c r="I266">
        <v>1</v>
      </c>
      <c r="J266">
        <v>46400</v>
      </c>
      <c r="K266">
        <v>5</v>
      </c>
      <c r="L266" t="s">
        <v>53</v>
      </c>
    </row>
    <row r="267" spans="1:12" x14ac:dyDescent="0.3">
      <c r="A267" t="s">
        <v>415</v>
      </c>
      <c r="B267" s="1">
        <v>45238</v>
      </c>
      <c r="C267" t="s">
        <v>232</v>
      </c>
      <c r="D267" t="s">
        <v>233</v>
      </c>
      <c r="E267" t="s">
        <v>37</v>
      </c>
      <c r="F267" t="s">
        <v>38</v>
      </c>
      <c r="G267" t="s">
        <v>17</v>
      </c>
      <c r="H267" t="s">
        <v>77</v>
      </c>
      <c r="I267">
        <v>1</v>
      </c>
      <c r="J267">
        <v>21600</v>
      </c>
      <c r="K267">
        <v>10</v>
      </c>
      <c r="L267" t="s">
        <v>33</v>
      </c>
    </row>
    <row r="268" spans="1:12" x14ac:dyDescent="0.3">
      <c r="A268" t="s">
        <v>416</v>
      </c>
      <c r="B268" s="1">
        <v>45268</v>
      </c>
      <c r="C268" t="s">
        <v>185</v>
      </c>
      <c r="D268" t="s">
        <v>186</v>
      </c>
      <c r="E268" t="s">
        <v>81</v>
      </c>
      <c r="F268" t="s">
        <v>82</v>
      </c>
      <c r="G268" t="s">
        <v>39</v>
      </c>
      <c r="H268" t="s">
        <v>40</v>
      </c>
      <c r="I268">
        <v>1</v>
      </c>
      <c r="J268">
        <v>25600</v>
      </c>
      <c r="K268">
        <v>5</v>
      </c>
      <c r="L268" t="s">
        <v>62</v>
      </c>
    </row>
    <row r="269" spans="1:12" x14ac:dyDescent="0.3">
      <c r="A269" t="s">
        <v>417</v>
      </c>
      <c r="B269" s="1">
        <v>45268</v>
      </c>
      <c r="C269" t="s">
        <v>185</v>
      </c>
      <c r="D269" t="s">
        <v>186</v>
      </c>
      <c r="E269" t="s">
        <v>37</v>
      </c>
      <c r="F269" t="s">
        <v>101</v>
      </c>
      <c r="G269" t="s">
        <v>97</v>
      </c>
      <c r="H269" t="s">
        <v>171</v>
      </c>
      <c r="I269">
        <v>1</v>
      </c>
      <c r="J269">
        <v>69700</v>
      </c>
      <c r="K269">
        <v>0</v>
      </c>
      <c r="L269" t="s">
        <v>73</v>
      </c>
    </row>
    <row r="270" spans="1:12" x14ac:dyDescent="0.3">
      <c r="A270" t="s">
        <v>418</v>
      </c>
      <c r="B270" s="1">
        <v>44935</v>
      </c>
      <c r="C270" t="s">
        <v>79</v>
      </c>
      <c r="D270" t="s">
        <v>80</v>
      </c>
      <c r="E270" t="s">
        <v>23</v>
      </c>
      <c r="F270" t="s">
        <v>31</v>
      </c>
      <c r="G270" t="s">
        <v>97</v>
      </c>
      <c r="H270" t="s">
        <v>98</v>
      </c>
      <c r="I270">
        <v>1</v>
      </c>
      <c r="J270">
        <v>48000</v>
      </c>
      <c r="K270">
        <v>0</v>
      </c>
      <c r="L270" t="s">
        <v>19</v>
      </c>
    </row>
    <row r="271" spans="1:12" x14ac:dyDescent="0.3">
      <c r="A271" t="s">
        <v>419</v>
      </c>
      <c r="B271" s="1">
        <v>44935</v>
      </c>
      <c r="C271" t="s">
        <v>210</v>
      </c>
      <c r="D271" t="s">
        <v>211</v>
      </c>
      <c r="E271" t="s">
        <v>66</v>
      </c>
      <c r="F271" t="s">
        <v>92</v>
      </c>
      <c r="G271" t="s">
        <v>17</v>
      </c>
      <c r="H271" t="s">
        <v>77</v>
      </c>
      <c r="I271">
        <v>1</v>
      </c>
      <c r="J271">
        <v>32200</v>
      </c>
      <c r="K271">
        <v>25</v>
      </c>
      <c r="L271" t="s">
        <v>103</v>
      </c>
    </row>
    <row r="272" spans="1:12" x14ac:dyDescent="0.3">
      <c r="A272" t="s">
        <v>420</v>
      </c>
      <c r="B272" s="1">
        <v>44935</v>
      </c>
      <c r="C272" t="s">
        <v>158</v>
      </c>
      <c r="D272" t="s">
        <v>159</v>
      </c>
      <c r="E272" t="s">
        <v>66</v>
      </c>
      <c r="F272" t="s">
        <v>92</v>
      </c>
      <c r="G272" t="s">
        <v>45</v>
      </c>
      <c r="H272" t="s">
        <v>52</v>
      </c>
      <c r="I272">
        <v>1</v>
      </c>
      <c r="J272">
        <v>34400</v>
      </c>
      <c r="K272">
        <v>0</v>
      </c>
      <c r="L272" t="s">
        <v>53</v>
      </c>
    </row>
    <row r="273" spans="1:12" x14ac:dyDescent="0.3">
      <c r="A273" t="s">
        <v>421</v>
      </c>
      <c r="B273" s="1">
        <v>44935</v>
      </c>
      <c r="C273" t="s">
        <v>130</v>
      </c>
      <c r="D273" t="s">
        <v>53</v>
      </c>
      <c r="E273" t="s">
        <v>66</v>
      </c>
      <c r="F273" t="s">
        <v>67</v>
      </c>
      <c r="G273" t="s">
        <v>97</v>
      </c>
      <c r="H273" t="s">
        <v>174</v>
      </c>
      <c r="I273">
        <v>2</v>
      </c>
      <c r="J273">
        <v>80000</v>
      </c>
      <c r="K273">
        <v>0</v>
      </c>
      <c r="L273" t="s">
        <v>47</v>
      </c>
    </row>
    <row r="274" spans="1:12" x14ac:dyDescent="0.3">
      <c r="A274" t="s">
        <v>422</v>
      </c>
      <c r="B274" s="1">
        <v>44966</v>
      </c>
      <c r="C274" t="s">
        <v>284</v>
      </c>
      <c r="D274" t="s">
        <v>285</v>
      </c>
      <c r="E274" t="s">
        <v>81</v>
      </c>
      <c r="F274" t="s">
        <v>117</v>
      </c>
      <c r="G274" t="s">
        <v>45</v>
      </c>
      <c r="H274" t="s">
        <v>52</v>
      </c>
      <c r="I274">
        <v>1</v>
      </c>
      <c r="J274">
        <v>38600</v>
      </c>
      <c r="K274">
        <v>10</v>
      </c>
      <c r="L274" t="s">
        <v>19</v>
      </c>
    </row>
    <row r="275" spans="1:12" x14ac:dyDescent="0.3">
      <c r="A275" t="s">
        <v>423</v>
      </c>
      <c r="B275" s="1">
        <v>44966</v>
      </c>
      <c r="C275" t="s">
        <v>185</v>
      </c>
      <c r="D275" t="s">
        <v>186</v>
      </c>
      <c r="E275" t="s">
        <v>15</v>
      </c>
      <c r="F275" t="s">
        <v>16</v>
      </c>
      <c r="G275" t="s">
        <v>17</v>
      </c>
      <c r="H275" t="s">
        <v>196</v>
      </c>
      <c r="I275">
        <v>2</v>
      </c>
      <c r="J275">
        <v>28000</v>
      </c>
      <c r="K275">
        <v>0</v>
      </c>
      <c r="L275" t="s">
        <v>53</v>
      </c>
    </row>
    <row r="276" spans="1:12" x14ac:dyDescent="0.3">
      <c r="A276" t="s">
        <v>424</v>
      </c>
      <c r="B276" s="1">
        <v>44966</v>
      </c>
      <c r="C276" t="s">
        <v>180</v>
      </c>
      <c r="D276" t="s">
        <v>181</v>
      </c>
      <c r="E276" t="s">
        <v>15</v>
      </c>
      <c r="F276" t="s">
        <v>119</v>
      </c>
      <c r="G276" t="s">
        <v>25</v>
      </c>
      <c r="H276" t="s">
        <v>32</v>
      </c>
      <c r="I276">
        <v>2</v>
      </c>
      <c r="J276">
        <v>2000</v>
      </c>
      <c r="K276">
        <v>5</v>
      </c>
      <c r="L276" t="s">
        <v>73</v>
      </c>
    </row>
    <row r="277" spans="1:12" x14ac:dyDescent="0.3">
      <c r="A277" t="s">
        <v>425</v>
      </c>
      <c r="B277" s="1">
        <v>44994</v>
      </c>
      <c r="C277" t="s">
        <v>59</v>
      </c>
      <c r="D277" t="s">
        <v>60</v>
      </c>
      <c r="E277" t="s">
        <v>23</v>
      </c>
      <c r="F277" t="s">
        <v>24</v>
      </c>
      <c r="G277" t="s">
        <v>17</v>
      </c>
      <c r="H277" t="s">
        <v>18</v>
      </c>
      <c r="I277">
        <v>1</v>
      </c>
      <c r="J277">
        <v>60000</v>
      </c>
      <c r="K277">
        <v>20</v>
      </c>
      <c r="L277" t="s">
        <v>62</v>
      </c>
    </row>
    <row r="278" spans="1:12" x14ac:dyDescent="0.3">
      <c r="A278" t="s">
        <v>426</v>
      </c>
      <c r="B278" s="1">
        <v>44994</v>
      </c>
      <c r="C278" t="s">
        <v>185</v>
      </c>
      <c r="D278" t="s">
        <v>186</v>
      </c>
      <c r="E278" t="s">
        <v>81</v>
      </c>
      <c r="F278" t="s">
        <v>82</v>
      </c>
      <c r="G278" t="s">
        <v>17</v>
      </c>
      <c r="H278" t="s">
        <v>168</v>
      </c>
      <c r="I278">
        <v>1</v>
      </c>
      <c r="J278">
        <v>15100</v>
      </c>
      <c r="K278">
        <v>5</v>
      </c>
      <c r="L278" t="s">
        <v>73</v>
      </c>
    </row>
    <row r="279" spans="1:12" x14ac:dyDescent="0.3">
      <c r="A279" t="s">
        <v>427</v>
      </c>
      <c r="B279" s="1">
        <v>44994</v>
      </c>
      <c r="C279" t="s">
        <v>126</v>
      </c>
      <c r="D279" t="s">
        <v>127</v>
      </c>
      <c r="E279" t="s">
        <v>23</v>
      </c>
      <c r="F279" t="s">
        <v>31</v>
      </c>
      <c r="G279" t="s">
        <v>39</v>
      </c>
      <c r="H279" t="s">
        <v>68</v>
      </c>
      <c r="I279">
        <v>1</v>
      </c>
      <c r="J279">
        <v>21800</v>
      </c>
      <c r="K279">
        <v>0</v>
      </c>
      <c r="L279" t="s">
        <v>19</v>
      </c>
    </row>
    <row r="280" spans="1:12" x14ac:dyDescent="0.3">
      <c r="A280" t="s">
        <v>428</v>
      </c>
      <c r="B280" s="1">
        <v>44994</v>
      </c>
      <c r="C280" t="s">
        <v>244</v>
      </c>
      <c r="D280" t="s">
        <v>245</v>
      </c>
      <c r="E280" t="s">
        <v>23</v>
      </c>
      <c r="F280" t="s">
        <v>51</v>
      </c>
      <c r="G280" t="s">
        <v>25</v>
      </c>
      <c r="H280" t="s">
        <v>212</v>
      </c>
      <c r="I280">
        <v>3</v>
      </c>
      <c r="J280">
        <v>2500</v>
      </c>
      <c r="K280">
        <v>20</v>
      </c>
      <c r="L280" t="s">
        <v>27</v>
      </c>
    </row>
    <row r="281" spans="1:12" x14ac:dyDescent="0.3">
      <c r="A281" t="s">
        <v>429</v>
      </c>
      <c r="B281" s="1">
        <v>44994</v>
      </c>
      <c r="C281" t="s">
        <v>105</v>
      </c>
      <c r="D281" t="s">
        <v>106</v>
      </c>
      <c r="E281" t="s">
        <v>37</v>
      </c>
      <c r="F281" t="s">
        <v>101</v>
      </c>
      <c r="G281" t="s">
        <v>39</v>
      </c>
      <c r="H281" t="s">
        <v>40</v>
      </c>
      <c r="I281">
        <v>1</v>
      </c>
      <c r="J281">
        <v>24200</v>
      </c>
      <c r="K281">
        <v>25</v>
      </c>
      <c r="L281" t="s">
        <v>33</v>
      </c>
    </row>
    <row r="282" spans="1:12" x14ac:dyDescent="0.3">
      <c r="A282" t="s">
        <v>430</v>
      </c>
      <c r="B282" s="1">
        <v>44994</v>
      </c>
      <c r="C282" t="s">
        <v>122</v>
      </c>
      <c r="D282" t="s">
        <v>123</v>
      </c>
      <c r="E282" t="s">
        <v>37</v>
      </c>
      <c r="F282" t="s">
        <v>101</v>
      </c>
      <c r="G282" t="s">
        <v>17</v>
      </c>
      <c r="H282" t="s">
        <v>168</v>
      </c>
      <c r="I282">
        <v>1</v>
      </c>
      <c r="J282">
        <v>36400</v>
      </c>
      <c r="K282">
        <v>25</v>
      </c>
      <c r="L282" t="s">
        <v>47</v>
      </c>
    </row>
    <row r="283" spans="1:12" x14ac:dyDescent="0.3">
      <c r="A283" t="s">
        <v>431</v>
      </c>
      <c r="B283" s="1">
        <v>44994</v>
      </c>
      <c r="C283" t="s">
        <v>70</v>
      </c>
      <c r="D283" t="s">
        <v>71</v>
      </c>
      <c r="E283" t="s">
        <v>15</v>
      </c>
      <c r="F283" t="s">
        <v>128</v>
      </c>
      <c r="G283" t="s">
        <v>97</v>
      </c>
      <c r="H283" t="s">
        <v>174</v>
      </c>
      <c r="I283">
        <v>1</v>
      </c>
      <c r="J283">
        <v>47300</v>
      </c>
      <c r="K283">
        <v>10</v>
      </c>
      <c r="L283" t="s">
        <v>73</v>
      </c>
    </row>
    <row r="284" spans="1:12" x14ac:dyDescent="0.3">
      <c r="A284" t="s">
        <v>432</v>
      </c>
      <c r="B284" s="1">
        <v>45025</v>
      </c>
      <c r="C284" t="s">
        <v>49</v>
      </c>
      <c r="D284" t="s">
        <v>50</v>
      </c>
      <c r="E284" t="s">
        <v>81</v>
      </c>
      <c r="F284" t="s">
        <v>117</v>
      </c>
      <c r="G284" t="s">
        <v>39</v>
      </c>
      <c r="H284" t="s">
        <v>102</v>
      </c>
      <c r="I284">
        <v>1</v>
      </c>
      <c r="J284">
        <v>17500</v>
      </c>
      <c r="K284">
        <v>0</v>
      </c>
      <c r="L284" t="s">
        <v>73</v>
      </c>
    </row>
    <row r="285" spans="1:12" x14ac:dyDescent="0.3">
      <c r="A285" t="s">
        <v>433</v>
      </c>
      <c r="B285" s="1">
        <v>45025</v>
      </c>
      <c r="C285" t="s">
        <v>84</v>
      </c>
      <c r="D285" t="s">
        <v>85</v>
      </c>
      <c r="E285" t="s">
        <v>23</v>
      </c>
      <c r="F285" t="s">
        <v>24</v>
      </c>
      <c r="G285" t="s">
        <v>39</v>
      </c>
      <c r="H285" t="s">
        <v>102</v>
      </c>
      <c r="I285">
        <v>1</v>
      </c>
      <c r="J285">
        <v>17900</v>
      </c>
      <c r="K285">
        <v>0</v>
      </c>
      <c r="L285" t="s">
        <v>33</v>
      </c>
    </row>
    <row r="286" spans="1:12" x14ac:dyDescent="0.3">
      <c r="A286" t="s">
        <v>434</v>
      </c>
      <c r="B286" s="1">
        <v>45025</v>
      </c>
      <c r="C286" t="s">
        <v>64</v>
      </c>
      <c r="D286" t="s">
        <v>65</v>
      </c>
      <c r="E286" t="s">
        <v>37</v>
      </c>
      <c r="F286" t="s">
        <v>101</v>
      </c>
      <c r="G286" t="s">
        <v>17</v>
      </c>
      <c r="H286" t="s">
        <v>88</v>
      </c>
      <c r="I286">
        <v>1</v>
      </c>
      <c r="J286">
        <v>58700</v>
      </c>
      <c r="K286">
        <v>15</v>
      </c>
      <c r="L286" t="s">
        <v>53</v>
      </c>
    </row>
    <row r="287" spans="1:12" x14ac:dyDescent="0.3">
      <c r="A287" t="s">
        <v>435</v>
      </c>
      <c r="B287" s="1">
        <v>45025</v>
      </c>
      <c r="C287" t="s">
        <v>42</v>
      </c>
      <c r="D287" t="s">
        <v>43</v>
      </c>
      <c r="E287" t="s">
        <v>23</v>
      </c>
      <c r="F287" t="s">
        <v>24</v>
      </c>
      <c r="G287" t="s">
        <v>39</v>
      </c>
      <c r="H287" t="s">
        <v>40</v>
      </c>
      <c r="I287">
        <v>1</v>
      </c>
      <c r="J287">
        <v>30700</v>
      </c>
      <c r="K287">
        <v>20</v>
      </c>
      <c r="L287" t="s">
        <v>33</v>
      </c>
    </row>
    <row r="288" spans="1:12" x14ac:dyDescent="0.3">
      <c r="A288" t="s">
        <v>436</v>
      </c>
      <c r="B288" s="1">
        <v>45055</v>
      </c>
      <c r="C288" t="s">
        <v>35</v>
      </c>
      <c r="D288" t="s">
        <v>36</v>
      </c>
      <c r="E288" t="s">
        <v>15</v>
      </c>
      <c r="F288" t="s">
        <v>119</v>
      </c>
      <c r="G288" t="s">
        <v>39</v>
      </c>
      <c r="H288" t="s">
        <v>57</v>
      </c>
      <c r="I288">
        <v>1</v>
      </c>
      <c r="J288">
        <v>27600</v>
      </c>
      <c r="K288">
        <v>0</v>
      </c>
      <c r="L288" t="s">
        <v>62</v>
      </c>
    </row>
    <row r="289" spans="1:12" x14ac:dyDescent="0.3">
      <c r="A289" t="s">
        <v>437</v>
      </c>
      <c r="B289" s="1">
        <v>45055</v>
      </c>
      <c r="C289" t="s">
        <v>158</v>
      </c>
      <c r="D289" t="s">
        <v>159</v>
      </c>
      <c r="E289" t="s">
        <v>81</v>
      </c>
      <c r="F289" t="s">
        <v>117</v>
      </c>
      <c r="G289" t="s">
        <v>97</v>
      </c>
      <c r="H289" t="s">
        <v>174</v>
      </c>
      <c r="I289">
        <v>1</v>
      </c>
      <c r="J289">
        <v>70700</v>
      </c>
      <c r="K289">
        <v>0</v>
      </c>
      <c r="L289" t="s">
        <v>53</v>
      </c>
    </row>
    <row r="290" spans="1:12" x14ac:dyDescent="0.3">
      <c r="A290" t="s">
        <v>438</v>
      </c>
      <c r="B290" s="1">
        <v>45086</v>
      </c>
      <c r="C290" t="s">
        <v>105</v>
      </c>
      <c r="D290" t="s">
        <v>106</v>
      </c>
      <c r="E290" t="s">
        <v>81</v>
      </c>
      <c r="F290" t="s">
        <v>117</v>
      </c>
      <c r="G290" t="s">
        <v>39</v>
      </c>
      <c r="H290" t="s">
        <v>102</v>
      </c>
      <c r="I290">
        <v>1</v>
      </c>
      <c r="J290">
        <v>21700</v>
      </c>
      <c r="K290">
        <v>15</v>
      </c>
      <c r="L290" t="s">
        <v>62</v>
      </c>
    </row>
    <row r="291" spans="1:12" x14ac:dyDescent="0.3">
      <c r="A291" t="s">
        <v>439</v>
      </c>
      <c r="B291" s="1">
        <v>45086</v>
      </c>
      <c r="C291" t="s">
        <v>29</v>
      </c>
      <c r="D291" t="s">
        <v>30</v>
      </c>
      <c r="E291" t="s">
        <v>23</v>
      </c>
      <c r="F291" t="s">
        <v>24</v>
      </c>
      <c r="G291" t="s">
        <v>45</v>
      </c>
      <c r="H291" t="s">
        <v>156</v>
      </c>
      <c r="I291">
        <v>2</v>
      </c>
      <c r="J291">
        <v>38600</v>
      </c>
      <c r="K291">
        <v>10</v>
      </c>
      <c r="L291" t="s">
        <v>19</v>
      </c>
    </row>
    <row r="292" spans="1:12" x14ac:dyDescent="0.3">
      <c r="A292" t="s">
        <v>440</v>
      </c>
      <c r="B292" s="1">
        <v>45086</v>
      </c>
      <c r="C292" t="s">
        <v>90</v>
      </c>
      <c r="D292" t="s">
        <v>91</v>
      </c>
      <c r="E292" t="s">
        <v>15</v>
      </c>
      <c r="F292" t="s">
        <v>131</v>
      </c>
      <c r="G292" t="s">
        <v>39</v>
      </c>
      <c r="H292" t="s">
        <v>68</v>
      </c>
      <c r="I292">
        <v>1</v>
      </c>
      <c r="J292">
        <v>15800</v>
      </c>
      <c r="K292">
        <v>0</v>
      </c>
      <c r="L292" t="s">
        <v>19</v>
      </c>
    </row>
    <row r="293" spans="1:12" x14ac:dyDescent="0.3">
      <c r="A293" t="s">
        <v>441</v>
      </c>
      <c r="B293" s="1">
        <v>45116</v>
      </c>
      <c r="C293" t="s">
        <v>236</v>
      </c>
      <c r="D293" t="s">
        <v>237</v>
      </c>
      <c r="E293" t="s">
        <v>37</v>
      </c>
      <c r="F293" t="s">
        <v>101</v>
      </c>
      <c r="G293" t="s">
        <v>17</v>
      </c>
      <c r="H293" t="s">
        <v>18</v>
      </c>
      <c r="I293">
        <v>1</v>
      </c>
      <c r="J293">
        <v>45400</v>
      </c>
      <c r="K293">
        <v>10</v>
      </c>
      <c r="L293" t="s">
        <v>73</v>
      </c>
    </row>
    <row r="294" spans="1:12" x14ac:dyDescent="0.3">
      <c r="A294" t="s">
        <v>442</v>
      </c>
      <c r="B294" s="1">
        <v>45116</v>
      </c>
      <c r="C294" t="s">
        <v>151</v>
      </c>
      <c r="D294" t="s">
        <v>152</v>
      </c>
      <c r="E294" t="s">
        <v>15</v>
      </c>
      <c r="F294" t="s">
        <v>119</v>
      </c>
      <c r="G294" t="s">
        <v>45</v>
      </c>
      <c r="H294" t="s">
        <v>52</v>
      </c>
      <c r="I294">
        <v>1</v>
      </c>
      <c r="J294">
        <v>23200</v>
      </c>
      <c r="K294">
        <v>25</v>
      </c>
      <c r="L294" t="s">
        <v>27</v>
      </c>
    </row>
    <row r="295" spans="1:12" x14ac:dyDescent="0.3">
      <c r="A295" t="s">
        <v>443</v>
      </c>
      <c r="B295" s="1">
        <v>45116</v>
      </c>
      <c r="C295" t="s">
        <v>151</v>
      </c>
      <c r="D295" t="s">
        <v>152</v>
      </c>
      <c r="E295" t="s">
        <v>23</v>
      </c>
      <c r="F295" t="s">
        <v>44</v>
      </c>
      <c r="G295" t="s">
        <v>17</v>
      </c>
      <c r="H295" t="s">
        <v>77</v>
      </c>
      <c r="I295">
        <v>1</v>
      </c>
      <c r="J295">
        <v>40700</v>
      </c>
      <c r="K295">
        <v>10</v>
      </c>
      <c r="L295" t="s">
        <v>19</v>
      </c>
    </row>
    <row r="296" spans="1:12" x14ac:dyDescent="0.3">
      <c r="A296" t="s">
        <v>444</v>
      </c>
      <c r="B296" s="1">
        <v>45116</v>
      </c>
      <c r="C296" t="s">
        <v>55</v>
      </c>
      <c r="D296" t="s">
        <v>56</v>
      </c>
      <c r="E296" t="s">
        <v>37</v>
      </c>
      <c r="F296" t="s">
        <v>141</v>
      </c>
      <c r="G296" t="s">
        <v>97</v>
      </c>
      <c r="H296" t="s">
        <v>98</v>
      </c>
      <c r="I296">
        <v>2</v>
      </c>
      <c r="J296">
        <v>48300</v>
      </c>
      <c r="K296">
        <v>15</v>
      </c>
      <c r="L296" t="s">
        <v>47</v>
      </c>
    </row>
    <row r="297" spans="1:12" x14ac:dyDescent="0.3">
      <c r="A297" t="s">
        <v>445</v>
      </c>
      <c r="B297" s="1">
        <v>45116</v>
      </c>
      <c r="C297" t="s">
        <v>112</v>
      </c>
      <c r="D297" t="s">
        <v>113</v>
      </c>
      <c r="E297" t="s">
        <v>81</v>
      </c>
      <c r="F297" t="s">
        <v>160</v>
      </c>
      <c r="G297" t="s">
        <v>39</v>
      </c>
      <c r="H297" t="s">
        <v>102</v>
      </c>
      <c r="I297">
        <v>1</v>
      </c>
      <c r="J297">
        <v>18300</v>
      </c>
      <c r="K297">
        <v>0</v>
      </c>
      <c r="L297" t="s">
        <v>62</v>
      </c>
    </row>
    <row r="298" spans="1:12" x14ac:dyDescent="0.3">
      <c r="A298" t="s">
        <v>446</v>
      </c>
      <c r="B298" s="1">
        <v>45116</v>
      </c>
      <c r="C298" t="s">
        <v>163</v>
      </c>
      <c r="D298" t="s">
        <v>73</v>
      </c>
      <c r="E298" t="s">
        <v>15</v>
      </c>
      <c r="F298" t="s">
        <v>131</v>
      </c>
      <c r="G298" t="s">
        <v>45</v>
      </c>
      <c r="H298" t="s">
        <v>46</v>
      </c>
      <c r="I298">
        <v>1</v>
      </c>
      <c r="J298">
        <v>27800</v>
      </c>
      <c r="K298">
        <v>15</v>
      </c>
      <c r="L298" t="s">
        <v>47</v>
      </c>
    </row>
    <row r="299" spans="1:12" x14ac:dyDescent="0.3">
      <c r="A299" t="s">
        <v>447</v>
      </c>
      <c r="B299" s="1">
        <v>45147</v>
      </c>
      <c r="C299" t="s">
        <v>188</v>
      </c>
      <c r="D299" t="s">
        <v>189</v>
      </c>
      <c r="E299" t="s">
        <v>81</v>
      </c>
      <c r="F299" t="s">
        <v>82</v>
      </c>
      <c r="G299" t="s">
        <v>97</v>
      </c>
      <c r="H299" t="s">
        <v>133</v>
      </c>
      <c r="I299">
        <v>1</v>
      </c>
      <c r="J299">
        <v>69200</v>
      </c>
      <c r="K299">
        <v>10</v>
      </c>
      <c r="L299" t="s">
        <v>53</v>
      </c>
    </row>
    <row r="300" spans="1:12" x14ac:dyDescent="0.3">
      <c r="A300" t="s">
        <v>448</v>
      </c>
      <c r="B300" s="1">
        <v>45178</v>
      </c>
      <c r="C300" t="s">
        <v>112</v>
      </c>
      <c r="D300" t="s">
        <v>113</v>
      </c>
      <c r="E300" t="s">
        <v>37</v>
      </c>
      <c r="F300" t="s">
        <v>141</v>
      </c>
      <c r="G300" t="s">
        <v>17</v>
      </c>
      <c r="H300" t="s">
        <v>77</v>
      </c>
      <c r="I300">
        <v>1</v>
      </c>
      <c r="J300">
        <v>34700</v>
      </c>
      <c r="K300">
        <v>0</v>
      </c>
      <c r="L300" t="s">
        <v>27</v>
      </c>
    </row>
    <row r="301" spans="1:12" x14ac:dyDescent="0.3">
      <c r="A301" t="s">
        <v>449</v>
      </c>
      <c r="B301" s="1">
        <v>45178</v>
      </c>
      <c r="C301" t="s">
        <v>64</v>
      </c>
      <c r="D301" t="s">
        <v>65</v>
      </c>
      <c r="E301" t="s">
        <v>37</v>
      </c>
      <c r="F301" t="s">
        <v>141</v>
      </c>
      <c r="G301" t="s">
        <v>97</v>
      </c>
      <c r="H301" t="s">
        <v>171</v>
      </c>
      <c r="I301">
        <v>2</v>
      </c>
      <c r="J301">
        <v>58600</v>
      </c>
      <c r="K301">
        <v>0</v>
      </c>
      <c r="L301" t="s">
        <v>33</v>
      </c>
    </row>
    <row r="302" spans="1:12" x14ac:dyDescent="0.3">
      <c r="A302" t="s">
        <v>450</v>
      </c>
      <c r="B302" s="1">
        <v>45208</v>
      </c>
      <c r="C302" t="s">
        <v>126</v>
      </c>
      <c r="D302" t="s">
        <v>127</v>
      </c>
      <c r="E302" t="s">
        <v>81</v>
      </c>
      <c r="F302" t="s">
        <v>160</v>
      </c>
      <c r="G302" t="s">
        <v>25</v>
      </c>
      <c r="H302" t="s">
        <v>124</v>
      </c>
      <c r="I302">
        <v>2</v>
      </c>
      <c r="J302">
        <v>3000</v>
      </c>
      <c r="K302">
        <v>5</v>
      </c>
      <c r="L302" t="s">
        <v>33</v>
      </c>
    </row>
    <row r="303" spans="1:12" x14ac:dyDescent="0.3">
      <c r="A303" t="s">
        <v>451</v>
      </c>
      <c r="B303" s="1">
        <v>45208</v>
      </c>
      <c r="C303" t="s">
        <v>183</v>
      </c>
      <c r="D303" t="s">
        <v>27</v>
      </c>
      <c r="E303" t="s">
        <v>66</v>
      </c>
      <c r="F303" t="s">
        <v>67</v>
      </c>
      <c r="G303" t="s">
        <v>45</v>
      </c>
      <c r="H303" t="s">
        <v>207</v>
      </c>
      <c r="I303">
        <v>1</v>
      </c>
      <c r="J303">
        <v>38700</v>
      </c>
      <c r="K303">
        <v>5</v>
      </c>
      <c r="L303" t="s">
        <v>33</v>
      </c>
    </row>
    <row r="304" spans="1:12" x14ac:dyDescent="0.3">
      <c r="A304" t="s">
        <v>452</v>
      </c>
      <c r="B304" s="1">
        <v>45239</v>
      </c>
      <c r="C304" t="s">
        <v>122</v>
      </c>
      <c r="D304" t="s">
        <v>123</v>
      </c>
      <c r="E304" t="s">
        <v>66</v>
      </c>
      <c r="F304" t="s">
        <v>87</v>
      </c>
      <c r="G304" t="s">
        <v>17</v>
      </c>
      <c r="H304" t="s">
        <v>168</v>
      </c>
      <c r="I304">
        <v>1</v>
      </c>
      <c r="J304">
        <v>46000</v>
      </c>
      <c r="K304">
        <v>20</v>
      </c>
      <c r="L304" t="s">
        <v>33</v>
      </c>
    </row>
    <row r="305" spans="1:12" x14ac:dyDescent="0.3">
      <c r="A305" t="s">
        <v>453</v>
      </c>
      <c r="B305" s="1">
        <v>45239</v>
      </c>
      <c r="C305" t="s">
        <v>84</v>
      </c>
      <c r="D305" t="s">
        <v>85</v>
      </c>
      <c r="E305" t="s">
        <v>37</v>
      </c>
      <c r="F305" t="s">
        <v>101</v>
      </c>
      <c r="G305" t="s">
        <v>97</v>
      </c>
      <c r="H305" t="s">
        <v>174</v>
      </c>
      <c r="I305">
        <v>2</v>
      </c>
      <c r="J305">
        <v>45500</v>
      </c>
      <c r="K305">
        <v>15</v>
      </c>
      <c r="L305" t="s">
        <v>33</v>
      </c>
    </row>
    <row r="306" spans="1:12" x14ac:dyDescent="0.3">
      <c r="A306" t="s">
        <v>454</v>
      </c>
      <c r="B306" s="1">
        <v>45239</v>
      </c>
      <c r="C306" t="s">
        <v>21</v>
      </c>
      <c r="D306" t="s">
        <v>22</v>
      </c>
      <c r="E306" t="s">
        <v>66</v>
      </c>
      <c r="F306" t="s">
        <v>67</v>
      </c>
      <c r="G306" t="s">
        <v>45</v>
      </c>
      <c r="H306" t="s">
        <v>52</v>
      </c>
      <c r="I306">
        <v>1</v>
      </c>
      <c r="J306">
        <v>39500</v>
      </c>
      <c r="K306">
        <v>15</v>
      </c>
      <c r="L306" t="s">
        <v>62</v>
      </c>
    </row>
    <row r="307" spans="1:12" x14ac:dyDescent="0.3">
      <c r="A307" t="s">
        <v>455</v>
      </c>
      <c r="B307" s="1">
        <v>45239</v>
      </c>
      <c r="C307" t="s">
        <v>203</v>
      </c>
      <c r="D307" t="s">
        <v>204</v>
      </c>
      <c r="E307" t="s">
        <v>66</v>
      </c>
      <c r="F307" t="s">
        <v>92</v>
      </c>
      <c r="G307" t="s">
        <v>39</v>
      </c>
      <c r="H307" t="s">
        <v>102</v>
      </c>
      <c r="I307">
        <v>1</v>
      </c>
      <c r="J307">
        <v>23700</v>
      </c>
      <c r="K307">
        <v>0</v>
      </c>
      <c r="L307" t="s">
        <v>73</v>
      </c>
    </row>
    <row r="308" spans="1:12" x14ac:dyDescent="0.3">
      <c r="A308" t="s">
        <v>456</v>
      </c>
      <c r="B308" s="1">
        <v>45239</v>
      </c>
      <c r="C308" t="s">
        <v>90</v>
      </c>
      <c r="D308" t="s">
        <v>91</v>
      </c>
      <c r="E308" t="s">
        <v>66</v>
      </c>
      <c r="F308" t="s">
        <v>87</v>
      </c>
      <c r="G308" t="s">
        <v>25</v>
      </c>
      <c r="H308" t="s">
        <v>108</v>
      </c>
      <c r="I308">
        <v>1</v>
      </c>
      <c r="J308">
        <v>1400</v>
      </c>
      <c r="K308">
        <v>0</v>
      </c>
      <c r="L308" t="s">
        <v>73</v>
      </c>
    </row>
    <row r="309" spans="1:12" x14ac:dyDescent="0.3">
      <c r="A309" t="s">
        <v>457</v>
      </c>
      <c r="B309" s="1">
        <v>45239</v>
      </c>
      <c r="C309" t="s">
        <v>59</v>
      </c>
      <c r="D309" t="s">
        <v>60</v>
      </c>
      <c r="E309" t="s">
        <v>37</v>
      </c>
      <c r="F309" t="s">
        <v>141</v>
      </c>
      <c r="G309" t="s">
        <v>45</v>
      </c>
      <c r="H309" t="s">
        <v>46</v>
      </c>
      <c r="I309">
        <v>1</v>
      </c>
      <c r="J309">
        <v>35900</v>
      </c>
      <c r="K309">
        <v>0</v>
      </c>
      <c r="L309" t="s">
        <v>73</v>
      </c>
    </row>
    <row r="310" spans="1:12" x14ac:dyDescent="0.3">
      <c r="A310" t="s">
        <v>458</v>
      </c>
      <c r="B310" s="1">
        <v>44936</v>
      </c>
      <c r="C310" t="s">
        <v>176</v>
      </c>
      <c r="D310" t="s">
        <v>177</v>
      </c>
      <c r="E310" t="s">
        <v>66</v>
      </c>
      <c r="F310" t="s">
        <v>72</v>
      </c>
      <c r="G310" t="s">
        <v>97</v>
      </c>
      <c r="H310" t="s">
        <v>171</v>
      </c>
      <c r="I310">
        <v>1</v>
      </c>
      <c r="J310">
        <v>49000</v>
      </c>
      <c r="K310">
        <v>0</v>
      </c>
      <c r="L310" t="s">
        <v>103</v>
      </c>
    </row>
    <row r="311" spans="1:12" x14ac:dyDescent="0.3">
      <c r="A311" t="s">
        <v>459</v>
      </c>
      <c r="B311" s="1">
        <v>44936</v>
      </c>
      <c r="C311" t="s">
        <v>75</v>
      </c>
      <c r="D311" t="s">
        <v>76</v>
      </c>
      <c r="E311" t="s">
        <v>23</v>
      </c>
      <c r="F311" t="s">
        <v>51</v>
      </c>
      <c r="G311" t="s">
        <v>17</v>
      </c>
      <c r="H311" t="s">
        <v>168</v>
      </c>
      <c r="I311">
        <v>1</v>
      </c>
      <c r="J311">
        <v>15000</v>
      </c>
      <c r="K311">
        <v>5</v>
      </c>
      <c r="L311" t="s">
        <v>19</v>
      </c>
    </row>
    <row r="312" spans="1:12" x14ac:dyDescent="0.3">
      <c r="A312" t="s">
        <v>460</v>
      </c>
      <c r="B312" s="1">
        <v>44967</v>
      </c>
      <c r="C312" t="s">
        <v>35</v>
      </c>
      <c r="D312" t="s">
        <v>36</v>
      </c>
      <c r="E312" t="s">
        <v>15</v>
      </c>
      <c r="F312" t="s">
        <v>131</v>
      </c>
      <c r="G312" t="s">
        <v>25</v>
      </c>
      <c r="H312" t="s">
        <v>212</v>
      </c>
      <c r="I312">
        <v>2</v>
      </c>
      <c r="J312">
        <v>900</v>
      </c>
      <c r="K312">
        <v>25</v>
      </c>
      <c r="L312" t="s">
        <v>47</v>
      </c>
    </row>
    <row r="313" spans="1:12" x14ac:dyDescent="0.3">
      <c r="A313" t="s">
        <v>461</v>
      </c>
      <c r="B313" s="1">
        <v>44967</v>
      </c>
      <c r="C313" t="s">
        <v>29</v>
      </c>
      <c r="D313" t="s">
        <v>30</v>
      </c>
      <c r="E313" t="s">
        <v>15</v>
      </c>
      <c r="F313" t="s">
        <v>16</v>
      </c>
      <c r="G313" t="s">
        <v>39</v>
      </c>
      <c r="H313" t="s">
        <v>40</v>
      </c>
      <c r="I313">
        <v>1</v>
      </c>
      <c r="J313">
        <v>10500</v>
      </c>
      <c r="K313">
        <v>25</v>
      </c>
      <c r="L313" t="s">
        <v>19</v>
      </c>
    </row>
    <row r="314" spans="1:12" x14ac:dyDescent="0.3">
      <c r="A314" t="s">
        <v>462</v>
      </c>
      <c r="B314" s="1">
        <v>45026</v>
      </c>
      <c r="C314" t="s">
        <v>79</v>
      </c>
      <c r="D314" t="s">
        <v>80</v>
      </c>
      <c r="E314" t="s">
        <v>66</v>
      </c>
      <c r="F314" t="s">
        <v>92</v>
      </c>
      <c r="G314" t="s">
        <v>39</v>
      </c>
      <c r="H314" t="s">
        <v>102</v>
      </c>
      <c r="I314">
        <v>1</v>
      </c>
      <c r="J314">
        <v>29800</v>
      </c>
      <c r="K314">
        <v>10</v>
      </c>
      <c r="L314" t="s">
        <v>62</v>
      </c>
    </row>
    <row r="315" spans="1:12" x14ac:dyDescent="0.3">
      <c r="A315" t="s">
        <v>463</v>
      </c>
      <c r="B315" s="1">
        <v>45026</v>
      </c>
      <c r="C315" t="s">
        <v>13</v>
      </c>
      <c r="D315" t="s">
        <v>14</v>
      </c>
      <c r="E315" t="s">
        <v>81</v>
      </c>
      <c r="F315" t="s">
        <v>110</v>
      </c>
      <c r="G315" t="s">
        <v>17</v>
      </c>
      <c r="H315" t="s">
        <v>88</v>
      </c>
      <c r="I315">
        <v>1</v>
      </c>
      <c r="J315">
        <v>41400</v>
      </c>
      <c r="K315">
        <v>0</v>
      </c>
      <c r="L315" t="s">
        <v>19</v>
      </c>
    </row>
    <row r="316" spans="1:12" x14ac:dyDescent="0.3">
      <c r="A316" t="s">
        <v>464</v>
      </c>
      <c r="B316" s="1">
        <v>45087</v>
      </c>
      <c r="C316" t="s">
        <v>126</v>
      </c>
      <c r="D316" t="s">
        <v>127</v>
      </c>
      <c r="E316" t="s">
        <v>66</v>
      </c>
      <c r="F316" t="s">
        <v>67</v>
      </c>
      <c r="G316" t="s">
        <v>25</v>
      </c>
      <c r="H316" t="s">
        <v>108</v>
      </c>
      <c r="I316">
        <v>3</v>
      </c>
      <c r="J316">
        <v>1900</v>
      </c>
      <c r="K316">
        <v>5</v>
      </c>
      <c r="L316" t="s">
        <v>103</v>
      </c>
    </row>
    <row r="317" spans="1:12" x14ac:dyDescent="0.3">
      <c r="A317" t="s">
        <v>465</v>
      </c>
      <c r="B317" s="1">
        <v>45087</v>
      </c>
      <c r="C317" t="s">
        <v>130</v>
      </c>
      <c r="D317" t="s">
        <v>53</v>
      </c>
      <c r="E317" t="s">
        <v>15</v>
      </c>
      <c r="F317" t="s">
        <v>16</v>
      </c>
      <c r="G317" t="s">
        <v>97</v>
      </c>
      <c r="H317" t="s">
        <v>133</v>
      </c>
      <c r="I317">
        <v>1</v>
      </c>
      <c r="J317">
        <v>55100</v>
      </c>
      <c r="K317">
        <v>10</v>
      </c>
      <c r="L317" t="s">
        <v>27</v>
      </c>
    </row>
    <row r="318" spans="1:12" x14ac:dyDescent="0.3">
      <c r="A318" t="s">
        <v>466</v>
      </c>
      <c r="B318" s="1">
        <v>45087</v>
      </c>
      <c r="C318" t="s">
        <v>115</v>
      </c>
      <c r="D318" t="s">
        <v>116</v>
      </c>
      <c r="E318" t="s">
        <v>23</v>
      </c>
      <c r="F318" t="s">
        <v>51</v>
      </c>
      <c r="G318" t="s">
        <v>25</v>
      </c>
      <c r="H318" t="s">
        <v>124</v>
      </c>
      <c r="I318">
        <v>3</v>
      </c>
      <c r="J318">
        <v>800</v>
      </c>
      <c r="K318">
        <v>10</v>
      </c>
      <c r="L318" t="s">
        <v>47</v>
      </c>
    </row>
    <row r="319" spans="1:12" x14ac:dyDescent="0.3">
      <c r="A319" t="s">
        <v>467</v>
      </c>
      <c r="B319" s="1">
        <v>45087</v>
      </c>
      <c r="C319" t="s">
        <v>151</v>
      </c>
      <c r="D319" t="s">
        <v>152</v>
      </c>
      <c r="E319" t="s">
        <v>37</v>
      </c>
      <c r="F319" t="s">
        <v>141</v>
      </c>
      <c r="G319" t="s">
        <v>39</v>
      </c>
      <c r="H319" t="s">
        <v>40</v>
      </c>
      <c r="I319">
        <v>1</v>
      </c>
      <c r="J319">
        <v>16400</v>
      </c>
      <c r="K319">
        <v>20</v>
      </c>
      <c r="L319" t="s">
        <v>47</v>
      </c>
    </row>
    <row r="320" spans="1:12" x14ac:dyDescent="0.3">
      <c r="A320" t="s">
        <v>468</v>
      </c>
      <c r="B320" s="1">
        <v>45087</v>
      </c>
      <c r="C320" t="s">
        <v>42</v>
      </c>
      <c r="D320" t="s">
        <v>43</v>
      </c>
      <c r="E320" t="s">
        <v>66</v>
      </c>
      <c r="F320" t="s">
        <v>87</v>
      </c>
      <c r="G320" t="s">
        <v>25</v>
      </c>
      <c r="H320" t="s">
        <v>32</v>
      </c>
      <c r="I320">
        <v>2</v>
      </c>
      <c r="J320">
        <v>1200</v>
      </c>
      <c r="K320">
        <v>10</v>
      </c>
      <c r="L320" t="s">
        <v>73</v>
      </c>
    </row>
    <row r="321" spans="1:12" x14ac:dyDescent="0.3">
      <c r="A321" t="s">
        <v>469</v>
      </c>
      <c r="B321" s="1">
        <v>45087</v>
      </c>
      <c r="C321" t="s">
        <v>55</v>
      </c>
      <c r="D321" t="s">
        <v>56</v>
      </c>
      <c r="E321" t="s">
        <v>66</v>
      </c>
      <c r="F321" t="s">
        <v>67</v>
      </c>
      <c r="G321" t="s">
        <v>39</v>
      </c>
      <c r="H321" t="s">
        <v>102</v>
      </c>
      <c r="I321">
        <v>1</v>
      </c>
      <c r="J321">
        <v>20800</v>
      </c>
      <c r="K321">
        <v>15</v>
      </c>
      <c r="L321" t="s">
        <v>103</v>
      </c>
    </row>
    <row r="322" spans="1:12" x14ac:dyDescent="0.3">
      <c r="A322" t="s">
        <v>470</v>
      </c>
      <c r="B322" s="1">
        <v>45087</v>
      </c>
      <c r="C322" t="s">
        <v>203</v>
      </c>
      <c r="D322" t="s">
        <v>204</v>
      </c>
      <c r="E322" t="s">
        <v>66</v>
      </c>
      <c r="F322" t="s">
        <v>92</v>
      </c>
      <c r="G322" t="s">
        <v>45</v>
      </c>
      <c r="H322" t="s">
        <v>52</v>
      </c>
      <c r="I322">
        <v>1</v>
      </c>
      <c r="J322">
        <v>35200</v>
      </c>
      <c r="K322">
        <v>0</v>
      </c>
      <c r="L322" t="s">
        <v>19</v>
      </c>
    </row>
    <row r="323" spans="1:12" x14ac:dyDescent="0.3">
      <c r="A323" t="s">
        <v>471</v>
      </c>
      <c r="B323" s="1">
        <v>45117</v>
      </c>
      <c r="C323" t="s">
        <v>115</v>
      </c>
      <c r="D323" t="s">
        <v>116</v>
      </c>
      <c r="E323" t="s">
        <v>37</v>
      </c>
      <c r="F323" t="s">
        <v>101</v>
      </c>
      <c r="G323" t="s">
        <v>25</v>
      </c>
      <c r="H323" t="s">
        <v>124</v>
      </c>
      <c r="I323">
        <v>2</v>
      </c>
      <c r="J323">
        <v>900</v>
      </c>
      <c r="K323">
        <v>5</v>
      </c>
      <c r="L323" t="s">
        <v>19</v>
      </c>
    </row>
    <row r="324" spans="1:12" x14ac:dyDescent="0.3">
      <c r="A324" t="s">
        <v>472</v>
      </c>
      <c r="B324" s="1">
        <v>45117</v>
      </c>
      <c r="C324" t="s">
        <v>13</v>
      </c>
      <c r="D324" t="s">
        <v>14</v>
      </c>
      <c r="E324" t="s">
        <v>66</v>
      </c>
      <c r="F324" t="s">
        <v>92</v>
      </c>
      <c r="G324" t="s">
        <v>17</v>
      </c>
      <c r="H324" t="s">
        <v>18</v>
      </c>
      <c r="I324">
        <v>1</v>
      </c>
      <c r="J324">
        <v>60000</v>
      </c>
      <c r="K324">
        <v>5</v>
      </c>
      <c r="L324" t="s">
        <v>19</v>
      </c>
    </row>
    <row r="325" spans="1:12" x14ac:dyDescent="0.3">
      <c r="A325" t="s">
        <v>473</v>
      </c>
      <c r="B325" s="1">
        <v>45117</v>
      </c>
      <c r="C325" t="s">
        <v>64</v>
      </c>
      <c r="D325" t="s">
        <v>65</v>
      </c>
      <c r="E325" t="s">
        <v>81</v>
      </c>
      <c r="F325" t="s">
        <v>160</v>
      </c>
      <c r="G325" t="s">
        <v>25</v>
      </c>
      <c r="H325" t="s">
        <v>26</v>
      </c>
      <c r="I325">
        <v>2</v>
      </c>
      <c r="J325">
        <v>2200</v>
      </c>
      <c r="K325">
        <v>15</v>
      </c>
      <c r="L325" t="s">
        <v>19</v>
      </c>
    </row>
    <row r="326" spans="1:12" x14ac:dyDescent="0.3">
      <c r="A326" t="s">
        <v>474</v>
      </c>
      <c r="B326" s="1">
        <v>45117</v>
      </c>
      <c r="C326" t="s">
        <v>64</v>
      </c>
      <c r="D326" t="s">
        <v>65</v>
      </c>
      <c r="E326" t="s">
        <v>66</v>
      </c>
      <c r="F326" t="s">
        <v>67</v>
      </c>
      <c r="G326" t="s">
        <v>45</v>
      </c>
      <c r="H326" t="s">
        <v>207</v>
      </c>
      <c r="I326">
        <v>1</v>
      </c>
      <c r="J326">
        <v>34300</v>
      </c>
      <c r="K326">
        <v>0</v>
      </c>
      <c r="L326" t="s">
        <v>47</v>
      </c>
    </row>
    <row r="327" spans="1:12" x14ac:dyDescent="0.3">
      <c r="A327" t="s">
        <v>475</v>
      </c>
      <c r="B327" s="1">
        <v>45148</v>
      </c>
      <c r="C327" t="s">
        <v>143</v>
      </c>
      <c r="D327" t="s">
        <v>144</v>
      </c>
      <c r="E327" t="s">
        <v>37</v>
      </c>
      <c r="F327" t="s">
        <v>141</v>
      </c>
      <c r="G327" t="s">
        <v>97</v>
      </c>
      <c r="H327" t="s">
        <v>154</v>
      </c>
      <c r="I327">
        <v>1</v>
      </c>
      <c r="J327">
        <v>54400</v>
      </c>
      <c r="K327">
        <v>5</v>
      </c>
      <c r="L327" t="s">
        <v>19</v>
      </c>
    </row>
    <row r="328" spans="1:12" x14ac:dyDescent="0.3">
      <c r="A328" t="s">
        <v>476</v>
      </c>
      <c r="B328" s="1">
        <v>45148</v>
      </c>
      <c r="C328" t="s">
        <v>183</v>
      </c>
      <c r="D328" t="s">
        <v>27</v>
      </c>
      <c r="E328" t="s">
        <v>15</v>
      </c>
      <c r="F328" t="s">
        <v>16</v>
      </c>
      <c r="G328" t="s">
        <v>45</v>
      </c>
      <c r="H328" t="s">
        <v>52</v>
      </c>
      <c r="I328">
        <v>1</v>
      </c>
      <c r="J328">
        <v>20000</v>
      </c>
      <c r="K328">
        <v>5</v>
      </c>
      <c r="L328" t="s">
        <v>47</v>
      </c>
    </row>
    <row r="329" spans="1:12" x14ac:dyDescent="0.3">
      <c r="A329" t="s">
        <v>477</v>
      </c>
      <c r="B329" s="1">
        <v>45209</v>
      </c>
      <c r="C329" t="s">
        <v>75</v>
      </c>
      <c r="D329" t="s">
        <v>76</v>
      </c>
      <c r="E329" t="s">
        <v>23</v>
      </c>
      <c r="F329" t="s">
        <v>51</v>
      </c>
      <c r="G329" t="s">
        <v>39</v>
      </c>
      <c r="H329" t="s">
        <v>102</v>
      </c>
      <c r="I329">
        <v>1</v>
      </c>
      <c r="J329">
        <v>15300</v>
      </c>
      <c r="K329">
        <v>5</v>
      </c>
      <c r="L329" t="s">
        <v>33</v>
      </c>
    </row>
    <row r="330" spans="1:12" x14ac:dyDescent="0.3">
      <c r="A330" t="s">
        <v>478</v>
      </c>
      <c r="B330" s="1">
        <v>45209</v>
      </c>
      <c r="C330" t="s">
        <v>115</v>
      </c>
      <c r="D330" t="s">
        <v>116</v>
      </c>
      <c r="E330" t="s">
        <v>23</v>
      </c>
      <c r="F330" t="s">
        <v>24</v>
      </c>
      <c r="G330" t="s">
        <v>39</v>
      </c>
      <c r="H330" t="s">
        <v>102</v>
      </c>
      <c r="I330">
        <v>1</v>
      </c>
      <c r="J330">
        <v>20100</v>
      </c>
      <c r="K330">
        <v>20</v>
      </c>
      <c r="L330" t="s">
        <v>27</v>
      </c>
    </row>
    <row r="331" spans="1:12" x14ac:dyDescent="0.3">
      <c r="A331" t="s">
        <v>479</v>
      </c>
      <c r="B331" s="1">
        <v>45209</v>
      </c>
      <c r="C331" t="s">
        <v>90</v>
      </c>
      <c r="D331" t="s">
        <v>91</v>
      </c>
      <c r="E331" t="s">
        <v>37</v>
      </c>
      <c r="F331" t="s">
        <v>61</v>
      </c>
      <c r="G331" t="s">
        <v>39</v>
      </c>
      <c r="H331" t="s">
        <v>68</v>
      </c>
      <c r="I331">
        <v>1</v>
      </c>
      <c r="J331">
        <v>20600</v>
      </c>
      <c r="K331">
        <v>15</v>
      </c>
      <c r="L331" t="s">
        <v>27</v>
      </c>
    </row>
    <row r="332" spans="1:12" x14ac:dyDescent="0.3">
      <c r="A332" t="s">
        <v>480</v>
      </c>
      <c r="B332" s="1">
        <v>45209</v>
      </c>
      <c r="C332" t="s">
        <v>64</v>
      </c>
      <c r="D332" t="s">
        <v>65</v>
      </c>
      <c r="E332" t="s">
        <v>15</v>
      </c>
      <c r="F332" t="s">
        <v>128</v>
      </c>
      <c r="G332" t="s">
        <v>17</v>
      </c>
      <c r="H332" t="s">
        <v>77</v>
      </c>
      <c r="I332">
        <v>1</v>
      </c>
      <c r="J332">
        <v>39900</v>
      </c>
      <c r="K332">
        <v>20</v>
      </c>
      <c r="L332" t="s">
        <v>19</v>
      </c>
    </row>
    <row r="333" spans="1:12" x14ac:dyDescent="0.3">
      <c r="A333" t="s">
        <v>481</v>
      </c>
      <c r="B333" s="1">
        <v>45240</v>
      </c>
      <c r="C333" t="s">
        <v>244</v>
      </c>
      <c r="D333" t="s">
        <v>245</v>
      </c>
      <c r="E333" t="s">
        <v>23</v>
      </c>
      <c r="F333" t="s">
        <v>31</v>
      </c>
      <c r="G333" t="s">
        <v>45</v>
      </c>
      <c r="H333" t="s">
        <v>156</v>
      </c>
      <c r="I333">
        <v>1</v>
      </c>
      <c r="J333">
        <v>32800</v>
      </c>
      <c r="K333">
        <v>0</v>
      </c>
      <c r="L333" t="s">
        <v>33</v>
      </c>
    </row>
    <row r="334" spans="1:12" x14ac:dyDescent="0.3">
      <c r="A334" t="s">
        <v>482</v>
      </c>
      <c r="B334" s="1">
        <v>45240</v>
      </c>
      <c r="C334" t="s">
        <v>84</v>
      </c>
      <c r="D334" t="s">
        <v>85</v>
      </c>
      <c r="E334" t="s">
        <v>23</v>
      </c>
      <c r="F334" t="s">
        <v>24</v>
      </c>
      <c r="G334" t="s">
        <v>39</v>
      </c>
      <c r="H334" t="s">
        <v>102</v>
      </c>
      <c r="I334">
        <v>1</v>
      </c>
      <c r="J334">
        <v>25000</v>
      </c>
      <c r="K334">
        <v>15</v>
      </c>
      <c r="L334" t="s">
        <v>47</v>
      </c>
    </row>
    <row r="335" spans="1:12" x14ac:dyDescent="0.3">
      <c r="A335" t="s">
        <v>483</v>
      </c>
      <c r="B335" s="1">
        <v>45270</v>
      </c>
      <c r="C335" t="s">
        <v>183</v>
      </c>
      <c r="D335" t="s">
        <v>27</v>
      </c>
      <c r="E335" t="s">
        <v>15</v>
      </c>
      <c r="F335" t="s">
        <v>119</v>
      </c>
      <c r="G335" t="s">
        <v>39</v>
      </c>
      <c r="H335" t="s">
        <v>57</v>
      </c>
      <c r="I335">
        <v>2</v>
      </c>
      <c r="J335">
        <v>10300</v>
      </c>
      <c r="K335">
        <v>10</v>
      </c>
      <c r="L335" t="s">
        <v>73</v>
      </c>
    </row>
    <row r="336" spans="1:12" x14ac:dyDescent="0.3">
      <c r="A336" t="s">
        <v>484</v>
      </c>
      <c r="B336" s="1">
        <v>45270</v>
      </c>
      <c r="C336" t="s">
        <v>143</v>
      </c>
      <c r="D336" t="s">
        <v>144</v>
      </c>
      <c r="E336" t="s">
        <v>81</v>
      </c>
      <c r="F336" t="s">
        <v>110</v>
      </c>
      <c r="G336" t="s">
        <v>39</v>
      </c>
      <c r="H336" t="s">
        <v>68</v>
      </c>
      <c r="I336">
        <v>1</v>
      </c>
      <c r="J336">
        <v>18000</v>
      </c>
      <c r="K336">
        <v>0</v>
      </c>
      <c r="L336" t="s">
        <v>33</v>
      </c>
    </row>
    <row r="337" spans="1:12" x14ac:dyDescent="0.3">
      <c r="A337" t="s">
        <v>485</v>
      </c>
      <c r="B337" s="1">
        <v>44937</v>
      </c>
      <c r="C337" t="s">
        <v>79</v>
      </c>
      <c r="D337" t="s">
        <v>80</v>
      </c>
      <c r="E337" t="s">
        <v>66</v>
      </c>
      <c r="F337" t="s">
        <v>87</v>
      </c>
      <c r="G337" t="s">
        <v>17</v>
      </c>
      <c r="H337" t="s">
        <v>168</v>
      </c>
      <c r="I337">
        <v>1</v>
      </c>
      <c r="J337">
        <v>27600</v>
      </c>
      <c r="K337">
        <v>25</v>
      </c>
      <c r="L337" t="s">
        <v>103</v>
      </c>
    </row>
    <row r="338" spans="1:12" x14ac:dyDescent="0.3">
      <c r="A338" t="s">
        <v>486</v>
      </c>
      <c r="B338" s="1">
        <v>44937</v>
      </c>
      <c r="C338" t="s">
        <v>185</v>
      </c>
      <c r="D338" t="s">
        <v>186</v>
      </c>
      <c r="E338" t="s">
        <v>81</v>
      </c>
      <c r="F338" t="s">
        <v>160</v>
      </c>
      <c r="G338" t="s">
        <v>97</v>
      </c>
      <c r="H338" t="s">
        <v>174</v>
      </c>
      <c r="I338">
        <v>1</v>
      </c>
      <c r="J338">
        <v>69200</v>
      </c>
      <c r="K338">
        <v>10</v>
      </c>
      <c r="L338" t="s">
        <v>27</v>
      </c>
    </row>
    <row r="339" spans="1:12" x14ac:dyDescent="0.3">
      <c r="A339" t="s">
        <v>487</v>
      </c>
      <c r="B339" s="1">
        <v>44937</v>
      </c>
      <c r="C339" t="s">
        <v>105</v>
      </c>
      <c r="D339" t="s">
        <v>106</v>
      </c>
      <c r="E339" t="s">
        <v>15</v>
      </c>
      <c r="F339" t="s">
        <v>16</v>
      </c>
      <c r="G339" t="s">
        <v>97</v>
      </c>
      <c r="H339" t="s">
        <v>133</v>
      </c>
      <c r="I339">
        <v>1</v>
      </c>
      <c r="J339">
        <v>45900</v>
      </c>
      <c r="K339">
        <v>10</v>
      </c>
      <c r="L339" t="s">
        <v>27</v>
      </c>
    </row>
    <row r="340" spans="1:12" x14ac:dyDescent="0.3">
      <c r="A340" t="s">
        <v>488</v>
      </c>
      <c r="B340" s="1">
        <v>44968</v>
      </c>
      <c r="C340" t="s">
        <v>75</v>
      </c>
      <c r="D340" t="s">
        <v>76</v>
      </c>
      <c r="E340" t="s">
        <v>15</v>
      </c>
      <c r="F340" t="s">
        <v>128</v>
      </c>
      <c r="G340" t="s">
        <v>45</v>
      </c>
      <c r="H340" t="s">
        <v>52</v>
      </c>
      <c r="I340">
        <v>2</v>
      </c>
      <c r="J340">
        <v>28900</v>
      </c>
      <c r="K340">
        <v>10</v>
      </c>
      <c r="L340" t="s">
        <v>19</v>
      </c>
    </row>
    <row r="341" spans="1:12" x14ac:dyDescent="0.3">
      <c r="A341" t="s">
        <v>489</v>
      </c>
      <c r="B341" s="1">
        <v>44968</v>
      </c>
      <c r="C341" t="s">
        <v>176</v>
      </c>
      <c r="D341" t="s">
        <v>177</v>
      </c>
      <c r="E341" t="s">
        <v>66</v>
      </c>
      <c r="F341" t="s">
        <v>92</v>
      </c>
      <c r="G341" t="s">
        <v>17</v>
      </c>
      <c r="H341" t="s">
        <v>196</v>
      </c>
      <c r="I341">
        <v>1</v>
      </c>
      <c r="J341">
        <v>30000</v>
      </c>
      <c r="K341">
        <v>20</v>
      </c>
      <c r="L341" t="s">
        <v>27</v>
      </c>
    </row>
    <row r="342" spans="1:12" x14ac:dyDescent="0.3">
      <c r="A342" t="s">
        <v>490</v>
      </c>
      <c r="B342" s="1">
        <v>44968</v>
      </c>
      <c r="C342" t="s">
        <v>165</v>
      </c>
      <c r="D342" t="s">
        <v>166</v>
      </c>
      <c r="E342" t="s">
        <v>66</v>
      </c>
      <c r="F342" t="s">
        <v>72</v>
      </c>
      <c r="G342" t="s">
        <v>25</v>
      </c>
      <c r="H342" t="s">
        <v>124</v>
      </c>
      <c r="I342">
        <v>2</v>
      </c>
      <c r="J342">
        <v>1300</v>
      </c>
      <c r="K342">
        <v>25</v>
      </c>
      <c r="L342" t="s">
        <v>53</v>
      </c>
    </row>
    <row r="343" spans="1:12" x14ac:dyDescent="0.3">
      <c r="A343" t="s">
        <v>491</v>
      </c>
      <c r="B343" s="1">
        <v>44996</v>
      </c>
      <c r="C343" t="s">
        <v>165</v>
      </c>
      <c r="D343" t="s">
        <v>166</v>
      </c>
      <c r="E343" t="s">
        <v>66</v>
      </c>
      <c r="F343" t="s">
        <v>92</v>
      </c>
      <c r="G343" t="s">
        <v>17</v>
      </c>
      <c r="H343" t="s">
        <v>168</v>
      </c>
      <c r="I343">
        <v>1</v>
      </c>
      <c r="J343">
        <v>25800</v>
      </c>
      <c r="K343">
        <v>10</v>
      </c>
      <c r="L343" t="s">
        <v>62</v>
      </c>
    </row>
    <row r="344" spans="1:12" x14ac:dyDescent="0.3">
      <c r="A344" t="s">
        <v>492</v>
      </c>
      <c r="B344" s="1">
        <v>45057</v>
      </c>
      <c r="C344" t="s">
        <v>188</v>
      </c>
      <c r="D344" t="s">
        <v>189</v>
      </c>
      <c r="E344" t="s">
        <v>66</v>
      </c>
      <c r="F344" t="s">
        <v>67</v>
      </c>
      <c r="G344" t="s">
        <v>25</v>
      </c>
      <c r="H344" t="s">
        <v>124</v>
      </c>
      <c r="I344">
        <v>2</v>
      </c>
      <c r="J344">
        <v>1000</v>
      </c>
      <c r="K344">
        <v>5</v>
      </c>
      <c r="L344" t="s">
        <v>53</v>
      </c>
    </row>
    <row r="345" spans="1:12" x14ac:dyDescent="0.3">
      <c r="A345" t="s">
        <v>493</v>
      </c>
      <c r="B345" s="1">
        <v>45057</v>
      </c>
      <c r="C345" t="s">
        <v>49</v>
      </c>
      <c r="D345" t="s">
        <v>50</v>
      </c>
      <c r="E345" t="s">
        <v>15</v>
      </c>
      <c r="F345" t="s">
        <v>128</v>
      </c>
      <c r="G345" t="s">
        <v>17</v>
      </c>
      <c r="H345" t="s">
        <v>88</v>
      </c>
      <c r="I345">
        <v>1</v>
      </c>
      <c r="J345">
        <v>49300</v>
      </c>
      <c r="K345">
        <v>10</v>
      </c>
      <c r="L345" t="s">
        <v>73</v>
      </c>
    </row>
    <row r="346" spans="1:12" x14ac:dyDescent="0.3">
      <c r="A346" t="s">
        <v>494</v>
      </c>
      <c r="B346" s="1">
        <v>45057</v>
      </c>
      <c r="C346" t="s">
        <v>163</v>
      </c>
      <c r="D346" t="s">
        <v>73</v>
      </c>
      <c r="E346" t="s">
        <v>23</v>
      </c>
      <c r="F346" t="s">
        <v>31</v>
      </c>
      <c r="G346" t="s">
        <v>45</v>
      </c>
      <c r="H346" t="s">
        <v>52</v>
      </c>
      <c r="I346">
        <v>1</v>
      </c>
      <c r="J346">
        <v>38100</v>
      </c>
      <c r="K346">
        <v>0</v>
      </c>
      <c r="L346" t="s">
        <v>53</v>
      </c>
    </row>
    <row r="347" spans="1:12" x14ac:dyDescent="0.3">
      <c r="A347" t="s">
        <v>495</v>
      </c>
      <c r="B347" s="1">
        <v>45088</v>
      </c>
      <c r="C347" t="s">
        <v>70</v>
      </c>
      <c r="D347" t="s">
        <v>71</v>
      </c>
      <c r="E347" t="s">
        <v>37</v>
      </c>
      <c r="F347" t="s">
        <v>101</v>
      </c>
      <c r="G347" t="s">
        <v>25</v>
      </c>
      <c r="H347" t="s">
        <v>124</v>
      </c>
      <c r="I347">
        <v>2</v>
      </c>
      <c r="J347">
        <v>900</v>
      </c>
      <c r="K347">
        <v>0</v>
      </c>
      <c r="L347" t="s">
        <v>103</v>
      </c>
    </row>
    <row r="348" spans="1:12" x14ac:dyDescent="0.3">
      <c r="A348" t="s">
        <v>496</v>
      </c>
      <c r="B348" s="1">
        <v>45118</v>
      </c>
      <c r="C348" t="s">
        <v>284</v>
      </c>
      <c r="D348" t="s">
        <v>285</v>
      </c>
      <c r="E348" t="s">
        <v>66</v>
      </c>
      <c r="F348" t="s">
        <v>72</v>
      </c>
      <c r="G348" t="s">
        <v>25</v>
      </c>
      <c r="H348" t="s">
        <v>212</v>
      </c>
      <c r="I348">
        <v>2</v>
      </c>
      <c r="J348">
        <v>2800</v>
      </c>
      <c r="K348">
        <v>0</v>
      </c>
      <c r="L348" t="s">
        <v>62</v>
      </c>
    </row>
    <row r="349" spans="1:12" x14ac:dyDescent="0.3">
      <c r="A349" t="s">
        <v>497</v>
      </c>
      <c r="B349" s="1">
        <v>45118</v>
      </c>
      <c r="C349" t="s">
        <v>64</v>
      </c>
      <c r="D349" t="s">
        <v>65</v>
      </c>
      <c r="E349" t="s">
        <v>15</v>
      </c>
      <c r="F349" t="s">
        <v>131</v>
      </c>
      <c r="G349" t="s">
        <v>45</v>
      </c>
      <c r="H349" t="s">
        <v>46</v>
      </c>
      <c r="I349">
        <v>1</v>
      </c>
      <c r="J349">
        <v>28700</v>
      </c>
      <c r="K349">
        <v>25</v>
      </c>
      <c r="L349" t="s">
        <v>62</v>
      </c>
    </row>
    <row r="350" spans="1:12" x14ac:dyDescent="0.3">
      <c r="A350" t="s">
        <v>498</v>
      </c>
      <c r="B350" s="1">
        <v>45118</v>
      </c>
      <c r="C350" t="s">
        <v>135</v>
      </c>
      <c r="D350" t="s">
        <v>136</v>
      </c>
      <c r="E350" t="s">
        <v>23</v>
      </c>
      <c r="F350" t="s">
        <v>51</v>
      </c>
      <c r="G350" t="s">
        <v>97</v>
      </c>
      <c r="H350" t="s">
        <v>133</v>
      </c>
      <c r="I350">
        <v>1</v>
      </c>
      <c r="J350">
        <v>59600</v>
      </c>
      <c r="K350">
        <v>20</v>
      </c>
      <c r="L350" t="s">
        <v>73</v>
      </c>
    </row>
    <row r="351" spans="1:12" x14ac:dyDescent="0.3">
      <c r="A351" t="s">
        <v>499</v>
      </c>
      <c r="B351" s="1">
        <v>45149</v>
      </c>
      <c r="C351" t="s">
        <v>183</v>
      </c>
      <c r="D351" t="s">
        <v>27</v>
      </c>
      <c r="E351" t="s">
        <v>81</v>
      </c>
      <c r="F351" t="s">
        <v>160</v>
      </c>
      <c r="G351" t="s">
        <v>39</v>
      </c>
      <c r="H351" t="s">
        <v>68</v>
      </c>
      <c r="I351">
        <v>1</v>
      </c>
      <c r="J351">
        <v>18700</v>
      </c>
      <c r="K351">
        <v>0</v>
      </c>
      <c r="L351" t="s">
        <v>103</v>
      </c>
    </row>
    <row r="352" spans="1:12" x14ac:dyDescent="0.3">
      <c r="A352" t="s">
        <v>500</v>
      </c>
      <c r="B352" s="1">
        <v>45149</v>
      </c>
      <c r="C352" t="s">
        <v>49</v>
      </c>
      <c r="D352" t="s">
        <v>50</v>
      </c>
      <c r="E352" t="s">
        <v>81</v>
      </c>
      <c r="F352" t="s">
        <v>82</v>
      </c>
      <c r="G352" t="s">
        <v>39</v>
      </c>
      <c r="H352" t="s">
        <v>102</v>
      </c>
      <c r="I352">
        <v>1</v>
      </c>
      <c r="J352">
        <v>19800</v>
      </c>
      <c r="K352">
        <v>5</v>
      </c>
      <c r="L352" t="s">
        <v>73</v>
      </c>
    </row>
    <row r="353" spans="1:12" x14ac:dyDescent="0.3">
      <c r="A353" t="s">
        <v>501</v>
      </c>
      <c r="B353" s="1">
        <v>45149</v>
      </c>
      <c r="C353" t="s">
        <v>165</v>
      </c>
      <c r="D353" t="s">
        <v>166</v>
      </c>
      <c r="E353" t="s">
        <v>15</v>
      </c>
      <c r="F353" t="s">
        <v>131</v>
      </c>
      <c r="G353" t="s">
        <v>97</v>
      </c>
      <c r="H353" t="s">
        <v>133</v>
      </c>
      <c r="I353">
        <v>1</v>
      </c>
      <c r="J353">
        <v>63300</v>
      </c>
      <c r="K353">
        <v>0</v>
      </c>
      <c r="L353" t="s">
        <v>62</v>
      </c>
    </row>
    <row r="354" spans="1:12" x14ac:dyDescent="0.3">
      <c r="A354" t="s">
        <v>502</v>
      </c>
      <c r="B354" s="1">
        <v>45149</v>
      </c>
      <c r="C354" t="s">
        <v>42</v>
      </c>
      <c r="D354" t="s">
        <v>43</v>
      </c>
      <c r="E354" t="s">
        <v>81</v>
      </c>
      <c r="F354" t="s">
        <v>82</v>
      </c>
      <c r="G354" t="s">
        <v>39</v>
      </c>
      <c r="H354" t="s">
        <v>102</v>
      </c>
      <c r="I354">
        <v>1</v>
      </c>
      <c r="J354">
        <v>33600</v>
      </c>
      <c r="K354">
        <v>25</v>
      </c>
      <c r="L354" t="s">
        <v>27</v>
      </c>
    </row>
    <row r="355" spans="1:12" x14ac:dyDescent="0.3">
      <c r="A355" t="s">
        <v>503</v>
      </c>
      <c r="B355" s="1">
        <v>45180</v>
      </c>
      <c r="C355" t="s">
        <v>180</v>
      </c>
      <c r="D355" t="s">
        <v>181</v>
      </c>
      <c r="E355" t="s">
        <v>23</v>
      </c>
      <c r="F355" t="s">
        <v>44</v>
      </c>
      <c r="G355" t="s">
        <v>45</v>
      </c>
      <c r="H355" t="s">
        <v>156</v>
      </c>
      <c r="I355">
        <v>1</v>
      </c>
      <c r="J355">
        <v>32400</v>
      </c>
      <c r="K355">
        <v>15</v>
      </c>
      <c r="L355" t="s">
        <v>19</v>
      </c>
    </row>
    <row r="356" spans="1:12" x14ac:dyDescent="0.3">
      <c r="A356" t="s">
        <v>504</v>
      </c>
      <c r="B356" s="1">
        <v>45180</v>
      </c>
      <c r="C356" t="s">
        <v>158</v>
      </c>
      <c r="D356" t="s">
        <v>159</v>
      </c>
      <c r="E356" t="s">
        <v>23</v>
      </c>
      <c r="F356" t="s">
        <v>51</v>
      </c>
      <c r="G356" t="s">
        <v>39</v>
      </c>
      <c r="H356" t="s">
        <v>40</v>
      </c>
      <c r="I356">
        <v>1</v>
      </c>
      <c r="J356">
        <v>21800</v>
      </c>
      <c r="K356">
        <v>0</v>
      </c>
      <c r="L356" t="s">
        <v>19</v>
      </c>
    </row>
    <row r="357" spans="1:12" x14ac:dyDescent="0.3">
      <c r="A357" t="s">
        <v>505</v>
      </c>
      <c r="B357" s="1">
        <v>45180</v>
      </c>
      <c r="C357" t="s">
        <v>95</v>
      </c>
      <c r="D357" t="s">
        <v>96</v>
      </c>
      <c r="E357" t="s">
        <v>37</v>
      </c>
      <c r="F357" t="s">
        <v>101</v>
      </c>
      <c r="G357" t="s">
        <v>25</v>
      </c>
      <c r="H357" t="s">
        <v>124</v>
      </c>
      <c r="I357">
        <v>2</v>
      </c>
      <c r="J357">
        <v>3000</v>
      </c>
      <c r="K357">
        <v>5</v>
      </c>
      <c r="L357" t="s">
        <v>47</v>
      </c>
    </row>
    <row r="358" spans="1:12" x14ac:dyDescent="0.3">
      <c r="A358" t="s">
        <v>506</v>
      </c>
      <c r="B358" s="1">
        <v>45180</v>
      </c>
      <c r="C358" t="s">
        <v>105</v>
      </c>
      <c r="D358" t="s">
        <v>106</v>
      </c>
      <c r="E358" t="s">
        <v>81</v>
      </c>
      <c r="F358" t="s">
        <v>160</v>
      </c>
      <c r="G358" t="s">
        <v>45</v>
      </c>
      <c r="H358" t="s">
        <v>52</v>
      </c>
      <c r="I358">
        <v>1</v>
      </c>
      <c r="J358">
        <v>35200</v>
      </c>
      <c r="K358">
        <v>20</v>
      </c>
      <c r="L358" t="s">
        <v>62</v>
      </c>
    </row>
    <row r="359" spans="1:12" x14ac:dyDescent="0.3">
      <c r="A359" t="s">
        <v>507</v>
      </c>
      <c r="B359" s="1">
        <v>45210</v>
      </c>
      <c r="C359" t="s">
        <v>105</v>
      </c>
      <c r="D359" t="s">
        <v>106</v>
      </c>
      <c r="E359" t="s">
        <v>81</v>
      </c>
      <c r="F359" t="s">
        <v>117</v>
      </c>
      <c r="G359" t="s">
        <v>25</v>
      </c>
      <c r="H359" t="s">
        <v>26</v>
      </c>
      <c r="I359">
        <v>2</v>
      </c>
      <c r="J359">
        <v>1700</v>
      </c>
      <c r="K359">
        <v>0</v>
      </c>
      <c r="L359" t="s">
        <v>47</v>
      </c>
    </row>
    <row r="360" spans="1:12" x14ac:dyDescent="0.3">
      <c r="A360" t="s">
        <v>508</v>
      </c>
      <c r="B360" s="1">
        <v>45241</v>
      </c>
      <c r="C360" t="s">
        <v>244</v>
      </c>
      <c r="D360" t="s">
        <v>245</v>
      </c>
      <c r="E360" t="s">
        <v>15</v>
      </c>
      <c r="F360" t="s">
        <v>128</v>
      </c>
      <c r="G360" t="s">
        <v>45</v>
      </c>
      <c r="H360" t="s">
        <v>156</v>
      </c>
      <c r="I360">
        <v>1</v>
      </c>
      <c r="J360">
        <v>40100</v>
      </c>
      <c r="K360">
        <v>10</v>
      </c>
      <c r="L360" t="s">
        <v>73</v>
      </c>
    </row>
    <row r="361" spans="1:12" x14ac:dyDescent="0.3">
      <c r="A361" t="s">
        <v>509</v>
      </c>
      <c r="B361" s="1">
        <v>45241</v>
      </c>
      <c r="C361" t="s">
        <v>185</v>
      </c>
      <c r="D361" t="s">
        <v>186</v>
      </c>
      <c r="E361" t="s">
        <v>37</v>
      </c>
      <c r="F361" t="s">
        <v>101</v>
      </c>
      <c r="G361" t="s">
        <v>45</v>
      </c>
      <c r="H361" t="s">
        <v>46</v>
      </c>
      <c r="I361">
        <v>1</v>
      </c>
      <c r="J361">
        <v>39100</v>
      </c>
      <c r="K361">
        <v>0</v>
      </c>
      <c r="L361" t="s">
        <v>19</v>
      </c>
    </row>
    <row r="362" spans="1:12" x14ac:dyDescent="0.3">
      <c r="A362" t="s">
        <v>510</v>
      </c>
      <c r="B362" s="1">
        <v>45241</v>
      </c>
      <c r="C362" t="s">
        <v>105</v>
      </c>
      <c r="D362" t="s">
        <v>106</v>
      </c>
      <c r="E362" t="s">
        <v>37</v>
      </c>
      <c r="F362" t="s">
        <v>38</v>
      </c>
      <c r="G362" t="s">
        <v>25</v>
      </c>
      <c r="H362" t="s">
        <v>32</v>
      </c>
      <c r="I362">
        <v>2</v>
      </c>
      <c r="J362">
        <v>2400</v>
      </c>
      <c r="K362">
        <v>0</v>
      </c>
      <c r="L362" t="s">
        <v>62</v>
      </c>
    </row>
    <row r="363" spans="1:12" x14ac:dyDescent="0.3">
      <c r="A363" t="s">
        <v>511</v>
      </c>
      <c r="B363" s="1">
        <v>45271</v>
      </c>
      <c r="C363" t="s">
        <v>158</v>
      </c>
      <c r="D363" t="s">
        <v>159</v>
      </c>
      <c r="E363" t="s">
        <v>81</v>
      </c>
      <c r="F363" t="s">
        <v>82</v>
      </c>
      <c r="G363" t="s">
        <v>17</v>
      </c>
      <c r="H363" t="s">
        <v>77</v>
      </c>
      <c r="I363">
        <v>1</v>
      </c>
      <c r="J363">
        <v>44800</v>
      </c>
      <c r="K363">
        <v>20</v>
      </c>
      <c r="L363" t="s">
        <v>47</v>
      </c>
    </row>
    <row r="364" spans="1:12" x14ac:dyDescent="0.3">
      <c r="A364" t="s">
        <v>512</v>
      </c>
      <c r="B364" s="1">
        <v>45271</v>
      </c>
      <c r="C364" t="s">
        <v>70</v>
      </c>
      <c r="D364" t="s">
        <v>71</v>
      </c>
      <c r="E364" t="s">
        <v>81</v>
      </c>
      <c r="F364" t="s">
        <v>82</v>
      </c>
      <c r="G364" t="s">
        <v>39</v>
      </c>
      <c r="H364" t="s">
        <v>57</v>
      </c>
      <c r="I364">
        <v>1</v>
      </c>
      <c r="J364">
        <v>30300</v>
      </c>
      <c r="K364">
        <v>15</v>
      </c>
      <c r="L364" t="s">
        <v>53</v>
      </c>
    </row>
    <row r="365" spans="1:12" x14ac:dyDescent="0.3">
      <c r="A365" t="s">
        <v>513</v>
      </c>
      <c r="B365" s="1">
        <v>45271</v>
      </c>
      <c r="C365" t="s">
        <v>143</v>
      </c>
      <c r="D365" t="s">
        <v>144</v>
      </c>
      <c r="E365" t="s">
        <v>81</v>
      </c>
      <c r="F365" t="s">
        <v>82</v>
      </c>
      <c r="G365" t="s">
        <v>17</v>
      </c>
      <c r="H365" t="s">
        <v>168</v>
      </c>
      <c r="I365">
        <v>1</v>
      </c>
      <c r="J365">
        <v>57200</v>
      </c>
      <c r="K365">
        <v>0</v>
      </c>
      <c r="L365" t="s">
        <v>47</v>
      </c>
    </row>
    <row r="366" spans="1:12" x14ac:dyDescent="0.3">
      <c r="A366" t="s">
        <v>514</v>
      </c>
      <c r="B366" s="1">
        <v>45271</v>
      </c>
      <c r="C366" t="s">
        <v>21</v>
      </c>
      <c r="D366" t="s">
        <v>22</v>
      </c>
      <c r="E366" t="s">
        <v>15</v>
      </c>
      <c r="F366" t="s">
        <v>119</v>
      </c>
      <c r="G366" t="s">
        <v>25</v>
      </c>
      <c r="H366" t="s">
        <v>26</v>
      </c>
      <c r="I366">
        <v>2</v>
      </c>
      <c r="J366">
        <v>2300</v>
      </c>
      <c r="K366">
        <v>10</v>
      </c>
      <c r="L366" t="s">
        <v>47</v>
      </c>
    </row>
    <row r="367" spans="1:12" x14ac:dyDescent="0.3">
      <c r="A367" t="s">
        <v>515</v>
      </c>
      <c r="B367" s="1">
        <v>45271</v>
      </c>
      <c r="C367" t="s">
        <v>176</v>
      </c>
      <c r="D367" t="s">
        <v>177</v>
      </c>
      <c r="E367" t="s">
        <v>23</v>
      </c>
      <c r="F367" t="s">
        <v>24</v>
      </c>
      <c r="G367" t="s">
        <v>39</v>
      </c>
      <c r="H367" t="s">
        <v>102</v>
      </c>
      <c r="I367">
        <v>1</v>
      </c>
      <c r="J367">
        <v>24700</v>
      </c>
      <c r="K367">
        <v>25</v>
      </c>
      <c r="L367" t="s">
        <v>19</v>
      </c>
    </row>
    <row r="368" spans="1:12" x14ac:dyDescent="0.3">
      <c r="A368" t="s">
        <v>516</v>
      </c>
      <c r="B368" s="1">
        <v>44938</v>
      </c>
      <c r="C368" t="s">
        <v>70</v>
      </c>
      <c r="D368" t="s">
        <v>71</v>
      </c>
      <c r="E368" t="s">
        <v>37</v>
      </c>
      <c r="F368" t="s">
        <v>61</v>
      </c>
      <c r="G368" t="s">
        <v>25</v>
      </c>
      <c r="H368" t="s">
        <v>108</v>
      </c>
      <c r="I368">
        <v>2</v>
      </c>
      <c r="J368">
        <v>1900</v>
      </c>
      <c r="K368">
        <v>10</v>
      </c>
      <c r="L368" t="s">
        <v>73</v>
      </c>
    </row>
    <row r="369" spans="1:12" x14ac:dyDescent="0.3">
      <c r="A369" t="s">
        <v>517</v>
      </c>
      <c r="B369" s="1">
        <v>44938</v>
      </c>
      <c r="C369" t="s">
        <v>236</v>
      </c>
      <c r="D369" t="s">
        <v>237</v>
      </c>
      <c r="E369" t="s">
        <v>15</v>
      </c>
      <c r="F369" t="s">
        <v>128</v>
      </c>
      <c r="G369" t="s">
        <v>97</v>
      </c>
      <c r="H369" t="s">
        <v>98</v>
      </c>
      <c r="I369">
        <v>1</v>
      </c>
      <c r="J369">
        <v>44500</v>
      </c>
      <c r="K369">
        <v>0</v>
      </c>
      <c r="L369" t="s">
        <v>47</v>
      </c>
    </row>
    <row r="370" spans="1:12" x14ac:dyDescent="0.3">
      <c r="A370" t="s">
        <v>518</v>
      </c>
      <c r="B370" s="1">
        <v>44969</v>
      </c>
      <c r="C370" t="s">
        <v>70</v>
      </c>
      <c r="D370" t="s">
        <v>71</v>
      </c>
      <c r="E370" t="s">
        <v>81</v>
      </c>
      <c r="F370" t="s">
        <v>117</v>
      </c>
      <c r="G370" t="s">
        <v>25</v>
      </c>
      <c r="H370" t="s">
        <v>32</v>
      </c>
      <c r="I370">
        <v>1</v>
      </c>
      <c r="J370">
        <v>1700</v>
      </c>
      <c r="K370">
        <v>10</v>
      </c>
      <c r="L370" t="s">
        <v>53</v>
      </c>
    </row>
    <row r="371" spans="1:12" x14ac:dyDescent="0.3">
      <c r="A371" t="s">
        <v>519</v>
      </c>
      <c r="B371" s="1">
        <v>44969</v>
      </c>
      <c r="C371" t="s">
        <v>115</v>
      </c>
      <c r="D371" t="s">
        <v>116</v>
      </c>
      <c r="E371" t="s">
        <v>37</v>
      </c>
      <c r="F371" t="s">
        <v>61</v>
      </c>
      <c r="G371" t="s">
        <v>25</v>
      </c>
      <c r="H371" t="s">
        <v>108</v>
      </c>
      <c r="I371">
        <v>2</v>
      </c>
      <c r="J371">
        <v>2500</v>
      </c>
      <c r="K371">
        <v>0</v>
      </c>
      <c r="L371" t="s">
        <v>19</v>
      </c>
    </row>
    <row r="372" spans="1:12" x14ac:dyDescent="0.3">
      <c r="A372" t="s">
        <v>520</v>
      </c>
      <c r="B372" s="1">
        <v>44969</v>
      </c>
      <c r="C372" t="s">
        <v>55</v>
      </c>
      <c r="D372" t="s">
        <v>56</v>
      </c>
      <c r="E372" t="s">
        <v>81</v>
      </c>
      <c r="F372" t="s">
        <v>110</v>
      </c>
      <c r="G372" t="s">
        <v>97</v>
      </c>
      <c r="H372" t="s">
        <v>133</v>
      </c>
      <c r="I372">
        <v>1</v>
      </c>
      <c r="J372">
        <v>39700</v>
      </c>
      <c r="K372">
        <v>5</v>
      </c>
      <c r="L372" t="s">
        <v>47</v>
      </c>
    </row>
    <row r="373" spans="1:12" x14ac:dyDescent="0.3">
      <c r="A373" t="s">
        <v>521</v>
      </c>
      <c r="B373" s="1">
        <v>44969</v>
      </c>
      <c r="C373" t="s">
        <v>284</v>
      </c>
      <c r="D373" t="s">
        <v>285</v>
      </c>
      <c r="E373" t="s">
        <v>66</v>
      </c>
      <c r="F373" t="s">
        <v>67</v>
      </c>
      <c r="G373" t="s">
        <v>25</v>
      </c>
      <c r="H373" t="s">
        <v>108</v>
      </c>
      <c r="I373">
        <v>2</v>
      </c>
      <c r="J373">
        <v>2200</v>
      </c>
      <c r="K373">
        <v>0</v>
      </c>
      <c r="L373" t="s">
        <v>47</v>
      </c>
    </row>
    <row r="374" spans="1:12" x14ac:dyDescent="0.3">
      <c r="A374" t="s">
        <v>522</v>
      </c>
      <c r="B374" s="1">
        <v>44997</v>
      </c>
      <c r="C374" t="s">
        <v>49</v>
      </c>
      <c r="D374" t="s">
        <v>50</v>
      </c>
      <c r="E374" t="s">
        <v>23</v>
      </c>
      <c r="F374" t="s">
        <v>51</v>
      </c>
      <c r="G374" t="s">
        <v>25</v>
      </c>
      <c r="H374" t="s">
        <v>32</v>
      </c>
      <c r="I374">
        <v>2</v>
      </c>
      <c r="J374">
        <v>2300</v>
      </c>
      <c r="K374">
        <v>0</v>
      </c>
      <c r="L374" t="s">
        <v>27</v>
      </c>
    </row>
    <row r="375" spans="1:12" x14ac:dyDescent="0.3">
      <c r="A375" t="s">
        <v>523</v>
      </c>
      <c r="B375" s="1">
        <v>44997</v>
      </c>
      <c r="C375" t="s">
        <v>165</v>
      </c>
      <c r="D375" t="s">
        <v>166</v>
      </c>
      <c r="E375" t="s">
        <v>37</v>
      </c>
      <c r="F375" t="s">
        <v>38</v>
      </c>
      <c r="G375" t="s">
        <v>17</v>
      </c>
      <c r="H375" t="s">
        <v>88</v>
      </c>
      <c r="I375">
        <v>1</v>
      </c>
      <c r="J375">
        <v>28100</v>
      </c>
      <c r="K375">
        <v>10</v>
      </c>
      <c r="L375" t="s">
        <v>47</v>
      </c>
    </row>
    <row r="376" spans="1:12" x14ac:dyDescent="0.3">
      <c r="A376" t="s">
        <v>524</v>
      </c>
      <c r="B376" s="1">
        <v>44997</v>
      </c>
      <c r="C376" t="s">
        <v>250</v>
      </c>
      <c r="D376" t="s">
        <v>251</v>
      </c>
      <c r="E376" t="s">
        <v>37</v>
      </c>
      <c r="F376" t="s">
        <v>38</v>
      </c>
      <c r="G376" t="s">
        <v>25</v>
      </c>
      <c r="H376" t="s">
        <v>32</v>
      </c>
      <c r="I376">
        <v>2</v>
      </c>
      <c r="J376">
        <v>2700</v>
      </c>
      <c r="K376">
        <v>5</v>
      </c>
      <c r="L376" t="s">
        <v>27</v>
      </c>
    </row>
    <row r="377" spans="1:12" x14ac:dyDescent="0.3">
      <c r="A377" t="s">
        <v>525</v>
      </c>
      <c r="B377" s="1">
        <v>45058</v>
      </c>
      <c r="C377" t="s">
        <v>163</v>
      </c>
      <c r="D377" t="s">
        <v>73</v>
      </c>
      <c r="E377" t="s">
        <v>37</v>
      </c>
      <c r="F377" t="s">
        <v>101</v>
      </c>
      <c r="G377" t="s">
        <v>97</v>
      </c>
      <c r="H377" t="s">
        <v>154</v>
      </c>
      <c r="I377">
        <v>1</v>
      </c>
      <c r="J377">
        <v>54300</v>
      </c>
      <c r="K377">
        <v>20</v>
      </c>
      <c r="L377" t="s">
        <v>103</v>
      </c>
    </row>
    <row r="378" spans="1:12" x14ac:dyDescent="0.3">
      <c r="A378" t="s">
        <v>526</v>
      </c>
      <c r="B378" s="1">
        <v>45119</v>
      </c>
      <c r="C378" t="s">
        <v>112</v>
      </c>
      <c r="D378" t="s">
        <v>113</v>
      </c>
      <c r="E378" t="s">
        <v>37</v>
      </c>
      <c r="F378" t="s">
        <v>61</v>
      </c>
      <c r="G378" t="s">
        <v>25</v>
      </c>
      <c r="H378" t="s">
        <v>124</v>
      </c>
      <c r="I378">
        <v>1</v>
      </c>
      <c r="J378">
        <v>1700</v>
      </c>
      <c r="K378">
        <v>0</v>
      </c>
      <c r="L378" t="s">
        <v>27</v>
      </c>
    </row>
    <row r="379" spans="1:12" x14ac:dyDescent="0.3">
      <c r="A379" t="s">
        <v>527</v>
      </c>
      <c r="B379" s="1">
        <v>45119</v>
      </c>
      <c r="C379" t="s">
        <v>79</v>
      </c>
      <c r="D379" t="s">
        <v>80</v>
      </c>
      <c r="E379" t="s">
        <v>15</v>
      </c>
      <c r="F379" t="s">
        <v>16</v>
      </c>
      <c r="G379" t="s">
        <v>45</v>
      </c>
      <c r="H379" t="s">
        <v>156</v>
      </c>
      <c r="I379">
        <v>1</v>
      </c>
      <c r="J379">
        <v>33300</v>
      </c>
      <c r="K379">
        <v>15</v>
      </c>
      <c r="L379" t="s">
        <v>103</v>
      </c>
    </row>
    <row r="380" spans="1:12" x14ac:dyDescent="0.3">
      <c r="A380" t="s">
        <v>528</v>
      </c>
      <c r="B380" s="1">
        <v>45150</v>
      </c>
      <c r="C380" t="s">
        <v>112</v>
      </c>
      <c r="D380" t="s">
        <v>113</v>
      </c>
      <c r="E380" t="s">
        <v>15</v>
      </c>
      <c r="F380" t="s">
        <v>128</v>
      </c>
      <c r="G380" t="s">
        <v>97</v>
      </c>
      <c r="H380" t="s">
        <v>98</v>
      </c>
      <c r="I380">
        <v>2</v>
      </c>
      <c r="J380">
        <v>65500</v>
      </c>
      <c r="K380">
        <v>15</v>
      </c>
      <c r="L380" t="s">
        <v>73</v>
      </c>
    </row>
    <row r="381" spans="1:12" x14ac:dyDescent="0.3">
      <c r="A381" t="s">
        <v>529</v>
      </c>
      <c r="B381" s="1">
        <v>45150</v>
      </c>
      <c r="C381" t="s">
        <v>115</v>
      </c>
      <c r="D381" t="s">
        <v>116</v>
      </c>
      <c r="E381" t="s">
        <v>23</v>
      </c>
      <c r="F381" t="s">
        <v>44</v>
      </c>
      <c r="G381" t="s">
        <v>97</v>
      </c>
      <c r="H381" t="s">
        <v>98</v>
      </c>
      <c r="I381">
        <v>1</v>
      </c>
      <c r="J381">
        <v>41700</v>
      </c>
      <c r="K381">
        <v>25</v>
      </c>
      <c r="L381" t="s">
        <v>27</v>
      </c>
    </row>
    <row r="382" spans="1:12" x14ac:dyDescent="0.3">
      <c r="A382" t="s">
        <v>530</v>
      </c>
      <c r="B382" s="1">
        <v>45181</v>
      </c>
      <c r="C382" t="s">
        <v>244</v>
      </c>
      <c r="D382" t="s">
        <v>245</v>
      </c>
      <c r="E382" t="s">
        <v>23</v>
      </c>
      <c r="F382" t="s">
        <v>24</v>
      </c>
      <c r="G382" t="s">
        <v>25</v>
      </c>
      <c r="H382" t="s">
        <v>212</v>
      </c>
      <c r="I382">
        <v>2</v>
      </c>
      <c r="J382">
        <v>1100</v>
      </c>
      <c r="K382">
        <v>0</v>
      </c>
      <c r="L382" t="s">
        <v>103</v>
      </c>
    </row>
    <row r="383" spans="1:12" x14ac:dyDescent="0.3">
      <c r="A383" t="s">
        <v>531</v>
      </c>
      <c r="B383" s="1">
        <v>45181</v>
      </c>
      <c r="C383" t="s">
        <v>185</v>
      </c>
      <c r="D383" t="s">
        <v>186</v>
      </c>
      <c r="E383" t="s">
        <v>66</v>
      </c>
      <c r="F383" t="s">
        <v>92</v>
      </c>
      <c r="G383" t="s">
        <v>97</v>
      </c>
      <c r="H383" t="s">
        <v>133</v>
      </c>
      <c r="I383">
        <v>1</v>
      </c>
      <c r="J383">
        <v>59800</v>
      </c>
      <c r="K383">
        <v>25</v>
      </c>
      <c r="L383" t="s">
        <v>53</v>
      </c>
    </row>
    <row r="384" spans="1:12" x14ac:dyDescent="0.3">
      <c r="A384" t="s">
        <v>532</v>
      </c>
      <c r="B384" s="1">
        <v>45181</v>
      </c>
      <c r="C384" t="s">
        <v>122</v>
      </c>
      <c r="D384" t="s">
        <v>123</v>
      </c>
      <c r="E384" t="s">
        <v>23</v>
      </c>
      <c r="F384" t="s">
        <v>51</v>
      </c>
      <c r="G384" t="s">
        <v>45</v>
      </c>
      <c r="H384" t="s">
        <v>52</v>
      </c>
      <c r="I384">
        <v>1</v>
      </c>
      <c r="J384">
        <v>41900</v>
      </c>
      <c r="K384">
        <v>0</v>
      </c>
      <c r="L384" t="s">
        <v>27</v>
      </c>
    </row>
    <row r="385" spans="1:12" x14ac:dyDescent="0.3">
      <c r="A385" t="s">
        <v>533</v>
      </c>
      <c r="B385" s="1">
        <v>45181</v>
      </c>
      <c r="C385" t="s">
        <v>49</v>
      </c>
      <c r="D385" t="s">
        <v>50</v>
      </c>
      <c r="E385" t="s">
        <v>66</v>
      </c>
      <c r="F385" t="s">
        <v>67</v>
      </c>
      <c r="G385" t="s">
        <v>39</v>
      </c>
      <c r="H385" t="s">
        <v>68</v>
      </c>
      <c r="I385">
        <v>1</v>
      </c>
      <c r="J385">
        <v>33100</v>
      </c>
      <c r="K385">
        <v>5</v>
      </c>
      <c r="L385" t="s">
        <v>73</v>
      </c>
    </row>
    <row r="386" spans="1:12" x14ac:dyDescent="0.3">
      <c r="A386" t="s">
        <v>534</v>
      </c>
      <c r="B386" s="1">
        <v>45181</v>
      </c>
      <c r="C386" t="s">
        <v>95</v>
      </c>
      <c r="D386" t="s">
        <v>96</v>
      </c>
      <c r="E386" t="s">
        <v>23</v>
      </c>
      <c r="F386" t="s">
        <v>51</v>
      </c>
      <c r="G386" t="s">
        <v>39</v>
      </c>
      <c r="H386" t="s">
        <v>102</v>
      </c>
      <c r="I386">
        <v>1</v>
      </c>
      <c r="J386">
        <v>32600</v>
      </c>
      <c r="K386">
        <v>10</v>
      </c>
      <c r="L386" t="s">
        <v>27</v>
      </c>
    </row>
    <row r="387" spans="1:12" x14ac:dyDescent="0.3">
      <c r="A387" t="s">
        <v>535</v>
      </c>
      <c r="B387" s="1">
        <v>45181</v>
      </c>
      <c r="C387" t="s">
        <v>59</v>
      </c>
      <c r="D387" t="s">
        <v>60</v>
      </c>
      <c r="E387" t="s">
        <v>37</v>
      </c>
      <c r="F387" t="s">
        <v>38</v>
      </c>
      <c r="G387" t="s">
        <v>39</v>
      </c>
      <c r="H387" t="s">
        <v>102</v>
      </c>
      <c r="I387">
        <v>1</v>
      </c>
      <c r="J387">
        <v>27800</v>
      </c>
      <c r="K387">
        <v>5</v>
      </c>
      <c r="L387" t="s">
        <v>62</v>
      </c>
    </row>
    <row r="388" spans="1:12" x14ac:dyDescent="0.3">
      <c r="A388" t="s">
        <v>536</v>
      </c>
      <c r="B388" s="1">
        <v>45181</v>
      </c>
      <c r="C388" t="s">
        <v>79</v>
      </c>
      <c r="D388" t="s">
        <v>80</v>
      </c>
      <c r="E388" t="s">
        <v>15</v>
      </c>
      <c r="F388" t="s">
        <v>16</v>
      </c>
      <c r="G388" t="s">
        <v>45</v>
      </c>
      <c r="H388" t="s">
        <v>156</v>
      </c>
      <c r="I388">
        <v>2</v>
      </c>
      <c r="J388">
        <v>33100</v>
      </c>
      <c r="K388">
        <v>5</v>
      </c>
      <c r="L388" t="s">
        <v>47</v>
      </c>
    </row>
    <row r="389" spans="1:12" x14ac:dyDescent="0.3">
      <c r="A389" t="s">
        <v>537</v>
      </c>
      <c r="B389" s="1">
        <v>45181</v>
      </c>
      <c r="C389" t="s">
        <v>147</v>
      </c>
      <c r="D389" t="s">
        <v>148</v>
      </c>
      <c r="E389" t="s">
        <v>37</v>
      </c>
      <c r="F389" t="s">
        <v>38</v>
      </c>
      <c r="G389" t="s">
        <v>97</v>
      </c>
      <c r="H389" t="s">
        <v>174</v>
      </c>
      <c r="I389">
        <v>2</v>
      </c>
      <c r="J389">
        <v>56200</v>
      </c>
      <c r="K389">
        <v>10</v>
      </c>
      <c r="L389" t="s">
        <v>33</v>
      </c>
    </row>
    <row r="390" spans="1:12" x14ac:dyDescent="0.3">
      <c r="A390" t="s">
        <v>538</v>
      </c>
      <c r="B390" s="1">
        <v>45211</v>
      </c>
      <c r="C390" t="s">
        <v>250</v>
      </c>
      <c r="D390" t="s">
        <v>251</v>
      </c>
      <c r="E390" t="s">
        <v>23</v>
      </c>
      <c r="F390" t="s">
        <v>44</v>
      </c>
      <c r="G390" t="s">
        <v>17</v>
      </c>
      <c r="H390" t="s">
        <v>168</v>
      </c>
      <c r="I390">
        <v>1</v>
      </c>
      <c r="J390">
        <v>35800</v>
      </c>
      <c r="K390">
        <v>10</v>
      </c>
      <c r="L390" t="s">
        <v>19</v>
      </c>
    </row>
    <row r="391" spans="1:12" x14ac:dyDescent="0.3">
      <c r="A391" t="s">
        <v>539</v>
      </c>
      <c r="B391" s="1">
        <v>45211</v>
      </c>
      <c r="C391" t="s">
        <v>203</v>
      </c>
      <c r="D391" t="s">
        <v>204</v>
      </c>
      <c r="E391" t="s">
        <v>66</v>
      </c>
      <c r="F391" t="s">
        <v>72</v>
      </c>
      <c r="G391" t="s">
        <v>17</v>
      </c>
      <c r="H391" t="s">
        <v>196</v>
      </c>
      <c r="I391">
        <v>1</v>
      </c>
      <c r="J391">
        <v>55800</v>
      </c>
      <c r="K391">
        <v>0</v>
      </c>
      <c r="L391" t="s">
        <v>103</v>
      </c>
    </row>
    <row r="392" spans="1:12" x14ac:dyDescent="0.3">
      <c r="A392" t="s">
        <v>540</v>
      </c>
      <c r="B392" s="1">
        <v>45211</v>
      </c>
      <c r="C392" t="s">
        <v>70</v>
      </c>
      <c r="D392" t="s">
        <v>71</v>
      </c>
      <c r="E392" t="s">
        <v>66</v>
      </c>
      <c r="F392" t="s">
        <v>67</v>
      </c>
      <c r="G392" t="s">
        <v>45</v>
      </c>
      <c r="H392" t="s">
        <v>156</v>
      </c>
      <c r="I392">
        <v>1</v>
      </c>
      <c r="J392">
        <v>28600</v>
      </c>
      <c r="K392">
        <v>20</v>
      </c>
      <c r="L392" t="s">
        <v>27</v>
      </c>
    </row>
    <row r="393" spans="1:12" x14ac:dyDescent="0.3">
      <c r="A393" t="s">
        <v>541</v>
      </c>
      <c r="B393" s="1">
        <v>45242</v>
      </c>
      <c r="C393" t="s">
        <v>29</v>
      </c>
      <c r="D393" t="s">
        <v>30</v>
      </c>
      <c r="E393" t="s">
        <v>66</v>
      </c>
      <c r="F393" t="s">
        <v>87</v>
      </c>
      <c r="G393" t="s">
        <v>25</v>
      </c>
      <c r="H393" t="s">
        <v>26</v>
      </c>
      <c r="I393">
        <v>2</v>
      </c>
      <c r="J393">
        <v>1400</v>
      </c>
      <c r="K393">
        <v>5</v>
      </c>
      <c r="L393" t="s">
        <v>53</v>
      </c>
    </row>
    <row r="394" spans="1:12" x14ac:dyDescent="0.3">
      <c r="A394" t="s">
        <v>542</v>
      </c>
      <c r="B394" s="1">
        <v>45242</v>
      </c>
      <c r="C394" t="s">
        <v>158</v>
      </c>
      <c r="D394" t="s">
        <v>159</v>
      </c>
      <c r="E394" t="s">
        <v>66</v>
      </c>
      <c r="F394" t="s">
        <v>92</v>
      </c>
      <c r="G394" t="s">
        <v>97</v>
      </c>
      <c r="H394" t="s">
        <v>98</v>
      </c>
      <c r="I394">
        <v>1</v>
      </c>
      <c r="J394">
        <v>64100</v>
      </c>
      <c r="K394">
        <v>5</v>
      </c>
      <c r="L394" t="s">
        <v>73</v>
      </c>
    </row>
    <row r="395" spans="1:12" x14ac:dyDescent="0.3">
      <c r="A395" t="s">
        <v>543</v>
      </c>
      <c r="B395" s="1">
        <v>45272</v>
      </c>
      <c r="C395" t="s">
        <v>183</v>
      </c>
      <c r="D395" t="s">
        <v>27</v>
      </c>
      <c r="E395" t="s">
        <v>15</v>
      </c>
      <c r="F395" t="s">
        <v>16</v>
      </c>
      <c r="G395" t="s">
        <v>25</v>
      </c>
      <c r="H395" t="s">
        <v>26</v>
      </c>
      <c r="I395">
        <v>2</v>
      </c>
      <c r="J395">
        <v>2500</v>
      </c>
      <c r="K395">
        <v>20</v>
      </c>
      <c r="L395" t="s">
        <v>103</v>
      </c>
    </row>
    <row r="396" spans="1:12" x14ac:dyDescent="0.3">
      <c r="A396" t="s">
        <v>544</v>
      </c>
      <c r="B396" s="1">
        <v>44939</v>
      </c>
      <c r="C396" t="s">
        <v>232</v>
      </c>
      <c r="D396" t="s">
        <v>233</v>
      </c>
      <c r="E396" t="s">
        <v>37</v>
      </c>
      <c r="F396" t="s">
        <v>141</v>
      </c>
      <c r="G396" t="s">
        <v>45</v>
      </c>
      <c r="H396" t="s">
        <v>52</v>
      </c>
      <c r="I396">
        <v>1</v>
      </c>
      <c r="J396">
        <v>31800</v>
      </c>
      <c r="K396">
        <v>0</v>
      </c>
      <c r="L396" t="s">
        <v>53</v>
      </c>
    </row>
    <row r="397" spans="1:12" x14ac:dyDescent="0.3">
      <c r="A397" t="s">
        <v>545</v>
      </c>
      <c r="B397" s="1">
        <v>44939</v>
      </c>
      <c r="C397" t="s">
        <v>176</v>
      </c>
      <c r="D397" t="s">
        <v>177</v>
      </c>
      <c r="E397" t="s">
        <v>15</v>
      </c>
      <c r="F397" t="s">
        <v>16</v>
      </c>
      <c r="G397" t="s">
        <v>39</v>
      </c>
      <c r="H397" t="s">
        <v>68</v>
      </c>
      <c r="I397">
        <v>1</v>
      </c>
      <c r="J397">
        <v>24000</v>
      </c>
      <c r="K397">
        <v>15</v>
      </c>
      <c r="L397" t="s">
        <v>47</v>
      </c>
    </row>
    <row r="398" spans="1:12" x14ac:dyDescent="0.3">
      <c r="A398" t="s">
        <v>546</v>
      </c>
      <c r="B398" s="1">
        <v>44939</v>
      </c>
      <c r="C398" t="s">
        <v>163</v>
      </c>
      <c r="D398" t="s">
        <v>73</v>
      </c>
      <c r="E398" t="s">
        <v>66</v>
      </c>
      <c r="F398" t="s">
        <v>67</v>
      </c>
      <c r="G398" t="s">
        <v>45</v>
      </c>
      <c r="H398" t="s">
        <v>156</v>
      </c>
      <c r="I398">
        <v>1</v>
      </c>
      <c r="J398">
        <v>32200</v>
      </c>
      <c r="K398">
        <v>0</v>
      </c>
      <c r="L398" t="s">
        <v>62</v>
      </c>
    </row>
    <row r="399" spans="1:12" x14ac:dyDescent="0.3">
      <c r="A399" t="s">
        <v>547</v>
      </c>
      <c r="B399" s="1">
        <v>44970</v>
      </c>
      <c r="C399" t="s">
        <v>203</v>
      </c>
      <c r="D399" t="s">
        <v>204</v>
      </c>
      <c r="E399" t="s">
        <v>37</v>
      </c>
      <c r="F399" t="s">
        <v>141</v>
      </c>
      <c r="G399" t="s">
        <v>25</v>
      </c>
      <c r="H399" t="s">
        <v>108</v>
      </c>
      <c r="I399">
        <v>2</v>
      </c>
      <c r="J399">
        <v>2000</v>
      </c>
      <c r="K399">
        <v>5</v>
      </c>
      <c r="L399" t="s">
        <v>73</v>
      </c>
    </row>
    <row r="400" spans="1:12" x14ac:dyDescent="0.3">
      <c r="A400" t="s">
        <v>548</v>
      </c>
      <c r="B400" s="1">
        <v>44970</v>
      </c>
      <c r="C400" t="s">
        <v>244</v>
      </c>
      <c r="D400" t="s">
        <v>245</v>
      </c>
      <c r="E400" t="s">
        <v>15</v>
      </c>
      <c r="F400" t="s">
        <v>119</v>
      </c>
      <c r="G400" t="s">
        <v>39</v>
      </c>
      <c r="H400" t="s">
        <v>57</v>
      </c>
      <c r="I400">
        <v>1</v>
      </c>
      <c r="J400">
        <v>14400</v>
      </c>
      <c r="K400">
        <v>10</v>
      </c>
      <c r="L400" t="s">
        <v>27</v>
      </c>
    </row>
    <row r="401" spans="1:12" x14ac:dyDescent="0.3">
      <c r="A401" t="s">
        <v>549</v>
      </c>
      <c r="B401" s="1">
        <v>44998</v>
      </c>
      <c r="C401" t="s">
        <v>284</v>
      </c>
      <c r="D401" t="s">
        <v>285</v>
      </c>
      <c r="E401" t="s">
        <v>15</v>
      </c>
      <c r="F401" t="s">
        <v>131</v>
      </c>
      <c r="G401" t="s">
        <v>17</v>
      </c>
      <c r="H401" t="s">
        <v>196</v>
      </c>
      <c r="I401">
        <v>1</v>
      </c>
      <c r="J401">
        <v>31500</v>
      </c>
      <c r="K401">
        <v>15</v>
      </c>
      <c r="L401" t="s">
        <v>47</v>
      </c>
    </row>
    <row r="402" spans="1:12" x14ac:dyDescent="0.3">
      <c r="A402" t="s">
        <v>550</v>
      </c>
      <c r="B402" s="1">
        <v>44998</v>
      </c>
      <c r="C402" t="s">
        <v>210</v>
      </c>
      <c r="D402" t="s">
        <v>211</v>
      </c>
      <c r="E402" t="s">
        <v>37</v>
      </c>
      <c r="F402" t="s">
        <v>101</v>
      </c>
      <c r="G402" t="s">
        <v>39</v>
      </c>
      <c r="H402" t="s">
        <v>102</v>
      </c>
      <c r="I402">
        <v>1</v>
      </c>
      <c r="J402">
        <v>17500</v>
      </c>
      <c r="K402">
        <v>20</v>
      </c>
      <c r="L402" t="s">
        <v>47</v>
      </c>
    </row>
    <row r="403" spans="1:12" x14ac:dyDescent="0.3">
      <c r="A403" t="s">
        <v>551</v>
      </c>
      <c r="B403" s="1">
        <v>45029</v>
      </c>
      <c r="C403" t="s">
        <v>126</v>
      </c>
      <c r="D403" t="s">
        <v>127</v>
      </c>
      <c r="E403" t="s">
        <v>37</v>
      </c>
      <c r="F403" t="s">
        <v>61</v>
      </c>
      <c r="G403" t="s">
        <v>39</v>
      </c>
      <c r="H403" t="s">
        <v>40</v>
      </c>
      <c r="I403">
        <v>1</v>
      </c>
      <c r="J403">
        <v>13500</v>
      </c>
      <c r="K403">
        <v>0</v>
      </c>
      <c r="L403" t="s">
        <v>73</v>
      </c>
    </row>
    <row r="404" spans="1:12" x14ac:dyDescent="0.3">
      <c r="A404" t="s">
        <v>552</v>
      </c>
      <c r="B404" s="1">
        <v>45029</v>
      </c>
      <c r="C404" t="s">
        <v>163</v>
      </c>
      <c r="D404" t="s">
        <v>73</v>
      </c>
      <c r="E404" t="s">
        <v>37</v>
      </c>
      <c r="F404" t="s">
        <v>61</v>
      </c>
      <c r="G404" t="s">
        <v>45</v>
      </c>
      <c r="H404" t="s">
        <v>52</v>
      </c>
      <c r="I404">
        <v>1</v>
      </c>
      <c r="J404">
        <v>35000</v>
      </c>
      <c r="K404">
        <v>15</v>
      </c>
      <c r="L404" t="s">
        <v>47</v>
      </c>
    </row>
    <row r="405" spans="1:12" x14ac:dyDescent="0.3">
      <c r="A405" t="s">
        <v>553</v>
      </c>
      <c r="B405" s="1">
        <v>45029</v>
      </c>
      <c r="C405" t="s">
        <v>185</v>
      </c>
      <c r="D405" t="s">
        <v>186</v>
      </c>
      <c r="E405" t="s">
        <v>81</v>
      </c>
      <c r="F405" t="s">
        <v>160</v>
      </c>
      <c r="G405" t="s">
        <v>39</v>
      </c>
      <c r="H405" t="s">
        <v>102</v>
      </c>
      <c r="I405">
        <v>1</v>
      </c>
      <c r="J405">
        <v>24800</v>
      </c>
      <c r="K405">
        <v>0</v>
      </c>
      <c r="L405" t="s">
        <v>33</v>
      </c>
    </row>
    <row r="406" spans="1:12" x14ac:dyDescent="0.3">
      <c r="A406" t="s">
        <v>554</v>
      </c>
      <c r="B406" s="1">
        <v>45059</v>
      </c>
      <c r="C406" t="s">
        <v>232</v>
      </c>
      <c r="D406" t="s">
        <v>233</v>
      </c>
      <c r="E406" t="s">
        <v>37</v>
      </c>
      <c r="F406" t="s">
        <v>61</v>
      </c>
      <c r="G406" t="s">
        <v>39</v>
      </c>
      <c r="H406" t="s">
        <v>68</v>
      </c>
      <c r="I406">
        <v>1</v>
      </c>
      <c r="J406">
        <v>22900</v>
      </c>
      <c r="K406">
        <v>5</v>
      </c>
      <c r="L406" t="s">
        <v>73</v>
      </c>
    </row>
    <row r="407" spans="1:12" x14ac:dyDescent="0.3">
      <c r="A407" t="s">
        <v>555</v>
      </c>
      <c r="B407" s="1">
        <v>45059</v>
      </c>
      <c r="C407" t="s">
        <v>105</v>
      </c>
      <c r="D407" t="s">
        <v>106</v>
      </c>
      <c r="E407" t="s">
        <v>66</v>
      </c>
      <c r="F407" t="s">
        <v>72</v>
      </c>
      <c r="G407" t="s">
        <v>25</v>
      </c>
      <c r="H407" t="s">
        <v>26</v>
      </c>
      <c r="I407">
        <v>2</v>
      </c>
      <c r="J407">
        <v>2400</v>
      </c>
      <c r="K407">
        <v>25</v>
      </c>
      <c r="L407" t="s">
        <v>33</v>
      </c>
    </row>
    <row r="408" spans="1:12" x14ac:dyDescent="0.3">
      <c r="A408" t="s">
        <v>556</v>
      </c>
      <c r="B408" s="1">
        <v>45059</v>
      </c>
      <c r="C408" t="s">
        <v>165</v>
      </c>
      <c r="D408" t="s">
        <v>166</v>
      </c>
      <c r="E408" t="s">
        <v>81</v>
      </c>
      <c r="F408" t="s">
        <v>160</v>
      </c>
      <c r="G408" t="s">
        <v>39</v>
      </c>
      <c r="H408" t="s">
        <v>40</v>
      </c>
      <c r="I408">
        <v>1</v>
      </c>
      <c r="J408">
        <v>17400</v>
      </c>
      <c r="K408">
        <v>20</v>
      </c>
      <c r="L408" t="s">
        <v>33</v>
      </c>
    </row>
    <row r="409" spans="1:12" x14ac:dyDescent="0.3">
      <c r="A409" t="s">
        <v>557</v>
      </c>
      <c r="B409" s="1">
        <v>45059</v>
      </c>
      <c r="C409" t="s">
        <v>59</v>
      </c>
      <c r="D409" t="s">
        <v>60</v>
      </c>
      <c r="E409" t="s">
        <v>23</v>
      </c>
      <c r="F409" t="s">
        <v>44</v>
      </c>
      <c r="G409" t="s">
        <v>17</v>
      </c>
      <c r="H409" t="s">
        <v>196</v>
      </c>
      <c r="I409">
        <v>1</v>
      </c>
      <c r="J409">
        <v>29700</v>
      </c>
      <c r="K409">
        <v>10</v>
      </c>
      <c r="L409" t="s">
        <v>53</v>
      </c>
    </row>
    <row r="410" spans="1:12" x14ac:dyDescent="0.3">
      <c r="A410" t="s">
        <v>558</v>
      </c>
      <c r="B410" s="1">
        <v>45090</v>
      </c>
      <c r="C410" t="s">
        <v>232</v>
      </c>
      <c r="D410" t="s">
        <v>233</v>
      </c>
      <c r="E410" t="s">
        <v>66</v>
      </c>
      <c r="F410" t="s">
        <v>87</v>
      </c>
      <c r="G410" t="s">
        <v>45</v>
      </c>
      <c r="H410" t="s">
        <v>46</v>
      </c>
      <c r="I410">
        <v>2</v>
      </c>
      <c r="J410">
        <v>33700</v>
      </c>
      <c r="K410">
        <v>0</v>
      </c>
      <c r="L410" t="s">
        <v>53</v>
      </c>
    </row>
    <row r="411" spans="1:12" x14ac:dyDescent="0.3">
      <c r="A411" t="s">
        <v>559</v>
      </c>
      <c r="B411" s="1">
        <v>45090</v>
      </c>
      <c r="C411" t="s">
        <v>203</v>
      </c>
      <c r="D411" t="s">
        <v>204</v>
      </c>
      <c r="E411" t="s">
        <v>37</v>
      </c>
      <c r="F411" t="s">
        <v>101</v>
      </c>
      <c r="G411" t="s">
        <v>39</v>
      </c>
      <c r="H411" t="s">
        <v>40</v>
      </c>
      <c r="I411">
        <v>1</v>
      </c>
      <c r="J411">
        <v>20600</v>
      </c>
      <c r="K411">
        <v>5</v>
      </c>
      <c r="L411" t="s">
        <v>47</v>
      </c>
    </row>
    <row r="412" spans="1:12" x14ac:dyDescent="0.3">
      <c r="A412" t="s">
        <v>560</v>
      </c>
      <c r="B412" s="1">
        <v>45120</v>
      </c>
      <c r="C412" t="s">
        <v>130</v>
      </c>
      <c r="D412" t="s">
        <v>53</v>
      </c>
      <c r="E412" t="s">
        <v>15</v>
      </c>
      <c r="F412" t="s">
        <v>119</v>
      </c>
      <c r="G412" t="s">
        <v>97</v>
      </c>
      <c r="H412" t="s">
        <v>174</v>
      </c>
      <c r="I412">
        <v>1</v>
      </c>
      <c r="J412">
        <v>74700</v>
      </c>
      <c r="K412">
        <v>0</v>
      </c>
      <c r="L412" t="s">
        <v>73</v>
      </c>
    </row>
    <row r="413" spans="1:12" x14ac:dyDescent="0.3">
      <c r="A413" t="s">
        <v>561</v>
      </c>
      <c r="B413" s="1">
        <v>45120</v>
      </c>
      <c r="C413" t="s">
        <v>185</v>
      </c>
      <c r="D413" t="s">
        <v>186</v>
      </c>
      <c r="E413" t="s">
        <v>23</v>
      </c>
      <c r="F413" t="s">
        <v>44</v>
      </c>
      <c r="G413" t="s">
        <v>45</v>
      </c>
      <c r="H413" t="s">
        <v>52</v>
      </c>
      <c r="I413">
        <v>1</v>
      </c>
      <c r="J413">
        <v>38600</v>
      </c>
      <c r="K413">
        <v>0</v>
      </c>
      <c r="L413" t="s">
        <v>47</v>
      </c>
    </row>
    <row r="414" spans="1:12" x14ac:dyDescent="0.3">
      <c r="A414" t="s">
        <v>562</v>
      </c>
      <c r="B414" s="1">
        <v>45151</v>
      </c>
      <c r="C414" t="s">
        <v>79</v>
      </c>
      <c r="D414" t="s">
        <v>80</v>
      </c>
      <c r="E414" t="s">
        <v>15</v>
      </c>
      <c r="F414" t="s">
        <v>131</v>
      </c>
      <c r="G414" t="s">
        <v>97</v>
      </c>
      <c r="H414" t="s">
        <v>171</v>
      </c>
      <c r="I414">
        <v>1</v>
      </c>
      <c r="J414">
        <v>59200</v>
      </c>
      <c r="K414">
        <v>10</v>
      </c>
      <c r="L414" t="s">
        <v>19</v>
      </c>
    </row>
    <row r="415" spans="1:12" x14ac:dyDescent="0.3">
      <c r="A415" t="s">
        <v>563</v>
      </c>
      <c r="B415" s="1">
        <v>45151</v>
      </c>
      <c r="C415" t="s">
        <v>284</v>
      </c>
      <c r="D415" t="s">
        <v>285</v>
      </c>
      <c r="E415" t="s">
        <v>66</v>
      </c>
      <c r="F415" t="s">
        <v>72</v>
      </c>
      <c r="G415" t="s">
        <v>97</v>
      </c>
      <c r="H415" t="s">
        <v>133</v>
      </c>
      <c r="I415">
        <v>2</v>
      </c>
      <c r="J415">
        <v>55900</v>
      </c>
      <c r="K415">
        <v>0</v>
      </c>
      <c r="L415" t="s">
        <v>33</v>
      </c>
    </row>
    <row r="416" spans="1:12" x14ac:dyDescent="0.3">
      <c r="A416" t="s">
        <v>564</v>
      </c>
      <c r="B416" s="1">
        <v>45151</v>
      </c>
      <c r="C416" t="s">
        <v>21</v>
      </c>
      <c r="D416" t="s">
        <v>22</v>
      </c>
      <c r="E416" t="s">
        <v>23</v>
      </c>
      <c r="F416" t="s">
        <v>51</v>
      </c>
      <c r="G416" t="s">
        <v>17</v>
      </c>
      <c r="H416" t="s">
        <v>18</v>
      </c>
      <c r="I416">
        <v>1</v>
      </c>
      <c r="J416">
        <v>41400</v>
      </c>
      <c r="K416">
        <v>10</v>
      </c>
      <c r="L416" t="s">
        <v>27</v>
      </c>
    </row>
    <row r="417" spans="1:12" x14ac:dyDescent="0.3">
      <c r="A417" t="s">
        <v>565</v>
      </c>
      <c r="B417" s="1">
        <v>45182</v>
      </c>
      <c r="C417" t="s">
        <v>70</v>
      </c>
      <c r="D417" t="s">
        <v>71</v>
      </c>
      <c r="E417" t="s">
        <v>15</v>
      </c>
      <c r="F417" t="s">
        <v>131</v>
      </c>
      <c r="G417" t="s">
        <v>39</v>
      </c>
      <c r="H417" t="s">
        <v>102</v>
      </c>
      <c r="I417">
        <v>1</v>
      </c>
      <c r="J417">
        <v>19000</v>
      </c>
      <c r="K417">
        <v>10</v>
      </c>
      <c r="L417" t="s">
        <v>62</v>
      </c>
    </row>
    <row r="418" spans="1:12" x14ac:dyDescent="0.3">
      <c r="A418" t="s">
        <v>566</v>
      </c>
      <c r="B418" s="1">
        <v>45182</v>
      </c>
      <c r="C418" t="s">
        <v>55</v>
      </c>
      <c r="D418" t="s">
        <v>56</v>
      </c>
      <c r="E418" t="s">
        <v>15</v>
      </c>
      <c r="F418" t="s">
        <v>16</v>
      </c>
      <c r="G418" t="s">
        <v>45</v>
      </c>
      <c r="H418" t="s">
        <v>156</v>
      </c>
      <c r="I418">
        <v>1</v>
      </c>
      <c r="J418">
        <v>26600</v>
      </c>
      <c r="K418">
        <v>15</v>
      </c>
      <c r="L418" t="s">
        <v>62</v>
      </c>
    </row>
    <row r="419" spans="1:12" x14ac:dyDescent="0.3">
      <c r="A419" t="s">
        <v>567</v>
      </c>
      <c r="B419" s="1">
        <v>45212</v>
      </c>
      <c r="C419" t="s">
        <v>49</v>
      </c>
      <c r="D419" t="s">
        <v>50</v>
      </c>
      <c r="E419" t="s">
        <v>15</v>
      </c>
      <c r="F419" t="s">
        <v>128</v>
      </c>
      <c r="G419" t="s">
        <v>25</v>
      </c>
      <c r="H419" t="s">
        <v>32</v>
      </c>
      <c r="I419">
        <v>3</v>
      </c>
      <c r="J419">
        <v>1400</v>
      </c>
      <c r="K419">
        <v>5</v>
      </c>
      <c r="L419" t="s">
        <v>53</v>
      </c>
    </row>
    <row r="420" spans="1:12" x14ac:dyDescent="0.3">
      <c r="A420" t="s">
        <v>568</v>
      </c>
      <c r="B420" s="1">
        <v>45212</v>
      </c>
      <c r="C420" t="s">
        <v>55</v>
      </c>
      <c r="D420" t="s">
        <v>56</v>
      </c>
      <c r="E420" t="s">
        <v>15</v>
      </c>
      <c r="F420" t="s">
        <v>119</v>
      </c>
      <c r="G420" t="s">
        <v>97</v>
      </c>
      <c r="H420" t="s">
        <v>154</v>
      </c>
      <c r="I420">
        <v>1</v>
      </c>
      <c r="J420">
        <v>57500</v>
      </c>
      <c r="K420">
        <v>10</v>
      </c>
      <c r="L420" t="s">
        <v>27</v>
      </c>
    </row>
    <row r="421" spans="1:12" x14ac:dyDescent="0.3">
      <c r="A421" t="s">
        <v>569</v>
      </c>
      <c r="B421" s="1">
        <v>45212</v>
      </c>
      <c r="C421" t="s">
        <v>284</v>
      </c>
      <c r="D421" t="s">
        <v>285</v>
      </c>
      <c r="E421" t="s">
        <v>81</v>
      </c>
      <c r="F421" t="s">
        <v>82</v>
      </c>
      <c r="G421" t="s">
        <v>25</v>
      </c>
      <c r="H421" t="s">
        <v>26</v>
      </c>
      <c r="I421">
        <v>2</v>
      </c>
      <c r="J421">
        <v>2000</v>
      </c>
      <c r="K421">
        <v>5</v>
      </c>
      <c r="L421" t="s">
        <v>19</v>
      </c>
    </row>
    <row r="422" spans="1:12" x14ac:dyDescent="0.3">
      <c r="A422" t="s">
        <v>570</v>
      </c>
      <c r="B422" s="1">
        <v>45212</v>
      </c>
      <c r="C422" t="s">
        <v>79</v>
      </c>
      <c r="D422" t="s">
        <v>80</v>
      </c>
      <c r="E422" t="s">
        <v>81</v>
      </c>
      <c r="F422" t="s">
        <v>117</v>
      </c>
      <c r="G422" t="s">
        <v>17</v>
      </c>
      <c r="H422" t="s">
        <v>18</v>
      </c>
      <c r="I422">
        <v>1</v>
      </c>
      <c r="J422">
        <v>21900</v>
      </c>
      <c r="K422">
        <v>20</v>
      </c>
      <c r="L422" t="s">
        <v>103</v>
      </c>
    </row>
    <row r="423" spans="1:12" x14ac:dyDescent="0.3">
      <c r="A423" t="s">
        <v>571</v>
      </c>
      <c r="B423" s="1">
        <v>45212</v>
      </c>
      <c r="C423" t="s">
        <v>151</v>
      </c>
      <c r="D423" t="s">
        <v>152</v>
      </c>
      <c r="E423" t="s">
        <v>23</v>
      </c>
      <c r="F423" t="s">
        <v>24</v>
      </c>
      <c r="G423" t="s">
        <v>45</v>
      </c>
      <c r="H423" t="s">
        <v>46</v>
      </c>
      <c r="I423">
        <v>1</v>
      </c>
      <c r="J423">
        <v>32900</v>
      </c>
      <c r="K423">
        <v>15</v>
      </c>
      <c r="L423" t="s">
        <v>103</v>
      </c>
    </row>
    <row r="424" spans="1:12" x14ac:dyDescent="0.3">
      <c r="A424" t="s">
        <v>572</v>
      </c>
      <c r="B424" s="1">
        <v>45243</v>
      </c>
      <c r="C424" t="s">
        <v>284</v>
      </c>
      <c r="D424" t="s">
        <v>285</v>
      </c>
      <c r="E424" t="s">
        <v>15</v>
      </c>
      <c r="F424" t="s">
        <v>119</v>
      </c>
      <c r="G424" t="s">
        <v>25</v>
      </c>
      <c r="H424" t="s">
        <v>26</v>
      </c>
      <c r="I424">
        <v>2</v>
      </c>
      <c r="J424">
        <v>2000</v>
      </c>
      <c r="K424">
        <v>0</v>
      </c>
      <c r="L424" t="s">
        <v>27</v>
      </c>
    </row>
    <row r="425" spans="1:12" x14ac:dyDescent="0.3">
      <c r="A425" t="s">
        <v>573</v>
      </c>
      <c r="B425" s="1">
        <v>45243</v>
      </c>
      <c r="C425" t="s">
        <v>180</v>
      </c>
      <c r="D425" t="s">
        <v>181</v>
      </c>
      <c r="E425" t="s">
        <v>23</v>
      </c>
      <c r="F425" t="s">
        <v>24</v>
      </c>
      <c r="G425" t="s">
        <v>45</v>
      </c>
      <c r="H425" t="s">
        <v>156</v>
      </c>
      <c r="I425">
        <v>1</v>
      </c>
      <c r="J425">
        <v>33900</v>
      </c>
      <c r="K425">
        <v>10</v>
      </c>
      <c r="L425" t="s">
        <v>73</v>
      </c>
    </row>
    <row r="426" spans="1:12" x14ac:dyDescent="0.3">
      <c r="A426" t="s">
        <v>574</v>
      </c>
      <c r="B426" s="1">
        <v>45243</v>
      </c>
      <c r="C426" t="s">
        <v>143</v>
      </c>
      <c r="D426" t="s">
        <v>144</v>
      </c>
      <c r="E426" t="s">
        <v>66</v>
      </c>
      <c r="F426" t="s">
        <v>92</v>
      </c>
      <c r="G426" t="s">
        <v>97</v>
      </c>
      <c r="H426" t="s">
        <v>133</v>
      </c>
      <c r="I426">
        <v>1</v>
      </c>
      <c r="J426">
        <v>74100</v>
      </c>
      <c r="K426">
        <v>0</v>
      </c>
      <c r="L426" t="s">
        <v>27</v>
      </c>
    </row>
    <row r="427" spans="1:12" x14ac:dyDescent="0.3">
      <c r="A427" t="s">
        <v>575</v>
      </c>
      <c r="B427" s="1">
        <v>45273</v>
      </c>
      <c r="C427" t="s">
        <v>42</v>
      </c>
      <c r="D427" t="s">
        <v>43</v>
      </c>
      <c r="E427" t="s">
        <v>15</v>
      </c>
      <c r="F427" t="s">
        <v>119</v>
      </c>
      <c r="G427" t="s">
        <v>39</v>
      </c>
      <c r="H427" t="s">
        <v>102</v>
      </c>
      <c r="I427">
        <v>1</v>
      </c>
      <c r="J427">
        <v>18200</v>
      </c>
      <c r="K427">
        <v>0</v>
      </c>
      <c r="L427" t="s">
        <v>53</v>
      </c>
    </row>
    <row r="428" spans="1:12" x14ac:dyDescent="0.3">
      <c r="A428" t="s">
        <v>576</v>
      </c>
      <c r="B428" s="1">
        <v>45273</v>
      </c>
      <c r="C428" t="s">
        <v>165</v>
      </c>
      <c r="D428" t="s">
        <v>166</v>
      </c>
      <c r="E428" t="s">
        <v>37</v>
      </c>
      <c r="F428" t="s">
        <v>61</v>
      </c>
      <c r="G428" t="s">
        <v>25</v>
      </c>
      <c r="H428" t="s">
        <v>108</v>
      </c>
      <c r="I428">
        <v>1</v>
      </c>
      <c r="J428">
        <v>2300</v>
      </c>
      <c r="K428">
        <v>0</v>
      </c>
      <c r="L428" t="s">
        <v>73</v>
      </c>
    </row>
    <row r="429" spans="1:12" x14ac:dyDescent="0.3">
      <c r="A429" t="s">
        <v>577</v>
      </c>
      <c r="B429" s="1">
        <v>45273</v>
      </c>
      <c r="C429" t="s">
        <v>135</v>
      </c>
      <c r="D429" t="s">
        <v>136</v>
      </c>
      <c r="E429" t="s">
        <v>15</v>
      </c>
      <c r="F429" t="s">
        <v>131</v>
      </c>
      <c r="G429" t="s">
        <v>39</v>
      </c>
      <c r="H429" t="s">
        <v>68</v>
      </c>
      <c r="I429">
        <v>1</v>
      </c>
      <c r="J429">
        <v>32000</v>
      </c>
      <c r="K429">
        <v>0</v>
      </c>
      <c r="L429" t="s">
        <v>19</v>
      </c>
    </row>
    <row r="430" spans="1:12" x14ac:dyDescent="0.3">
      <c r="A430" t="s">
        <v>578</v>
      </c>
      <c r="B430" s="1">
        <v>45273</v>
      </c>
      <c r="C430" t="s">
        <v>250</v>
      </c>
      <c r="D430" t="s">
        <v>251</v>
      </c>
      <c r="E430" t="s">
        <v>37</v>
      </c>
      <c r="F430" t="s">
        <v>61</v>
      </c>
      <c r="G430" t="s">
        <v>39</v>
      </c>
      <c r="H430" t="s">
        <v>102</v>
      </c>
      <c r="I430">
        <v>1</v>
      </c>
      <c r="J430">
        <v>16200</v>
      </c>
      <c r="K430">
        <v>0</v>
      </c>
      <c r="L430" t="s">
        <v>103</v>
      </c>
    </row>
    <row r="431" spans="1:12" x14ac:dyDescent="0.3">
      <c r="A431" t="s">
        <v>579</v>
      </c>
      <c r="B431" s="1">
        <v>45273</v>
      </c>
      <c r="C431" t="s">
        <v>122</v>
      </c>
      <c r="D431" t="s">
        <v>123</v>
      </c>
      <c r="E431" t="s">
        <v>37</v>
      </c>
      <c r="F431" t="s">
        <v>61</v>
      </c>
      <c r="G431" t="s">
        <v>25</v>
      </c>
      <c r="H431" t="s">
        <v>108</v>
      </c>
      <c r="I431">
        <v>2</v>
      </c>
      <c r="J431">
        <v>1900</v>
      </c>
      <c r="K431">
        <v>0</v>
      </c>
      <c r="L431" t="s">
        <v>47</v>
      </c>
    </row>
    <row r="432" spans="1:12" x14ac:dyDescent="0.3">
      <c r="A432" t="s">
        <v>580</v>
      </c>
      <c r="B432" s="1">
        <v>44940</v>
      </c>
      <c r="C432" t="s">
        <v>21</v>
      </c>
      <c r="D432" t="s">
        <v>22</v>
      </c>
      <c r="E432" t="s">
        <v>81</v>
      </c>
      <c r="F432" t="s">
        <v>160</v>
      </c>
      <c r="G432" t="s">
        <v>25</v>
      </c>
      <c r="H432" t="s">
        <v>108</v>
      </c>
      <c r="I432">
        <v>2</v>
      </c>
      <c r="J432">
        <v>1100</v>
      </c>
      <c r="K432">
        <v>0</v>
      </c>
      <c r="L432" t="s">
        <v>19</v>
      </c>
    </row>
    <row r="433" spans="1:12" x14ac:dyDescent="0.3">
      <c r="A433" t="s">
        <v>581</v>
      </c>
      <c r="B433" s="1">
        <v>44940</v>
      </c>
      <c r="C433" t="s">
        <v>112</v>
      </c>
      <c r="D433" t="s">
        <v>113</v>
      </c>
      <c r="E433" t="s">
        <v>66</v>
      </c>
      <c r="F433" t="s">
        <v>67</v>
      </c>
      <c r="G433" t="s">
        <v>97</v>
      </c>
      <c r="H433" t="s">
        <v>98</v>
      </c>
      <c r="I433">
        <v>1</v>
      </c>
      <c r="J433">
        <v>47100</v>
      </c>
      <c r="K433">
        <v>25</v>
      </c>
      <c r="L433" t="s">
        <v>19</v>
      </c>
    </row>
    <row r="434" spans="1:12" x14ac:dyDescent="0.3">
      <c r="A434" t="s">
        <v>582</v>
      </c>
      <c r="B434" s="1">
        <v>44971</v>
      </c>
      <c r="C434" t="s">
        <v>49</v>
      </c>
      <c r="D434" t="s">
        <v>50</v>
      </c>
      <c r="E434" t="s">
        <v>81</v>
      </c>
      <c r="F434" t="s">
        <v>110</v>
      </c>
      <c r="G434" t="s">
        <v>17</v>
      </c>
      <c r="H434" t="s">
        <v>88</v>
      </c>
      <c r="I434">
        <v>1</v>
      </c>
      <c r="J434">
        <v>50700</v>
      </c>
      <c r="K434">
        <v>0</v>
      </c>
      <c r="L434" t="s">
        <v>62</v>
      </c>
    </row>
    <row r="435" spans="1:12" x14ac:dyDescent="0.3">
      <c r="A435" t="s">
        <v>583</v>
      </c>
      <c r="B435" s="1">
        <v>44971</v>
      </c>
      <c r="C435" t="s">
        <v>64</v>
      </c>
      <c r="D435" t="s">
        <v>65</v>
      </c>
      <c r="E435" t="s">
        <v>66</v>
      </c>
      <c r="F435" t="s">
        <v>67</v>
      </c>
      <c r="G435" t="s">
        <v>25</v>
      </c>
      <c r="H435" t="s">
        <v>108</v>
      </c>
      <c r="I435">
        <v>2</v>
      </c>
      <c r="J435">
        <v>2100</v>
      </c>
      <c r="K435">
        <v>25</v>
      </c>
      <c r="L435" t="s">
        <v>47</v>
      </c>
    </row>
    <row r="436" spans="1:12" x14ac:dyDescent="0.3">
      <c r="A436" t="s">
        <v>584</v>
      </c>
      <c r="B436" s="1">
        <v>44971</v>
      </c>
      <c r="C436" t="s">
        <v>147</v>
      </c>
      <c r="D436" t="s">
        <v>148</v>
      </c>
      <c r="E436" t="s">
        <v>15</v>
      </c>
      <c r="F436" t="s">
        <v>119</v>
      </c>
      <c r="G436" t="s">
        <v>97</v>
      </c>
      <c r="H436" t="s">
        <v>98</v>
      </c>
      <c r="I436">
        <v>1</v>
      </c>
      <c r="J436">
        <v>52300</v>
      </c>
      <c r="K436">
        <v>5</v>
      </c>
      <c r="L436" t="s">
        <v>47</v>
      </c>
    </row>
    <row r="437" spans="1:12" x14ac:dyDescent="0.3">
      <c r="A437" t="s">
        <v>585</v>
      </c>
      <c r="B437" s="1">
        <v>44971</v>
      </c>
      <c r="C437" t="s">
        <v>158</v>
      </c>
      <c r="D437" t="s">
        <v>159</v>
      </c>
      <c r="E437" t="s">
        <v>66</v>
      </c>
      <c r="F437" t="s">
        <v>72</v>
      </c>
      <c r="G437" t="s">
        <v>17</v>
      </c>
      <c r="H437" t="s">
        <v>18</v>
      </c>
      <c r="I437">
        <v>1</v>
      </c>
      <c r="J437">
        <v>16500</v>
      </c>
      <c r="K437">
        <v>25</v>
      </c>
      <c r="L437" t="s">
        <v>53</v>
      </c>
    </row>
    <row r="438" spans="1:12" x14ac:dyDescent="0.3">
      <c r="A438" t="s">
        <v>586</v>
      </c>
      <c r="B438" s="1">
        <v>44999</v>
      </c>
      <c r="C438" t="s">
        <v>35</v>
      </c>
      <c r="D438" t="s">
        <v>36</v>
      </c>
      <c r="E438" t="s">
        <v>15</v>
      </c>
      <c r="F438" t="s">
        <v>16</v>
      </c>
      <c r="G438" t="s">
        <v>25</v>
      </c>
      <c r="H438" t="s">
        <v>108</v>
      </c>
      <c r="I438">
        <v>1</v>
      </c>
      <c r="J438">
        <v>2300</v>
      </c>
      <c r="K438">
        <v>0</v>
      </c>
      <c r="L438" t="s">
        <v>19</v>
      </c>
    </row>
    <row r="439" spans="1:12" x14ac:dyDescent="0.3">
      <c r="A439" t="s">
        <v>587</v>
      </c>
      <c r="B439" s="1">
        <v>44999</v>
      </c>
      <c r="C439" t="s">
        <v>185</v>
      </c>
      <c r="D439" t="s">
        <v>186</v>
      </c>
      <c r="E439" t="s">
        <v>81</v>
      </c>
      <c r="F439" t="s">
        <v>82</v>
      </c>
      <c r="G439" t="s">
        <v>17</v>
      </c>
      <c r="H439" t="s">
        <v>168</v>
      </c>
      <c r="I439">
        <v>1</v>
      </c>
      <c r="J439">
        <v>29300</v>
      </c>
      <c r="K439">
        <v>10</v>
      </c>
      <c r="L439" t="s">
        <v>19</v>
      </c>
    </row>
    <row r="440" spans="1:12" x14ac:dyDescent="0.3">
      <c r="A440" t="s">
        <v>588</v>
      </c>
      <c r="B440" s="1">
        <v>45030</v>
      </c>
      <c r="C440" t="s">
        <v>232</v>
      </c>
      <c r="D440" t="s">
        <v>233</v>
      </c>
      <c r="E440" t="s">
        <v>81</v>
      </c>
      <c r="F440" t="s">
        <v>117</v>
      </c>
      <c r="G440" t="s">
        <v>97</v>
      </c>
      <c r="H440" t="s">
        <v>154</v>
      </c>
      <c r="I440">
        <v>2</v>
      </c>
      <c r="J440">
        <v>53900</v>
      </c>
      <c r="K440">
        <v>0</v>
      </c>
      <c r="L440" t="s">
        <v>62</v>
      </c>
    </row>
    <row r="441" spans="1:12" x14ac:dyDescent="0.3">
      <c r="A441" t="s">
        <v>589</v>
      </c>
      <c r="B441" s="1">
        <v>45060</v>
      </c>
      <c r="C441" t="s">
        <v>250</v>
      </c>
      <c r="D441" t="s">
        <v>251</v>
      </c>
      <c r="E441" t="s">
        <v>37</v>
      </c>
      <c r="F441" t="s">
        <v>141</v>
      </c>
      <c r="G441" t="s">
        <v>39</v>
      </c>
      <c r="H441" t="s">
        <v>102</v>
      </c>
      <c r="I441">
        <v>1</v>
      </c>
      <c r="J441">
        <v>22800</v>
      </c>
      <c r="K441">
        <v>20</v>
      </c>
      <c r="L441" t="s">
        <v>47</v>
      </c>
    </row>
    <row r="442" spans="1:12" x14ac:dyDescent="0.3">
      <c r="A442" t="s">
        <v>590</v>
      </c>
      <c r="B442" s="1">
        <v>45060</v>
      </c>
      <c r="C442" t="s">
        <v>95</v>
      </c>
      <c r="D442" t="s">
        <v>96</v>
      </c>
      <c r="E442" t="s">
        <v>37</v>
      </c>
      <c r="F442" t="s">
        <v>141</v>
      </c>
      <c r="G442" t="s">
        <v>17</v>
      </c>
      <c r="H442" t="s">
        <v>18</v>
      </c>
      <c r="I442">
        <v>1</v>
      </c>
      <c r="J442">
        <v>28400</v>
      </c>
      <c r="K442">
        <v>0</v>
      </c>
      <c r="L442" t="s">
        <v>19</v>
      </c>
    </row>
    <row r="443" spans="1:12" x14ac:dyDescent="0.3">
      <c r="A443" t="s">
        <v>591</v>
      </c>
      <c r="B443" s="1">
        <v>45060</v>
      </c>
      <c r="C443" t="s">
        <v>75</v>
      </c>
      <c r="D443" t="s">
        <v>76</v>
      </c>
      <c r="E443" t="s">
        <v>37</v>
      </c>
      <c r="F443" t="s">
        <v>61</v>
      </c>
      <c r="G443" t="s">
        <v>97</v>
      </c>
      <c r="H443" t="s">
        <v>174</v>
      </c>
      <c r="I443">
        <v>2</v>
      </c>
      <c r="J443">
        <v>59100</v>
      </c>
      <c r="K443">
        <v>20</v>
      </c>
      <c r="L443" t="s">
        <v>53</v>
      </c>
    </row>
    <row r="444" spans="1:12" x14ac:dyDescent="0.3">
      <c r="A444" t="s">
        <v>592</v>
      </c>
      <c r="B444" s="1">
        <v>45091</v>
      </c>
      <c r="C444" t="s">
        <v>250</v>
      </c>
      <c r="D444" t="s">
        <v>251</v>
      </c>
      <c r="E444" t="s">
        <v>37</v>
      </c>
      <c r="F444" t="s">
        <v>101</v>
      </c>
      <c r="G444" t="s">
        <v>39</v>
      </c>
      <c r="H444" t="s">
        <v>57</v>
      </c>
      <c r="I444">
        <v>1</v>
      </c>
      <c r="J444">
        <v>25300</v>
      </c>
      <c r="K444">
        <v>10</v>
      </c>
      <c r="L444" t="s">
        <v>19</v>
      </c>
    </row>
    <row r="445" spans="1:12" x14ac:dyDescent="0.3">
      <c r="A445" t="s">
        <v>593</v>
      </c>
      <c r="B445" s="1">
        <v>45091</v>
      </c>
      <c r="C445" t="s">
        <v>158</v>
      </c>
      <c r="D445" t="s">
        <v>159</v>
      </c>
      <c r="E445" t="s">
        <v>23</v>
      </c>
      <c r="F445" t="s">
        <v>24</v>
      </c>
      <c r="G445" t="s">
        <v>45</v>
      </c>
      <c r="H445" t="s">
        <v>52</v>
      </c>
      <c r="I445">
        <v>1</v>
      </c>
      <c r="J445">
        <v>35600</v>
      </c>
      <c r="K445">
        <v>5</v>
      </c>
      <c r="L445" t="s">
        <v>27</v>
      </c>
    </row>
    <row r="446" spans="1:12" x14ac:dyDescent="0.3">
      <c r="A446" t="s">
        <v>594</v>
      </c>
      <c r="B446" s="1">
        <v>45121</v>
      </c>
      <c r="C446" t="s">
        <v>135</v>
      </c>
      <c r="D446" t="s">
        <v>136</v>
      </c>
      <c r="E446" t="s">
        <v>81</v>
      </c>
      <c r="F446" t="s">
        <v>110</v>
      </c>
      <c r="G446" t="s">
        <v>45</v>
      </c>
      <c r="H446" t="s">
        <v>207</v>
      </c>
      <c r="I446">
        <v>1</v>
      </c>
      <c r="J446">
        <v>37200</v>
      </c>
      <c r="K446">
        <v>15</v>
      </c>
      <c r="L446" t="s">
        <v>103</v>
      </c>
    </row>
    <row r="447" spans="1:12" x14ac:dyDescent="0.3">
      <c r="A447" t="s">
        <v>595</v>
      </c>
      <c r="B447" s="1">
        <v>45121</v>
      </c>
      <c r="C447" t="s">
        <v>203</v>
      </c>
      <c r="D447" t="s">
        <v>204</v>
      </c>
      <c r="E447" t="s">
        <v>23</v>
      </c>
      <c r="F447" t="s">
        <v>44</v>
      </c>
      <c r="G447" t="s">
        <v>39</v>
      </c>
      <c r="H447" t="s">
        <v>102</v>
      </c>
      <c r="I447">
        <v>1</v>
      </c>
      <c r="J447">
        <v>17200</v>
      </c>
      <c r="K447">
        <v>5</v>
      </c>
      <c r="L447" t="s">
        <v>62</v>
      </c>
    </row>
    <row r="448" spans="1:12" x14ac:dyDescent="0.3">
      <c r="A448" t="s">
        <v>596</v>
      </c>
      <c r="B448" s="1">
        <v>45121</v>
      </c>
      <c r="C448" t="s">
        <v>42</v>
      </c>
      <c r="D448" t="s">
        <v>43</v>
      </c>
      <c r="E448" t="s">
        <v>66</v>
      </c>
      <c r="F448" t="s">
        <v>92</v>
      </c>
      <c r="G448" t="s">
        <v>45</v>
      </c>
      <c r="H448" t="s">
        <v>52</v>
      </c>
      <c r="I448">
        <v>1</v>
      </c>
      <c r="J448">
        <v>49100</v>
      </c>
      <c r="K448">
        <v>10</v>
      </c>
      <c r="L448" t="s">
        <v>73</v>
      </c>
    </row>
    <row r="449" spans="1:12" x14ac:dyDescent="0.3">
      <c r="A449" t="s">
        <v>597</v>
      </c>
      <c r="B449" s="1">
        <v>45121</v>
      </c>
      <c r="C449" t="s">
        <v>115</v>
      </c>
      <c r="D449" t="s">
        <v>116</v>
      </c>
      <c r="E449" t="s">
        <v>66</v>
      </c>
      <c r="F449" t="s">
        <v>72</v>
      </c>
      <c r="G449" t="s">
        <v>45</v>
      </c>
      <c r="H449" t="s">
        <v>46</v>
      </c>
      <c r="I449">
        <v>1</v>
      </c>
      <c r="J449">
        <v>32200</v>
      </c>
      <c r="K449">
        <v>20</v>
      </c>
      <c r="L449" t="s">
        <v>103</v>
      </c>
    </row>
    <row r="450" spans="1:12" x14ac:dyDescent="0.3">
      <c r="A450" t="s">
        <v>598</v>
      </c>
      <c r="B450" s="1">
        <v>45121</v>
      </c>
      <c r="C450" t="s">
        <v>79</v>
      </c>
      <c r="D450" t="s">
        <v>80</v>
      </c>
      <c r="E450" t="s">
        <v>15</v>
      </c>
      <c r="F450" t="s">
        <v>128</v>
      </c>
      <c r="G450" t="s">
        <v>39</v>
      </c>
      <c r="H450" t="s">
        <v>40</v>
      </c>
      <c r="I450">
        <v>1</v>
      </c>
      <c r="J450">
        <v>24000</v>
      </c>
      <c r="K450">
        <v>0</v>
      </c>
      <c r="L450" t="s">
        <v>103</v>
      </c>
    </row>
    <row r="451" spans="1:12" x14ac:dyDescent="0.3">
      <c r="A451" t="s">
        <v>599</v>
      </c>
      <c r="B451" s="1">
        <v>45152</v>
      </c>
      <c r="C451" t="s">
        <v>284</v>
      </c>
      <c r="D451" t="s">
        <v>285</v>
      </c>
      <c r="E451" t="s">
        <v>66</v>
      </c>
      <c r="F451" t="s">
        <v>92</v>
      </c>
      <c r="G451" t="s">
        <v>39</v>
      </c>
      <c r="H451" t="s">
        <v>102</v>
      </c>
      <c r="I451">
        <v>1</v>
      </c>
      <c r="J451">
        <v>24300</v>
      </c>
      <c r="K451">
        <v>15</v>
      </c>
      <c r="L451" t="s">
        <v>53</v>
      </c>
    </row>
    <row r="452" spans="1:12" x14ac:dyDescent="0.3">
      <c r="A452" t="s">
        <v>600</v>
      </c>
      <c r="B452" s="1">
        <v>45183</v>
      </c>
      <c r="C452" t="s">
        <v>122</v>
      </c>
      <c r="D452" t="s">
        <v>123</v>
      </c>
      <c r="E452" t="s">
        <v>37</v>
      </c>
      <c r="F452" t="s">
        <v>38</v>
      </c>
      <c r="G452" t="s">
        <v>45</v>
      </c>
      <c r="H452" t="s">
        <v>156</v>
      </c>
      <c r="I452">
        <v>1</v>
      </c>
      <c r="J452">
        <v>50000</v>
      </c>
      <c r="K452">
        <v>20</v>
      </c>
      <c r="L452" t="s">
        <v>53</v>
      </c>
    </row>
    <row r="453" spans="1:12" x14ac:dyDescent="0.3">
      <c r="A453" t="s">
        <v>601</v>
      </c>
      <c r="B453" s="1">
        <v>45183</v>
      </c>
      <c r="C453" t="s">
        <v>59</v>
      </c>
      <c r="D453" t="s">
        <v>60</v>
      </c>
      <c r="E453" t="s">
        <v>23</v>
      </c>
      <c r="F453" t="s">
        <v>51</v>
      </c>
      <c r="G453" t="s">
        <v>39</v>
      </c>
      <c r="H453" t="s">
        <v>57</v>
      </c>
      <c r="I453">
        <v>1</v>
      </c>
      <c r="J453">
        <v>32500</v>
      </c>
      <c r="K453">
        <v>10</v>
      </c>
      <c r="L453" t="s">
        <v>53</v>
      </c>
    </row>
    <row r="454" spans="1:12" x14ac:dyDescent="0.3">
      <c r="A454" t="s">
        <v>602</v>
      </c>
      <c r="B454" s="1">
        <v>45183</v>
      </c>
      <c r="C454" t="s">
        <v>29</v>
      </c>
      <c r="D454" t="s">
        <v>30</v>
      </c>
      <c r="E454" t="s">
        <v>66</v>
      </c>
      <c r="F454" t="s">
        <v>87</v>
      </c>
      <c r="G454" t="s">
        <v>17</v>
      </c>
      <c r="H454" t="s">
        <v>77</v>
      </c>
      <c r="I454">
        <v>1</v>
      </c>
      <c r="J454">
        <v>19300</v>
      </c>
      <c r="K454">
        <v>20</v>
      </c>
      <c r="L454" t="s">
        <v>73</v>
      </c>
    </row>
    <row r="455" spans="1:12" x14ac:dyDescent="0.3">
      <c r="A455" t="s">
        <v>603</v>
      </c>
      <c r="B455" s="1">
        <v>45213</v>
      </c>
      <c r="C455" t="s">
        <v>163</v>
      </c>
      <c r="D455" t="s">
        <v>73</v>
      </c>
      <c r="E455" t="s">
        <v>15</v>
      </c>
      <c r="F455" t="s">
        <v>16</v>
      </c>
      <c r="G455" t="s">
        <v>45</v>
      </c>
      <c r="H455" t="s">
        <v>207</v>
      </c>
      <c r="I455">
        <v>1</v>
      </c>
      <c r="J455">
        <v>29200</v>
      </c>
      <c r="K455">
        <v>10</v>
      </c>
      <c r="L455" t="s">
        <v>53</v>
      </c>
    </row>
    <row r="456" spans="1:12" x14ac:dyDescent="0.3">
      <c r="A456" t="s">
        <v>604</v>
      </c>
      <c r="B456" s="1">
        <v>45213</v>
      </c>
      <c r="C456" t="s">
        <v>163</v>
      </c>
      <c r="D456" t="s">
        <v>73</v>
      </c>
      <c r="E456" t="s">
        <v>15</v>
      </c>
      <c r="F456" t="s">
        <v>131</v>
      </c>
      <c r="G456" t="s">
        <v>25</v>
      </c>
      <c r="H456" t="s">
        <v>212</v>
      </c>
      <c r="I456">
        <v>2</v>
      </c>
      <c r="J456">
        <v>1300</v>
      </c>
      <c r="K456">
        <v>0</v>
      </c>
      <c r="L456" t="s">
        <v>62</v>
      </c>
    </row>
    <row r="457" spans="1:12" x14ac:dyDescent="0.3">
      <c r="A457" t="s">
        <v>605</v>
      </c>
      <c r="B457" s="1">
        <v>45213</v>
      </c>
      <c r="C457" t="s">
        <v>284</v>
      </c>
      <c r="D457" t="s">
        <v>285</v>
      </c>
      <c r="E457" t="s">
        <v>81</v>
      </c>
      <c r="F457" t="s">
        <v>110</v>
      </c>
      <c r="G457" t="s">
        <v>17</v>
      </c>
      <c r="H457" t="s">
        <v>18</v>
      </c>
      <c r="I457">
        <v>1</v>
      </c>
      <c r="J457">
        <v>34100</v>
      </c>
      <c r="K457">
        <v>0</v>
      </c>
      <c r="L457" t="s">
        <v>53</v>
      </c>
    </row>
    <row r="458" spans="1:12" x14ac:dyDescent="0.3">
      <c r="A458" t="s">
        <v>606</v>
      </c>
      <c r="B458" s="1">
        <v>45244</v>
      </c>
      <c r="C458" t="s">
        <v>135</v>
      </c>
      <c r="D458" t="s">
        <v>136</v>
      </c>
      <c r="E458" t="s">
        <v>37</v>
      </c>
      <c r="F458" t="s">
        <v>38</v>
      </c>
      <c r="G458" t="s">
        <v>17</v>
      </c>
      <c r="H458" t="s">
        <v>196</v>
      </c>
      <c r="I458">
        <v>1</v>
      </c>
      <c r="J458">
        <v>21000</v>
      </c>
      <c r="K458">
        <v>10</v>
      </c>
      <c r="L458" t="s">
        <v>62</v>
      </c>
    </row>
    <row r="459" spans="1:12" x14ac:dyDescent="0.3">
      <c r="A459" t="s">
        <v>607</v>
      </c>
      <c r="B459" s="1">
        <v>45244</v>
      </c>
      <c r="C459" t="s">
        <v>49</v>
      </c>
      <c r="D459" t="s">
        <v>50</v>
      </c>
      <c r="E459" t="s">
        <v>23</v>
      </c>
      <c r="F459" t="s">
        <v>44</v>
      </c>
      <c r="G459" t="s">
        <v>39</v>
      </c>
      <c r="H459" t="s">
        <v>40</v>
      </c>
      <c r="I459">
        <v>1</v>
      </c>
      <c r="J459">
        <v>32300</v>
      </c>
      <c r="K459">
        <v>5</v>
      </c>
      <c r="L459" t="s">
        <v>53</v>
      </c>
    </row>
    <row r="460" spans="1:12" x14ac:dyDescent="0.3">
      <c r="A460" t="s">
        <v>608</v>
      </c>
      <c r="B460" s="1">
        <v>45244</v>
      </c>
      <c r="C460" t="s">
        <v>130</v>
      </c>
      <c r="D460" t="s">
        <v>53</v>
      </c>
      <c r="E460" t="s">
        <v>81</v>
      </c>
      <c r="F460" t="s">
        <v>82</v>
      </c>
      <c r="G460" t="s">
        <v>17</v>
      </c>
      <c r="H460" t="s">
        <v>77</v>
      </c>
      <c r="I460">
        <v>1</v>
      </c>
      <c r="J460">
        <v>26500</v>
      </c>
      <c r="K460">
        <v>0</v>
      </c>
      <c r="L460" t="s">
        <v>27</v>
      </c>
    </row>
    <row r="461" spans="1:12" x14ac:dyDescent="0.3">
      <c r="A461" t="s">
        <v>609</v>
      </c>
      <c r="B461" s="1">
        <v>45244</v>
      </c>
      <c r="C461" t="s">
        <v>95</v>
      </c>
      <c r="D461" t="s">
        <v>96</v>
      </c>
      <c r="E461" t="s">
        <v>23</v>
      </c>
      <c r="F461" t="s">
        <v>51</v>
      </c>
      <c r="G461" t="s">
        <v>45</v>
      </c>
      <c r="H461" t="s">
        <v>156</v>
      </c>
      <c r="I461">
        <v>2</v>
      </c>
      <c r="J461">
        <v>34600</v>
      </c>
      <c r="K461">
        <v>15</v>
      </c>
      <c r="L461" t="s">
        <v>47</v>
      </c>
    </row>
    <row r="462" spans="1:12" x14ac:dyDescent="0.3">
      <c r="A462" t="s">
        <v>610</v>
      </c>
      <c r="B462" s="1">
        <v>45244</v>
      </c>
      <c r="C462" t="s">
        <v>158</v>
      </c>
      <c r="D462" t="s">
        <v>159</v>
      </c>
      <c r="E462" t="s">
        <v>81</v>
      </c>
      <c r="F462" t="s">
        <v>117</v>
      </c>
      <c r="G462" t="s">
        <v>97</v>
      </c>
      <c r="H462" t="s">
        <v>174</v>
      </c>
      <c r="I462">
        <v>2</v>
      </c>
      <c r="J462">
        <v>41400</v>
      </c>
      <c r="K462">
        <v>5</v>
      </c>
      <c r="L462" t="s">
        <v>103</v>
      </c>
    </row>
    <row r="463" spans="1:12" x14ac:dyDescent="0.3">
      <c r="A463" t="s">
        <v>611</v>
      </c>
      <c r="B463" s="1">
        <v>45274</v>
      </c>
      <c r="C463" t="s">
        <v>21</v>
      </c>
      <c r="D463" t="s">
        <v>22</v>
      </c>
      <c r="E463" t="s">
        <v>15</v>
      </c>
      <c r="F463" t="s">
        <v>131</v>
      </c>
      <c r="G463" t="s">
        <v>45</v>
      </c>
      <c r="H463" t="s">
        <v>207</v>
      </c>
      <c r="I463">
        <v>1</v>
      </c>
      <c r="J463">
        <v>27000</v>
      </c>
      <c r="K463">
        <v>10</v>
      </c>
      <c r="L463" t="s">
        <v>33</v>
      </c>
    </row>
    <row r="464" spans="1:12" x14ac:dyDescent="0.3">
      <c r="A464" t="s">
        <v>612</v>
      </c>
      <c r="B464" s="1">
        <v>45274</v>
      </c>
      <c r="C464" t="s">
        <v>151</v>
      </c>
      <c r="D464" t="s">
        <v>152</v>
      </c>
      <c r="E464" t="s">
        <v>15</v>
      </c>
      <c r="F464" t="s">
        <v>128</v>
      </c>
      <c r="G464" t="s">
        <v>39</v>
      </c>
      <c r="H464" t="s">
        <v>57</v>
      </c>
      <c r="I464">
        <v>1</v>
      </c>
      <c r="J464">
        <v>12800</v>
      </c>
      <c r="K464">
        <v>5</v>
      </c>
      <c r="L464" t="s">
        <v>53</v>
      </c>
    </row>
    <row r="465" spans="1:12" x14ac:dyDescent="0.3">
      <c r="A465" t="s">
        <v>613</v>
      </c>
      <c r="B465" s="1">
        <v>45274</v>
      </c>
      <c r="C465" t="s">
        <v>122</v>
      </c>
      <c r="D465" t="s">
        <v>123</v>
      </c>
      <c r="E465" t="s">
        <v>81</v>
      </c>
      <c r="F465" t="s">
        <v>110</v>
      </c>
      <c r="G465" t="s">
        <v>25</v>
      </c>
      <c r="H465" t="s">
        <v>212</v>
      </c>
      <c r="I465">
        <v>2</v>
      </c>
      <c r="J465">
        <v>1000</v>
      </c>
      <c r="K465">
        <v>10</v>
      </c>
      <c r="L465" t="s">
        <v>73</v>
      </c>
    </row>
    <row r="466" spans="1:12" x14ac:dyDescent="0.3">
      <c r="A466" t="s">
        <v>614</v>
      </c>
      <c r="B466" s="1">
        <v>44941</v>
      </c>
      <c r="C466" t="s">
        <v>75</v>
      </c>
      <c r="D466" t="s">
        <v>76</v>
      </c>
      <c r="E466" t="s">
        <v>66</v>
      </c>
      <c r="F466" t="s">
        <v>92</v>
      </c>
      <c r="G466" t="s">
        <v>25</v>
      </c>
      <c r="H466" t="s">
        <v>32</v>
      </c>
      <c r="I466">
        <v>1</v>
      </c>
      <c r="J466">
        <v>1900</v>
      </c>
      <c r="K466">
        <v>15</v>
      </c>
      <c r="L466" t="s">
        <v>103</v>
      </c>
    </row>
    <row r="467" spans="1:12" x14ac:dyDescent="0.3">
      <c r="A467" t="s">
        <v>615</v>
      </c>
      <c r="B467" s="1">
        <v>44941</v>
      </c>
      <c r="C467" t="s">
        <v>90</v>
      </c>
      <c r="D467" t="s">
        <v>91</v>
      </c>
      <c r="E467" t="s">
        <v>66</v>
      </c>
      <c r="F467" t="s">
        <v>67</v>
      </c>
      <c r="G467" t="s">
        <v>17</v>
      </c>
      <c r="H467" t="s">
        <v>18</v>
      </c>
      <c r="I467">
        <v>1</v>
      </c>
      <c r="J467">
        <v>31200</v>
      </c>
      <c r="K467">
        <v>5</v>
      </c>
      <c r="L467" t="s">
        <v>33</v>
      </c>
    </row>
    <row r="468" spans="1:12" x14ac:dyDescent="0.3">
      <c r="A468" t="s">
        <v>616</v>
      </c>
      <c r="B468" s="1">
        <v>44941</v>
      </c>
      <c r="C468" t="s">
        <v>143</v>
      </c>
      <c r="D468" t="s">
        <v>144</v>
      </c>
      <c r="E468" t="s">
        <v>81</v>
      </c>
      <c r="F468" t="s">
        <v>160</v>
      </c>
      <c r="G468" t="s">
        <v>17</v>
      </c>
      <c r="H468" t="s">
        <v>18</v>
      </c>
      <c r="I468">
        <v>1</v>
      </c>
      <c r="J468">
        <v>45900</v>
      </c>
      <c r="K468">
        <v>15</v>
      </c>
      <c r="L468" t="s">
        <v>53</v>
      </c>
    </row>
    <row r="469" spans="1:12" x14ac:dyDescent="0.3">
      <c r="A469" t="s">
        <v>617</v>
      </c>
      <c r="B469" s="1">
        <v>44972</v>
      </c>
      <c r="C469" t="s">
        <v>203</v>
      </c>
      <c r="D469" t="s">
        <v>204</v>
      </c>
      <c r="E469" t="s">
        <v>37</v>
      </c>
      <c r="F469" t="s">
        <v>141</v>
      </c>
      <c r="G469" t="s">
        <v>25</v>
      </c>
      <c r="H469" t="s">
        <v>212</v>
      </c>
      <c r="I469">
        <v>2</v>
      </c>
      <c r="J469">
        <v>1300</v>
      </c>
      <c r="K469">
        <v>10</v>
      </c>
      <c r="L469" t="s">
        <v>27</v>
      </c>
    </row>
    <row r="470" spans="1:12" x14ac:dyDescent="0.3">
      <c r="A470" t="s">
        <v>618</v>
      </c>
      <c r="B470" s="1">
        <v>44972</v>
      </c>
      <c r="C470" t="s">
        <v>79</v>
      </c>
      <c r="D470" t="s">
        <v>80</v>
      </c>
      <c r="E470" t="s">
        <v>66</v>
      </c>
      <c r="F470" t="s">
        <v>87</v>
      </c>
      <c r="G470" t="s">
        <v>45</v>
      </c>
      <c r="H470" t="s">
        <v>46</v>
      </c>
      <c r="I470">
        <v>2</v>
      </c>
      <c r="J470">
        <v>50000</v>
      </c>
      <c r="K470">
        <v>0</v>
      </c>
      <c r="L470" t="s">
        <v>27</v>
      </c>
    </row>
    <row r="471" spans="1:12" x14ac:dyDescent="0.3">
      <c r="A471" t="s">
        <v>619</v>
      </c>
      <c r="B471" s="1">
        <v>44972</v>
      </c>
      <c r="C471" t="s">
        <v>244</v>
      </c>
      <c r="D471" t="s">
        <v>245</v>
      </c>
      <c r="E471" t="s">
        <v>23</v>
      </c>
      <c r="F471" t="s">
        <v>44</v>
      </c>
      <c r="G471" t="s">
        <v>45</v>
      </c>
      <c r="H471" t="s">
        <v>156</v>
      </c>
      <c r="I471">
        <v>1</v>
      </c>
      <c r="J471">
        <v>21300</v>
      </c>
      <c r="K471">
        <v>0</v>
      </c>
      <c r="L471" t="s">
        <v>73</v>
      </c>
    </row>
    <row r="472" spans="1:12" x14ac:dyDescent="0.3">
      <c r="A472" t="s">
        <v>620</v>
      </c>
      <c r="B472" s="1">
        <v>45000</v>
      </c>
      <c r="C472" t="s">
        <v>236</v>
      </c>
      <c r="D472" t="s">
        <v>237</v>
      </c>
      <c r="E472" t="s">
        <v>23</v>
      </c>
      <c r="F472" t="s">
        <v>51</v>
      </c>
      <c r="G472" t="s">
        <v>17</v>
      </c>
      <c r="H472" t="s">
        <v>88</v>
      </c>
      <c r="I472">
        <v>2</v>
      </c>
      <c r="J472">
        <v>51100</v>
      </c>
      <c r="K472">
        <v>15</v>
      </c>
      <c r="L472" t="s">
        <v>19</v>
      </c>
    </row>
    <row r="473" spans="1:12" x14ac:dyDescent="0.3">
      <c r="A473" t="s">
        <v>621</v>
      </c>
      <c r="B473" s="1">
        <v>45000</v>
      </c>
      <c r="C473" t="s">
        <v>180</v>
      </c>
      <c r="D473" t="s">
        <v>181</v>
      </c>
      <c r="E473" t="s">
        <v>23</v>
      </c>
      <c r="F473" t="s">
        <v>51</v>
      </c>
      <c r="G473" t="s">
        <v>39</v>
      </c>
      <c r="H473" t="s">
        <v>40</v>
      </c>
      <c r="I473">
        <v>1</v>
      </c>
      <c r="J473">
        <v>14200</v>
      </c>
      <c r="K473">
        <v>10</v>
      </c>
      <c r="L473" t="s">
        <v>27</v>
      </c>
    </row>
    <row r="474" spans="1:12" x14ac:dyDescent="0.3">
      <c r="A474" t="s">
        <v>622</v>
      </c>
      <c r="B474" s="1">
        <v>45000</v>
      </c>
      <c r="C474" t="s">
        <v>143</v>
      </c>
      <c r="D474" t="s">
        <v>144</v>
      </c>
      <c r="E474" t="s">
        <v>15</v>
      </c>
      <c r="F474" t="s">
        <v>119</v>
      </c>
      <c r="G474" t="s">
        <v>97</v>
      </c>
      <c r="H474" t="s">
        <v>171</v>
      </c>
      <c r="I474">
        <v>1</v>
      </c>
      <c r="J474">
        <v>57100</v>
      </c>
      <c r="K474">
        <v>0</v>
      </c>
      <c r="L474" t="s">
        <v>53</v>
      </c>
    </row>
    <row r="475" spans="1:12" x14ac:dyDescent="0.3">
      <c r="A475" t="s">
        <v>623</v>
      </c>
      <c r="B475" s="1">
        <v>45031</v>
      </c>
      <c r="C475" t="s">
        <v>115</v>
      </c>
      <c r="D475" t="s">
        <v>116</v>
      </c>
      <c r="E475" t="s">
        <v>81</v>
      </c>
      <c r="F475" t="s">
        <v>110</v>
      </c>
      <c r="G475" t="s">
        <v>45</v>
      </c>
      <c r="H475" t="s">
        <v>207</v>
      </c>
      <c r="I475">
        <v>1</v>
      </c>
      <c r="J475">
        <v>31200</v>
      </c>
      <c r="K475">
        <v>0</v>
      </c>
      <c r="L475" t="s">
        <v>47</v>
      </c>
    </row>
    <row r="476" spans="1:12" x14ac:dyDescent="0.3">
      <c r="A476" t="s">
        <v>624</v>
      </c>
      <c r="B476" s="1">
        <v>45031</v>
      </c>
      <c r="C476" t="s">
        <v>79</v>
      </c>
      <c r="D476" t="s">
        <v>80</v>
      </c>
      <c r="E476" t="s">
        <v>81</v>
      </c>
      <c r="F476" t="s">
        <v>117</v>
      </c>
      <c r="G476" t="s">
        <v>45</v>
      </c>
      <c r="H476" t="s">
        <v>52</v>
      </c>
      <c r="I476">
        <v>2</v>
      </c>
      <c r="J476">
        <v>43400</v>
      </c>
      <c r="K476">
        <v>10</v>
      </c>
      <c r="L476" t="s">
        <v>62</v>
      </c>
    </row>
    <row r="477" spans="1:12" x14ac:dyDescent="0.3">
      <c r="A477" t="s">
        <v>625</v>
      </c>
      <c r="B477" s="1">
        <v>45061</v>
      </c>
      <c r="C477" t="s">
        <v>232</v>
      </c>
      <c r="D477" t="s">
        <v>233</v>
      </c>
      <c r="E477" t="s">
        <v>23</v>
      </c>
      <c r="F477" t="s">
        <v>44</v>
      </c>
      <c r="G477" t="s">
        <v>17</v>
      </c>
      <c r="H477" t="s">
        <v>18</v>
      </c>
      <c r="I477">
        <v>1</v>
      </c>
      <c r="J477">
        <v>48300</v>
      </c>
      <c r="K477">
        <v>25</v>
      </c>
      <c r="L477" t="s">
        <v>47</v>
      </c>
    </row>
    <row r="478" spans="1:12" x14ac:dyDescent="0.3">
      <c r="A478" t="s">
        <v>626</v>
      </c>
      <c r="B478" s="1">
        <v>45061</v>
      </c>
      <c r="C478" t="s">
        <v>180</v>
      </c>
      <c r="D478" t="s">
        <v>181</v>
      </c>
      <c r="E478" t="s">
        <v>81</v>
      </c>
      <c r="F478" t="s">
        <v>110</v>
      </c>
      <c r="G478" t="s">
        <v>17</v>
      </c>
      <c r="H478" t="s">
        <v>18</v>
      </c>
      <c r="I478">
        <v>1</v>
      </c>
      <c r="J478">
        <v>25600</v>
      </c>
      <c r="K478">
        <v>5</v>
      </c>
      <c r="L478" t="s">
        <v>33</v>
      </c>
    </row>
    <row r="479" spans="1:12" x14ac:dyDescent="0.3">
      <c r="A479" t="s">
        <v>627</v>
      </c>
      <c r="B479" s="1">
        <v>45061</v>
      </c>
      <c r="C479" t="s">
        <v>210</v>
      </c>
      <c r="D479" t="s">
        <v>211</v>
      </c>
      <c r="E479" t="s">
        <v>23</v>
      </c>
      <c r="F479" t="s">
        <v>24</v>
      </c>
      <c r="G479" t="s">
        <v>97</v>
      </c>
      <c r="H479" t="s">
        <v>154</v>
      </c>
      <c r="I479">
        <v>1</v>
      </c>
      <c r="J479">
        <v>49000</v>
      </c>
      <c r="K479">
        <v>0</v>
      </c>
      <c r="L479" t="s">
        <v>27</v>
      </c>
    </row>
    <row r="480" spans="1:12" x14ac:dyDescent="0.3">
      <c r="A480" t="s">
        <v>628</v>
      </c>
      <c r="B480" s="1">
        <v>45061</v>
      </c>
      <c r="C480" t="s">
        <v>185</v>
      </c>
      <c r="D480" t="s">
        <v>186</v>
      </c>
      <c r="E480" t="s">
        <v>15</v>
      </c>
      <c r="F480" t="s">
        <v>16</v>
      </c>
      <c r="G480" t="s">
        <v>39</v>
      </c>
      <c r="H480" t="s">
        <v>40</v>
      </c>
      <c r="I480">
        <v>1</v>
      </c>
      <c r="J480">
        <v>25400</v>
      </c>
      <c r="K480">
        <v>10</v>
      </c>
      <c r="L480" t="s">
        <v>53</v>
      </c>
    </row>
    <row r="481" spans="1:12" x14ac:dyDescent="0.3">
      <c r="A481" t="s">
        <v>629</v>
      </c>
      <c r="B481" s="1">
        <v>45092</v>
      </c>
      <c r="C481" t="s">
        <v>95</v>
      </c>
      <c r="D481" t="s">
        <v>96</v>
      </c>
      <c r="E481" t="s">
        <v>15</v>
      </c>
      <c r="F481" t="s">
        <v>131</v>
      </c>
      <c r="G481" t="s">
        <v>25</v>
      </c>
      <c r="H481" t="s">
        <v>26</v>
      </c>
      <c r="I481">
        <v>2</v>
      </c>
      <c r="J481">
        <v>2000</v>
      </c>
      <c r="K481">
        <v>5</v>
      </c>
      <c r="L481" t="s">
        <v>73</v>
      </c>
    </row>
    <row r="482" spans="1:12" x14ac:dyDescent="0.3">
      <c r="A482" t="s">
        <v>630</v>
      </c>
      <c r="B482" s="1">
        <v>45092</v>
      </c>
      <c r="C482" t="s">
        <v>79</v>
      </c>
      <c r="D482" t="s">
        <v>80</v>
      </c>
      <c r="E482" t="s">
        <v>23</v>
      </c>
      <c r="F482" t="s">
        <v>24</v>
      </c>
      <c r="G482" t="s">
        <v>39</v>
      </c>
      <c r="H482" t="s">
        <v>68</v>
      </c>
      <c r="I482">
        <v>1</v>
      </c>
      <c r="J482">
        <v>35000</v>
      </c>
      <c r="K482">
        <v>0</v>
      </c>
      <c r="L482" t="s">
        <v>47</v>
      </c>
    </row>
    <row r="483" spans="1:12" x14ac:dyDescent="0.3">
      <c r="A483" t="s">
        <v>631</v>
      </c>
      <c r="B483" s="1">
        <v>45092</v>
      </c>
      <c r="C483" t="s">
        <v>105</v>
      </c>
      <c r="D483" t="s">
        <v>106</v>
      </c>
      <c r="E483" t="s">
        <v>15</v>
      </c>
      <c r="F483" t="s">
        <v>16</v>
      </c>
      <c r="G483" t="s">
        <v>97</v>
      </c>
      <c r="H483" t="s">
        <v>174</v>
      </c>
      <c r="I483">
        <v>1</v>
      </c>
      <c r="J483">
        <v>70300</v>
      </c>
      <c r="K483">
        <v>5</v>
      </c>
      <c r="L483" t="s">
        <v>103</v>
      </c>
    </row>
    <row r="484" spans="1:12" x14ac:dyDescent="0.3">
      <c r="A484" t="s">
        <v>632</v>
      </c>
      <c r="B484" s="1">
        <v>45092</v>
      </c>
      <c r="C484" t="s">
        <v>35</v>
      </c>
      <c r="D484" t="s">
        <v>36</v>
      </c>
      <c r="E484" t="s">
        <v>66</v>
      </c>
      <c r="F484" t="s">
        <v>92</v>
      </c>
      <c r="G484" t="s">
        <v>39</v>
      </c>
      <c r="H484" t="s">
        <v>57</v>
      </c>
      <c r="I484">
        <v>1</v>
      </c>
      <c r="J484">
        <v>21300</v>
      </c>
      <c r="K484">
        <v>0</v>
      </c>
      <c r="L484" t="s">
        <v>62</v>
      </c>
    </row>
    <row r="485" spans="1:12" x14ac:dyDescent="0.3">
      <c r="A485" t="s">
        <v>633</v>
      </c>
      <c r="B485" s="1">
        <v>45122</v>
      </c>
      <c r="C485" t="s">
        <v>185</v>
      </c>
      <c r="D485" t="s">
        <v>186</v>
      </c>
      <c r="E485" t="s">
        <v>37</v>
      </c>
      <c r="F485" t="s">
        <v>101</v>
      </c>
      <c r="G485" t="s">
        <v>97</v>
      </c>
      <c r="H485" t="s">
        <v>171</v>
      </c>
      <c r="I485">
        <v>1</v>
      </c>
      <c r="J485">
        <v>53300</v>
      </c>
      <c r="K485">
        <v>5</v>
      </c>
      <c r="L485" t="s">
        <v>47</v>
      </c>
    </row>
    <row r="486" spans="1:12" x14ac:dyDescent="0.3">
      <c r="A486" t="s">
        <v>634</v>
      </c>
      <c r="B486" s="1">
        <v>45153</v>
      </c>
      <c r="C486" t="s">
        <v>42</v>
      </c>
      <c r="D486" t="s">
        <v>43</v>
      </c>
      <c r="E486" t="s">
        <v>81</v>
      </c>
      <c r="F486" t="s">
        <v>160</v>
      </c>
      <c r="G486" t="s">
        <v>39</v>
      </c>
      <c r="H486" t="s">
        <v>102</v>
      </c>
      <c r="I486">
        <v>1</v>
      </c>
      <c r="J486">
        <v>25000</v>
      </c>
      <c r="K486">
        <v>10</v>
      </c>
      <c r="L486" t="s">
        <v>19</v>
      </c>
    </row>
    <row r="487" spans="1:12" x14ac:dyDescent="0.3">
      <c r="A487" t="s">
        <v>635</v>
      </c>
      <c r="B487" s="1">
        <v>45153</v>
      </c>
      <c r="C487" t="s">
        <v>64</v>
      </c>
      <c r="D487" t="s">
        <v>65</v>
      </c>
      <c r="E487" t="s">
        <v>37</v>
      </c>
      <c r="F487" t="s">
        <v>141</v>
      </c>
      <c r="G487" t="s">
        <v>25</v>
      </c>
      <c r="H487" t="s">
        <v>108</v>
      </c>
      <c r="I487">
        <v>2</v>
      </c>
      <c r="J487">
        <v>2000</v>
      </c>
      <c r="K487">
        <v>10</v>
      </c>
      <c r="L487" t="s">
        <v>62</v>
      </c>
    </row>
    <row r="488" spans="1:12" x14ac:dyDescent="0.3">
      <c r="A488" t="s">
        <v>636</v>
      </c>
      <c r="B488" s="1">
        <v>45153</v>
      </c>
      <c r="C488" t="s">
        <v>203</v>
      </c>
      <c r="D488" t="s">
        <v>204</v>
      </c>
      <c r="E488" t="s">
        <v>15</v>
      </c>
      <c r="F488" t="s">
        <v>119</v>
      </c>
      <c r="G488" t="s">
        <v>39</v>
      </c>
      <c r="H488" t="s">
        <v>68</v>
      </c>
      <c r="I488">
        <v>1</v>
      </c>
      <c r="J488">
        <v>19400</v>
      </c>
      <c r="K488">
        <v>0</v>
      </c>
      <c r="L488" t="s">
        <v>73</v>
      </c>
    </row>
    <row r="489" spans="1:12" x14ac:dyDescent="0.3">
      <c r="A489" t="s">
        <v>637</v>
      </c>
      <c r="B489" s="1">
        <v>45184</v>
      </c>
      <c r="C489" t="s">
        <v>115</v>
      </c>
      <c r="D489" t="s">
        <v>116</v>
      </c>
      <c r="E489" t="s">
        <v>81</v>
      </c>
      <c r="F489" t="s">
        <v>117</v>
      </c>
      <c r="G489" t="s">
        <v>39</v>
      </c>
      <c r="H489" t="s">
        <v>40</v>
      </c>
      <c r="I489">
        <v>1</v>
      </c>
      <c r="J489">
        <v>33600</v>
      </c>
      <c r="K489">
        <v>10</v>
      </c>
      <c r="L489" t="s">
        <v>33</v>
      </c>
    </row>
    <row r="490" spans="1:12" x14ac:dyDescent="0.3">
      <c r="A490" t="s">
        <v>638</v>
      </c>
      <c r="B490" s="1">
        <v>45184</v>
      </c>
      <c r="C490" t="s">
        <v>180</v>
      </c>
      <c r="D490" t="s">
        <v>181</v>
      </c>
      <c r="E490" t="s">
        <v>15</v>
      </c>
      <c r="F490" t="s">
        <v>119</v>
      </c>
      <c r="G490" t="s">
        <v>45</v>
      </c>
      <c r="H490" t="s">
        <v>46</v>
      </c>
      <c r="I490">
        <v>1</v>
      </c>
      <c r="J490">
        <v>43000</v>
      </c>
      <c r="K490">
        <v>10</v>
      </c>
      <c r="L490" t="s">
        <v>73</v>
      </c>
    </row>
    <row r="491" spans="1:12" x14ac:dyDescent="0.3">
      <c r="A491" t="s">
        <v>639</v>
      </c>
      <c r="B491" s="1">
        <v>45184</v>
      </c>
      <c r="C491" t="s">
        <v>75</v>
      </c>
      <c r="D491" t="s">
        <v>76</v>
      </c>
      <c r="E491" t="s">
        <v>15</v>
      </c>
      <c r="F491" t="s">
        <v>119</v>
      </c>
      <c r="G491" t="s">
        <v>17</v>
      </c>
      <c r="H491" t="s">
        <v>196</v>
      </c>
      <c r="I491">
        <v>1</v>
      </c>
      <c r="J491">
        <v>32200</v>
      </c>
      <c r="K491">
        <v>25</v>
      </c>
      <c r="L491" t="s">
        <v>47</v>
      </c>
    </row>
    <row r="492" spans="1:12" x14ac:dyDescent="0.3">
      <c r="A492" t="s">
        <v>640</v>
      </c>
      <c r="B492" s="1">
        <v>45214</v>
      </c>
      <c r="C492" t="s">
        <v>236</v>
      </c>
      <c r="D492" t="s">
        <v>237</v>
      </c>
      <c r="E492" t="s">
        <v>66</v>
      </c>
      <c r="F492" t="s">
        <v>72</v>
      </c>
      <c r="G492" t="s">
        <v>17</v>
      </c>
      <c r="H492" t="s">
        <v>196</v>
      </c>
      <c r="I492">
        <v>1</v>
      </c>
      <c r="J492">
        <v>35800</v>
      </c>
      <c r="K492">
        <v>10</v>
      </c>
      <c r="L492" t="s">
        <v>33</v>
      </c>
    </row>
    <row r="493" spans="1:12" x14ac:dyDescent="0.3">
      <c r="A493" t="s">
        <v>641</v>
      </c>
      <c r="B493" s="1">
        <v>45214</v>
      </c>
      <c r="C493" t="s">
        <v>176</v>
      </c>
      <c r="D493" t="s">
        <v>177</v>
      </c>
      <c r="E493" t="s">
        <v>23</v>
      </c>
      <c r="F493" t="s">
        <v>24</v>
      </c>
      <c r="G493" t="s">
        <v>97</v>
      </c>
      <c r="H493" t="s">
        <v>171</v>
      </c>
      <c r="I493">
        <v>1</v>
      </c>
      <c r="J493">
        <v>63300</v>
      </c>
      <c r="K493">
        <v>20</v>
      </c>
      <c r="L493" t="s">
        <v>53</v>
      </c>
    </row>
    <row r="494" spans="1:12" x14ac:dyDescent="0.3">
      <c r="A494" t="s">
        <v>642</v>
      </c>
      <c r="B494" s="1">
        <v>45214</v>
      </c>
      <c r="C494" t="s">
        <v>250</v>
      </c>
      <c r="D494" t="s">
        <v>251</v>
      </c>
      <c r="E494" t="s">
        <v>15</v>
      </c>
      <c r="F494" t="s">
        <v>16</v>
      </c>
      <c r="G494" t="s">
        <v>45</v>
      </c>
      <c r="H494" t="s">
        <v>207</v>
      </c>
      <c r="I494">
        <v>1</v>
      </c>
      <c r="J494">
        <v>36800</v>
      </c>
      <c r="K494">
        <v>15</v>
      </c>
      <c r="L494" t="s">
        <v>53</v>
      </c>
    </row>
    <row r="495" spans="1:12" x14ac:dyDescent="0.3">
      <c r="A495" t="s">
        <v>643</v>
      </c>
      <c r="B495" s="1">
        <v>45245</v>
      </c>
      <c r="C495" t="s">
        <v>176</v>
      </c>
      <c r="D495" t="s">
        <v>177</v>
      </c>
      <c r="E495" t="s">
        <v>37</v>
      </c>
      <c r="F495" t="s">
        <v>101</v>
      </c>
      <c r="G495" t="s">
        <v>25</v>
      </c>
      <c r="H495" t="s">
        <v>108</v>
      </c>
      <c r="I495">
        <v>2</v>
      </c>
      <c r="J495">
        <v>1300</v>
      </c>
      <c r="K495">
        <v>20</v>
      </c>
      <c r="L495" t="s">
        <v>47</v>
      </c>
    </row>
    <row r="496" spans="1:12" x14ac:dyDescent="0.3">
      <c r="A496" t="s">
        <v>644</v>
      </c>
      <c r="B496" s="1">
        <v>45245</v>
      </c>
      <c r="C496" t="s">
        <v>21</v>
      </c>
      <c r="D496" t="s">
        <v>22</v>
      </c>
      <c r="E496" t="s">
        <v>15</v>
      </c>
      <c r="F496" t="s">
        <v>128</v>
      </c>
      <c r="G496" t="s">
        <v>25</v>
      </c>
      <c r="H496" t="s">
        <v>26</v>
      </c>
      <c r="I496">
        <v>2</v>
      </c>
      <c r="J496">
        <v>1300</v>
      </c>
      <c r="K496">
        <v>20</v>
      </c>
      <c r="L496" t="s">
        <v>19</v>
      </c>
    </row>
    <row r="497" spans="1:12" x14ac:dyDescent="0.3">
      <c r="A497" t="s">
        <v>645</v>
      </c>
      <c r="B497" s="1">
        <v>45245</v>
      </c>
      <c r="C497" t="s">
        <v>284</v>
      </c>
      <c r="D497" t="s">
        <v>285</v>
      </c>
      <c r="E497" t="s">
        <v>37</v>
      </c>
      <c r="F497" t="s">
        <v>141</v>
      </c>
      <c r="G497" t="s">
        <v>45</v>
      </c>
      <c r="H497" t="s">
        <v>156</v>
      </c>
      <c r="I497">
        <v>1</v>
      </c>
      <c r="J497">
        <v>32700</v>
      </c>
      <c r="K497">
        <v>5</v>
      </c>
      <c r="L497" t="s">
        <v>33</v>
      </c>
    </row>
    <row r="498" spans="1:12" x14ac:dyDescent="0.3">
      <c r="A498" t="s">
        <v>646</v>
      </c>
      <c r="B498" s="1">
        <v>45245</v>
      </c>
      <c r="C498" t="s">
        <v>105</v>
      </c>
      <c r="D498" t="s">
        <v>106</v>
      </c>
      <c r="E498" t="s">
        <v>37</v>
      </c>
      <c r="F498" t="s">
        <v>38</v>
      </c>
      <c r="G498" t="s">
        <v>17</v>
      </c>
      <c r="H498" t="s">
        <v>77</v>
      </c>
      <c r="I498">
        <v>1</v>
      </c>
      <c r="J498">
        <v>40100</v>
      </c>
      <c r="K498">
        <v>0</v>
      </c>
      <c r="L498" t="s">
        <v>33</v>
      </c>
    </row>
    <row r="499" spans="1:12" x14ac:dyDescent="0.3">
      <c r="A499" t="s">
        <v>647</v>
      </c>
      <c r="B499" s="1">
        <v>45275</v>
      </c>
      <c r="C499" t="s">
        <v>158</v>
      </c>
      <c r="D499" t="s">
        <v>159</v>
      </c>
      <c r="E499" t="s">
        <v>23</v>
      </c>
      <c r="F499" t="s">
        <v>51</v>
      </c>
      <c r="G499" t="s">
        <v>45</v>
      </c>
      <c r="H499" t="s">
        <v>156</v>
      </c>
      <c r="I499">
        <v>1</v>
      </c>
      <c r="J499">
        <v>31200</v>
      </c>
      <c r="K499">
        <v>25</v>
      </c>
      <c r="L499" t="s">
        <v>62</v>
      </c>
    </row>
    <row r="500" spans="1:12" x14ac:dyDescent="0.3">
      <c r="A500" t="s">
        <v>648</v>
      </c>
      <c r="B500" s="1">
        <v>45275</v>
      </c>
      <c r="C500" t="s">
        <v>112</v>
      </c>
      <c r="D500" t="s">
        <v>113</v>
      </c>
      <c r="E500" t="s">
        <v>23</v>
      </c>
      <c r="F500" t="s">
        <v>44</v>
      </c>
      <c r="G500" t="s">
        <v>45</v>
      </c>
      <c r="H500" t="s">
        <v>207</v>
      </c>
      <c r="I500">
        <v>1</v>
      </c>
      <c r="J500">
        <v>44500</v>
      </c>
      <c r="K500">
        <v>10</v>
      </c>
      <c r="L500" t="s">
        <v>103</v>
      </c>
    </row>
    <row r="501" spans="1:12" x14ac:dyDescent="0.3">
      <c r="A501" t="s">
        <v>649</v>
      </c>
      <c r="B501" s="1">
        <v>45275</v>
      </c>
      <c r="C501" t="s">
        <v>250</v>
      </c>
      <c r="D501" t="s">
        <v>251</v>
      </c>
      <c r="E501" t="s">
        <v>15</v>
      </c>
      <c r="F501" t="s">
        <v>16</v>
      </c>
      <c r="G501" t="s">
        <v>45</v>
      </c>
      <c r="H501" t="s">
        <v>46</v>
      </c>
      <c r="I501">
        <v>1</v>
      </c>
      <c r="J501">
        <v>46500</v>
      </c>
      <c r="K501">
        <v>15</v>
      </c>
      <c r="L501" t="s">
        <v>73</v>
      </c>
    </row>
    <row r="502" spans="1:12" x14ac:dyDescent="0.3">
      <c r="A502" t="s">
        <v>650</v>
      </c>
      <c r="B502" s="1">
        <v>45275</v>
      </c>
      <c r="C502" t="s">
        <v>203</v>
      </c>
      <c r="D502" t="s">
        <v>204</v>
      </c>
      <c r="E502" t="s">
        <v>66</v>
      </c>
      <c r="F502" t="s">
        <v>87</v>
      </c>
      <c r="G502" t="s">
        <v>25</v>
      </c>
      <c r="H502" t="s">
        <v>108</v>
      </c>
      <c r="I502">
        <v>2</v>
      </c>
      <c r="J502">
        <v>2600</v>
      </c>
      <c r="K502">
        <v>20</v>
      </c>
      <c r="L502" t="s">
        <v>62</v>
      </c>
    </row>
    <row r="503" spans="1:12" x14ac:dyDescent="0.3">
      <c r="A503" t="s">
        <v>651</v>
      </c>
      <c r="B503" s="1">
        <v>44942</v>
      </c>
      <c r="C503" t="s">
        <v>105</v>
      </c>
      <c r="D503" t="s">
        <v>106</v>
      </c>
      <c r="E503" t="s">
        <v>81</v>
      </c>
      <c r="F503" t="s">
        <v>110</v>
      </c>
      <c r="G503" t="s">
        <v>45</v>
      </c>
      <c r="H503" t="s">
        <v>207</v>
      </c>
      <c r="I503">
        <v>1</v>
      </c>
      <c r="J503">
        <v>22500</v>
      </c>
      <c r="K503">
        <v>5</v>
      </c>
      <c r="L503" t="s">
        <v>19</v>
      </c>
    </row>
    <row r="504" spans="1:12" x14ac:dyDescent="0.3">
      <c r="A504" t="s">
        <v>652</v>
      </c>
      <c r="B504" s="1">
        <v>44973</v>
      </c>
      <c r="C504" t="s">
        <v>122</v>
      </c>
      <c r="D504" t="s">
        <v>123</v>
      </c>
      <c r="E504" t="s">
        <v>66</v>
      </c>
      <c r="F504" t="s">
        <v>67</v>
      </c>
      <c r="G504" t="s">
        <v>97</v>
      </c>
      <c r="H504" t="s">
        <v>133</v>
      </c>
      <c r="I504">
        <v>2</v>
      </c>
      <c r="J504">
        <v>62100</v>
      </c>
      <c r="K504">
        <v>0</v>
      </c>
      <c r="L504" t="s">
        <v>103</v>
      </c>
    </row>
    <row r="505" spans="1:12" x14ac:dyDescent="0.3">
      <c r="A505" t="s">
        <v>653</v>
      </c>
      <c r="B505" s="1">
        <v>44973</v>
      </c>
      <c r="C505" t="s">
        <v>75</v>
      </c>
      <c r="D505" t="s">
        <v>76</v>
      </c>
      <c r="E505" t="s">
        <v>23</v>
      </c>
      <c r="F505" t="s">
        <v>24</v>
      </c>
      <c r="G505" t="s">
        <v>25</v>
      </c>
      <c r="H505" t="s">
        <v>26</v>
      </c>
      <c r="I505">
        <v>2</v>
      </c>
      <c r="J505">
        <v>1600</v>
      </c>
      <c r="K505">
        <v>10</v>
      </c>
      <c r="L505" t="s">
        <v>103</v>
      </c>
    </row>
    <row r="506" spans="1:12" x14ac:dyDescent="0.3">
      <c r="A506" t="s">
        <v>654</v>
      </c>
      <c r="B506" s="1">
        <v>44973</v>
      </c>
      <c r="C506" t="s">
        <v>70</v>
      </c>
      <c r="D506" t="s">
        <v>71</v>
      </c>
      <c r="E506" t="s">
        <v>37</v>
      </c>
      <c r="F506" t="s">
        <v>61</v>
      </c>
      <c r="G506" t="s">
        <v>17</v>
      </c>
      <c r="H506" t="s">
        <v>196</v>
      </c>
      <c r="I506">
        <v>1</v>
      </c>
      <c r="J506">
        <v>33300</v>
      </c>
      <c r="K506">
        <v>15</v>
      </c>
      <c r="L506" t="s">
        <v>27</v>
      </c>
    </row>
    <row r="507" spans="1:12" x14ac:dyDescent="0.3">
      <c r="A507" t="s">
        <v>655</v>
      </c>
      <c r="B507" s="1">
        <v>44973</v>
      </c>
      <c r="C507" t="s">
        <v>115</v>
      </c>
      <c r="D507" t="s">
        <v>116</v>
      </c>
      <c r="E507" t="s">
        <v>66</v>
      </c>
      <c r="F507" t="s">
        <v>92</v>
      </c>
      <c r="G507" t="s">
        <v>39</v>
      </c>
      <c r="H507" t="s">
        <v>57</v>
      </c>
      <c r="I507">
        <v>1</v>
      </c>
      <c r="J507">
        <v>21600</v>
      </c>
      <c r="K507">
        <v>10</v>
      </c>
      <c r="L507" t="s">
        <v>19</v>
      </c>
    </row>
    <row r="508" spans="1:12" x14ac:dyDescent="0.3">
      <c r="A508" t="s">
        <v>656</v>
      </c>
      <c r="B508" s="1">
        <v>44973</v>
      </c>
      <c r="C508" t="s">
        <v>95</v>
      </c>
      <c r="D508" t="s">
        <v>96</v>
      </c>
      <c r="E508" t="s">
        <v>15</v>
      </c>
      <c r="F508" t="s">
        <v>128</v>
      </c>
      <c r="G508" t="s">
        <v>25</v>
      </c>
      <c r="H508" t="s">
        <v>212</v>
      </c>
      <c r="I508">
        <v>2</v>
      </c>
      <c r="J508">
        <v>1200</v>
      </c>
      <c r="K508">
        <v>15</v>
      </c>
      <c r="L508" t="s">
        <v>62</v>
      </c>
    </row>
    <row r="509" spans="1:12" x14ac:dyDescent="0.3">
      <c r="A509" t="s">
        <v>657</v>
      </c>
      <c r="B509" s="1">
        <v>44973</v>
      </c>
      <c r="C509" t="s">
        <v>95</v>
      </c>
      <c r="D509" t="s">
        <v>96</v>
      </c>
      <c r="E509" t="s">
        <v>15</v>
      </c>
      <c r="F509" t="s">
        <v>16</v>
      </c>
      <c r="G509" t="s">
        <v>39</v>
      </c>
      <c r="H509" t="s">
        <v>57</v>
      </c>
      <c r="I509">
        <v>1</v>
      </c>
      <c r="J509">
        <v>12100</v>
      </c>
      <c r="K509">
        <v>15</v>
      </c>
      <c r="L509" t="s">
        <v>53</v>
      </c>
    </row>
    <row r="510" spans="1:12" x14ac:dyDescent="0.3">
      <c r="A510" t="s">
        <v>658</v>
      </c>
      <c r="B510" s="1">
        <v>44973</v>
      </c>
      <c r="C510" t="s">
        <v>185</v>
      </c>
      <c r="D510" t="s">
        <v>186</v>
      </c>
      <c r="E510" t="s">
        <v>37</v>
      </c>
      <c r="F510" t="s">
        <v>61</v>
      </c>
      <c r="G510" t="s">
        <v>39</v>
      </c>
      <c r="H510" t="s">
        <v>40</v>
      </c>
      <c r="I510">
        <v>1</v>
      </c>
      <c r="J510">
        <v>26700</v>
      </c>
      <c r="K510">
        <v>10</v>
      </c>
      <c r="L510" t="s">
        <v>33</v>
      </c>
    </row>
    <row r="511" spans="1:12" x14ac:dyDescent="0.3">
      <c r="A511" t="s">
        <v>659</v>
      </c>
      <c r="B511" s="1">
        <v>44973</v>
      </c>
      <c r="C511" t="s">
        <v>112</v>
      </c>
      <c r="D511" t="s">
        <v>113</v>
      </c>
      <c r="E511" t="s">
        <v>15</v>
      </c>
      <c r="F511" t="s">
        <v>16</v>
      </c>
      <c r="G511" t="s">
        <v>97</v>
      </c>
      <c r="H511" t="s">
        <v>174</v>
      </c>
      <c r="I511">
        <v>1</v>
      </c>
      <c r="J511">
        <v>66700</v>
      </c>
      <c r="K511">
        <v>10</v>
      </c>
      <c r="L511" t="s">
        <v>19</v>
      </c>
    </row>
    <row r="512" spans="1:12" x14ac:dyDescent="0.3">
      <c r="A512" t="s">
        <v>660</v>
      </c>
      <c r="B512" s="1">
        <v>45001</v>
      </c>
      <c r="C512" t="s">
        <v>84</v>
      </c>
      <c r="D512" t="s">
        <v>85</v>
      </c>
      <c r="E512" t="s">
        <v>81</v>
      </c>
      <c r="F512" t="s">
        <v>110</v>
      </c>
      <c r="G512" t="s">
        <v>45</v>
      </c>
      <c r="H512" t="s">
        <v>52</v>
      </c>
      <c r="I512">
        <v>1</v>
      </c>
      <c r="J512">
        <v>34900</v>
      </c>
      <c r="K512">
        <v>0</v>
      </c>
      <c r="L512" t="s">
        <v>103</v>
      </c>
    </row>
    <row r="513" spans="1:12" x14ac:dyDescent="0.3">
      <c r="A513" t="s">
        <v>661</v>
      </c>
      <c r="B513" s="1">
        <v>45001</v>
      </c>
      <c r="C513" t="s">
        <v>75</v>
      </c>
      <c r="D513" t="s">
        <v>76</v>
      </c>
      <c r="E513" t="s">
        <v>37</v>
      </c>
      <c r="F513" t="s">
        <v>61</v>
      </c>
      <c r="G513" t="s">
        <v>17</v>
      </c>
      <c r="H513" t="s">
        <v>88</v>
      </c>
      <c r="I513">
        <v>1</v>
      </c>
      <c r="J513">
        <v>41000</v>
      </c>
      <c r="K513">
        <v>0</v>
      </c>
      <c r="L513" t="s">
        <v>103</v>
      </c>
    </row>
    <row r="514" spans="1:12" x14ac:dyDescent="0.3">
      <c r="A514" t="s">
        <v>662</v>
      </c>
      <c r="B514" s="1">
        <v>45001</v>
      </c>
      <c r="C514" t="s">
        <v>143</v>
      </c>
      <c r="D514" t="s">
        <v>144</v>
      </c>
      <c r="E514" t="s">
        <v>15</v>
      </c>
      <c r="F514" t="s">
        <v>128</v>
      </c>
      <c r="G514" t="s">
        <v>25</v>
      </c>
      <c r="H514" t="s">
        <v>212</v>
      </c>
      <c r="I514">
        <v>2</v>
      </c>
      <c r="J514">
        <v>2500</v>
      </c>
      <c r="K514">
        <v>10</v>
      </c>
      <c r="L514" t="s">
        <v>73</v>
      </c>
    </row>
    <row r="515" spans="1:12" x14ac:dyDescent="0.3">
      <c r="A515" t="s">
        <v>663</v>
      </c>
      <c r="B515" s="1">
        <v>45032</v>
      </c>
      <c r="C515" t="s">
        <v>112</v>
      </c>
      <c r="D515" t="s">
        <v>113</v>
      </c>
      <c r="E515" t="s">
        <v>15</v>
      </c>
      <c r="F515" t="s">
        <v>16</v>
      </c>
      <c r="G515" t="s">
        <v>39</v>
      </c>
      <c r="H515" t="s">
        <v>40</v>
      </c>
      <c r="I515">
        <v>1</v>
      </c>
      <c r="J515">
        <v>28500</v>
      </c>
      <c r="K515">
        <v>5</v>
      </c>
      <c r="L515" t="s">
        <v>47</v>
      </c>
    </row>
    <row r="516" spans="1:12" x14ac:dyDescent="0.3">
      <c r="A516" t="s">
        <v>664</v>
      </c>
      <c r="B516" s="1">
        <v>45062</v>
      </c>
      <c r="C516" t="s">
        <v>64</v>
      </c>
      <c r="D516" t="s">
        <v>65</v>
      </c>
      <c r="E516" t="s">
        <v>81</v>
      </c>
      <c r="F516" t="s">
        <v>110</v>
      </c>
      <c r="G516" t="s">
        <v>45</v>
      </c>
      <c r="H516" t="s">
        <v>207</v>
      </c>
      <c r="I516">
        <v>1</v>
      </c>
      <c r="J516">
        <v>28500</v>
      </c>
      <c r="K516">
        <v>10</v>
      </c>
      <c r="L516" t="s">
        <v>33</v>
      </c>
    </row>
    <row r="517" spans="1:12" x14ac:dyDescent="0.3">
      <c r="A517" t="s">
        <v>665</v>
      </c>
      <c r="B517" s="1">
        <v>45062</v>
      </c>
      <c r="C517" t="s">
        <v>236</v>
      </c>
      <c r="D517" t="s">
        <v>237</v>
      </c>
      <c r="E517" t="s">
        <v>81</v>
      </c>
      <c r="F517" t="s">
        <v>110</v>
      </c>
      <c r="G517" t="s">
        <v>97</v>
      </c>
      <c r="H517" t="s">
        <v>98</v>
      </c>
      <c r="I517">
        <v>1</v>
      </c>
      <c r="J517">
        <v>53700</v>
      </c>
      <c r="K517">
        <v>20</v>
      </c>
      <c r="L517" t="s">
        <v>53</v>
      </c>
    </row>
    <row r="518" spans="1:12" x14ac:dyDescent="0.3">
      <c r="A518" t="s">
        <v>666</v>
      </c>
      <c r="B518" s="1">
        <v>45062</v>
      </c>
      <c r="C518" t="s">
        <v>115</v>
      </c>
      <c r="D518" t="s">
        <v>116</v>
      </c>
      <c r="E518" t="s">
        <v>37</v>
      </c>
      <c r="F518" t="s">
        <v>38</v>
      </c>
      <c r="G518" t="s">
        <v>39</v>
      </c>
      <c r="H518" t="s">
        <v>40</v>
      </c>
      <c r="I518">
        <v>1</v>
      </c>
      <c r="J518">
        <v>23200</v>
      </c>
      <c r="K518">
        <v>25</v>
      </c>
      <c r="L518" t="s">
        <v>27</v>
      </c>
    </row>
    <row r="519" spans="1:12" x14ac:dyDescent="0.3">
      <c r="A519" t="s">
        <v>667</v>
      </c>
      <c r="B519" s="1">
        <v>45062</v>
      </c>
      <c r="C519" t="s">
        <v>112</v>
      </c>
      <c r="D519" t="s">
        <v>113</v>
      </c>
      <c r="E519" t="s">
        <v>66</v>
      </c>
      <c r="F519" t="s">
        <v>92</v>
      </c>
      <c r="G519" t="s">
        <v>25</v>
      </c>
      <c r="H519" t="s">
        <v>108</v>
      </c>
      <c r="I519">
        <v>2</v>
      </c>
      <c r="J519">
        <v>2600</v>
      </c>
      <c r="K519">
        <v>15</v>
      </c>
      <c r="L519" t="s">
        <v>33</v>
      </c>
    </row>
    <row r="520" spans="1:12" x14ac:dyDescent="0.3">
      <c r="A520" t="s">
        <v>668</v>
      </c>
      <c r="B520" s="1">
        <v>45062</v>
      </c>
      <c r="C520" t="s">
        <v>185</v>
      </c>
      <c r="D520" t="s">
        <v>186</v>
      </c>
      <c r="E520" t="s">
        <v>15</v>
      </c>
      <c r="F520" t="s">
        <v>128</v>
      </c>
      <c r="G520" t="s">
        <v>97</v>
      </c>
      <c r="H520" t="s">
        <v>154</v>
      </c>
      <c r="I520">
        <v>1</v>
      </c>
      <c r="J520">
        <v>48200</v>
      </c>
      <c r="K520">
        <v>15</v>
      </c>
      <c r="L520" t="s">
        <v>27</v>
      </c>
    </row>
    <row r="521" spans="1:12" x14ac:dyDescent="0.3">
      <c r="A521" t="s">
        <v>669</v>
      </c>
      <c r="B521" s="1">
        <v>45093</v>
      </c>
      <c r="C521" t="s">
        <v>236</v>
      </c>
      <c r="D521" t="s">
        <v>237</v>
      </c>
      <c r="E521" t="s">
        <v>37</v>
      </c>
      <c r="F521" t="s">
        <v>101</v>
      </c>
      <c r="G521" t="s">
        <v>17</v>
      </c>
      <c r="H521" t="s">
        <v>77</v>
      </c>
      <c r="I521">
        <v>1</v>
      </c>
      <c r="J521">
        <v>43600</v>
      </c>
      <c r="K521">
        <v>5</v>
      </c>
      <c r="L521" t="s">
        <v>33</v>
      </c>
    </row>
    <row r="522" spans="1:12" x14ac:dyDescent="0.3">
      <c r="A522" t="s">
        <v>670</v>
      </c>
      <c r="B522" s="1">
        <v>45123</v>
      </c>
      <c r="C522" t="s">
        <v>176</v>
      </c>
      <c r="D522" t="s">
        <v>177</v>
      </c>
      <c r="E522" t="s">
        <v>66</v>
      </c>
      <c r="F522" t="s">
        <v>92</v>
      </c>
      <c r="G522" t="s">
        <v>25</v>
      </c>
      <c r="H522" t="s">
        <v>212</v>
      </c>
      <c r="I522">
        <v>2</v>
      </c>
      <c r="J522">
        <v>1800</v>
      </c>
      <c r="K522">
        <v>15</v>
      </c>
      <c r="L522" t="s">
        <v>103</v>
      </c>
    </row>
    <row r="523" spans="1:12" x14ac:dyDescent="0.3">
      <c r="A523" t="s">
        <v>671</v>
      </c>
      <c r="B523" s="1">
        <v>45123</v>
      </c>
      <c r="C523" t="s">
        <v>122</v>
      </c>
      <c r="D523" t="s">
        <v>123</v>
      </c>
      <c r="E523" t="s">
        <v>15</v>
      </c>
      <c r="F523" t="s">
        <v>16</v>
      </c>
      <c r="G523" t="s">
        <v>17</v>
      </c>
      <c r="H523" t="s">
        <v>88</v>
      </c>
      <c r="I523">
        <v>1</v>
      </c>
      <c r="J523">
        <v>46100</v>
      </c>
      <c r="K523">
        <v>0</v>
      </c>
      <c r="L523" t="s">
        <v>47</v>
      </c>
    </row>
    <row r="524" spans="1:12" x14ac:dyDescent="0.3">
      <c r="A524" t="s">
        <v>672</v>
      </c>
      <c r="B524" s="1">
        <v>45154</v>
      </c>
      <c r="C524" t="s">
        <v>143</v>
      </c>
      <c r="D524" t="s">
        <v>144</v>
      </c>
      <c r="E524" t="s">
        <v>15</v>
      </c>
      <c r="F524" t="s">
        <v>16</v>
      </c>
      <c r="G524" t="s">
        <v>25</v>
      </c>
      <c r="H524" t="s">
        <v>32</v>
      </c>
      <c r="I524">
        <v>2</v>
      </c>
      <c r="J524">
        <v>2100</v>
      </c>
      <c r="K524">
        <v>20</v>
      </c>
      <c r="L524" t="s">
        <v>47</v>
      </c>
    </row>
    <row r="525" spans="1:12" x14ac:dyDescent="0.3">
      <c r="A525" t="s">
        <v>673</v>
      </c>
      <c r="B525" s="1">
        <v>45154</v>
      </c>
      <c r="C525" t="s">
        <v>70</v>
      </c>
      <c r="D525" t="s">
        <v>71</v>
      </c>
      <c r="E525" t="s">
        <v>23</v>
      </c>
      <c r="F525" t="s">
        <v>51</v>
      </c>
      <c r="G525" t="s">
        <v>39</v>
      </c>
      <c r="H525" t="s">
        <v>40</v>
      </c>
      <c r="I525">
        <v>1</v>
      </c>
      <c r="J525">
        <v>26700</v>
      </c>
      <c r="K525">
        <v>10</v>
      </c>
      <c r="L525" t="s">
        <v>47</v>
      </c>
    </row>
    <row r="526" spans="1:12" x14ac:dyDescent="0.3">
      <c r="A526" t="s">
        <v>674</v>
      </c>
      <c r="B526" s="1">
        <v>45185</v>
      </c>
      <c r="C526" t="s">
        <v>49</v>
      </c>
      <c r="D526" t="s">
        <v>50</v>
      </c>
      <c r="E526" t="s">
        <v>15</v>
      </c>
      <c r="F526" t="s">
        <v>119</v>
      </c>
      <c r="G526" t="s">
        <v>97</v>
      </c>
      <c r="H526" t="s">
        <v>174</v>
      </c>
      <c r="I526">
        <v>1</v>
      </c>
      <c r="J526">
        <v>69900</v>
      </c>
      <c r="K526">
        <v>20</v>
      </c>
      <c r="L526" t="s">
        <v>27</v>
      </c>
    </row>
    <row r="527" spans="1:12" x14ac:dyDescent="0.3">
      <c r="A527" t="s">
        <v>675</v>
      </c>
      <c r="B527" s="1">
        <v>45185</v>
      </c>
      <c r="C527" t="s">
        <v>35</v>
      </c>
      <c r="D527" t="s">
        <v>36</v>
      </c>
      <c r="E527" t="s">
        <v>15</v>
      </c>
      <c r="F527" t="s">
        <v>131</v>
      </c>
      <c r="G527" t="s">
        <v>97</v>
      </c>
      <c r="H527" t="s">
        <v>154</v>
      </c>
      <c r="I527">
        <v>1</v>
      </c>
      <c r="J527">
        <v>49000</v>
      </c>
      <c r="K527">
        <v>0</v>
      </c>
      <c r="L527" t="s">
        <v>33</v>
      </c>
    </row>
    <row r="528" spans="1:12" x14ac:dyDescent="0.3">
      <c r="A528" t="s">
        <v>676</v>
      </c>
      <c r="B528" s="1">
        <v>45185</v>
      </c>
      <c r="C528" t="s">
        <v>59</v>
      </c>
      <c r="D528" t="s">
        <v>60</v>
      </c>
      <c r="E528" t="s">
        <v>81</v>
      </c>
      <c r="F528" t="s">
        <v>110</v>
      </c>
      <c r="G528" t="s">
        <v>39</v>
      </c>
      <c r="H528" t="s">
        <v>40</v>
      </c>
      <c r="I528">
        <v>1</v>
      </c>
      <c r="J528">
        <v>24100</v>
      </c>
      <c r="K528">
        <v>5</v>
      </c>
      <c r="L528" t="s">
        <v>27</v>
      </c>
    </row>
    <row r="529" spans="1:12" x14ac:dyDescent="0.3">
      <c r="A529" t="s">
        <v>677</v>
      </c>
      <c r="B529" s="1">
        <v>45185</v>
      </c>
      <c r="C529" t="s">
        <v>64</v>
      </c>
      <c r="D529" t="s">
        <v>65</v>
      </c>
      <c r="E529" t="s">
        <v>66</v>
      </c>
      <c r="F529" t="s">
        <v>87</v>
      </c>
      <c r="G529" t="s">
        <v>17</v>
      </c>
      <c r="H529" t="s">
        <v>18</v>
      </c>
      <c r="I529">
        <v>2</v>
      </c>
      <c r="J529">
        <v>47400</v>
      </c>
      <c r="K529">
        <v>10</v>
      </c>
      <c r="L529" t="s">
        <v>103</v>
      </c>
    </row>
    <row r="530" spans="1:12" x14ac:dyDescent="0.3">
      <c r="A530" t="s">
        <v>678</v>
      </c>
      <c r="B530" s="1">
        <v>45185</v>
      </c>
      <c r="C530" t="s">
        <v>115</v>
      </c>
      <c r="D530" t="s">
        <v>116</v>
      </c>
      <c r="E530" t="s">
        <v>81</v>
      </c>
      <c r="F530" t="s">
        <v>160</v>
      </c>
      <c r="G530" t="s">
        <v>39</v>
      </c>
      <c r="H530" t="s">
        <v>102</v>
      </c>
      <c r="I530">
        <v>1</v>
      </c>
      <c r="J530">
        <v>31300</v>
      </c>
      <c r="K530">
        <v>0</v>
      </c>
      <c r="L530" t="s">
        <v>19</v>
      </c>
    </row>
    <row r="531" spans="1:12" x14ac:dyDescent="0.3">
      <c r="A531" t="s">
        <v>679</v>
      </c>
      <c r="B531" s="1">
        <v>45215</v>
      </c>
      <c r="C531" t="s">
        <v>284</v>
      </c>
      <c r="D531" t="s">
        <v>285</v>
      </c>
      <c r="E531" t="s">
        <v>23</v>
      </c>
      <c r="F531" t="s">
        <v>24</v>
      </c>
      <c r="G531" t="s">
        <v>39</v>
      </c>
      <c r="H531" t="s">
        <v>57</v>
      </c>
      <c r="I531">
        <v>1</v>
      </c>
      <c r="J531">
        <v>19900</v>
      </c>
      <c r="K531">
        <v>25</v>
      </c>
      <c r="L531" t="s">
        <v>62</v>
      </c>
    </row>
    <row r="532" spans="1:12" x14ac:dyDescent="0.3">
      <c r="A532" t="s">
        <v>680</v>
      </c>
      <c r="B532" s="1">
        <v>45215</v>
      </c>
      <c r="C532" t="s">
        <v>105</v>
      </c>
      <c r="D532" t="s">
        <v>106</v>
      </c>
      <c r="E532" t="s">
        <v>81</v>
      </c>
      <c r="F532" t="s">
        <v>82</v>
      </c>
      <c r="G532" t="s">
        <v>25</v>
      </c>
      <c r="H532" t="s">
        <v>108</v>
      </c>
      <c r="I532">
        <v>2</v>
      </c>
      <c r="J532">
        <v>1000</v>
      </c>
      <c r="K532">
        <v>0</v>
      </c>
      <c r="L532" t="s">
        <v>103</v>
      </c>
    </row>
    <row r="533" spans="1:12" x14ac:dyDescent="0.3">
      <c r="A533" t="s">
        <v>681</v>
      </c>
      <c r="B533" s="1">
        <v>45215</v>
      </c>
      <c r="C533" t="s">
        <v>126</v>
      </c>
      <c r="D533" t="s">
        <v>127</v>
      </c>
      <c r="E533" t="s">
        <v>23</v>
      </c>
      <c r="F533" t="s">
        <v>44</v>
      </c>
      <c r="G533" t="s">
        <v>45</v>
      </c>
      <c r="H533" t="s">
        <v>207</v>
      </c>
      <c r="I533">
        <v>1</v>
      </c>
      <c r="J533">
        <v>31900</v>
      </c>
      <c r="K533">
        <v>10</v>
      </c>
      <c r="L533" t="s">
        <v>103</v>
      </c>
    </row>
    <row r="534" spans="1:12" x14ac:dyDescent="0.3">
      <c r="A534" t="s">
        <v>682</v>
      </c>
      <c r="B534" s="1">
        <v>45246</v>
      </c>
      <c r="C534" t="s">
        <v>158</v>
      </c>
      <c r="D534" t="s">
        <v>159</v>
      </c>
      <c r="E534" t="s">
        <v>37</v>
      </c>
      <c r="F534" t="s">
        <v>141</v>
      </c>
      <c r="G534" t="s">
        <v>39</v>
      </c>
      <c r="H534" t="s">
        <v>68</v>
      </c>
      <c r="I534">
        <v>1</v>
      </c>
      <c r="J534">
        <v>24800</v>
      </c>
      <c r="K534">
        <v>20</v>
      </c>
      <c r="L534" t="s">
        <v>27</v>
      </c>
    </row>
    <row r="535" spans="1:12" x14ac:dyDescent="0.3">
      <c r="A535" t="s">
        <v>683</v>
      </c>
      <c r="B535" s="1">
        <v>45246</v>
      </c>
      <c r="C535" t="s">
        <v>188</v>
      </c>
      <c r="D535" t="s">
        <v>189</v>
      </c>
      <c r="E535" t="s">
        <v>15</v>
      </c>
      <c r="F535" t="s">
        <v>131</v>
      </c>
      <c r="G535" t="s">
        <v>17</v>
      </c>
      <c r="H535" t="s">
        <v>88</v>
      </c>
      <c r="I535">
        <v>1</v>
      </c>
      <c r="J535">
        <v>35400</v>
      </c>
      <c r="K535">
        <v>10</v>
      </c>
      <c r="L535" t="s">
        <v>53</v>
      </c>
    </row>
    <row r="536" spans="1:12" x14ac:dyDescent="0.3">
      <c r="A536" t="s">
        <v>684</v>
      </c>
      <c r="B536" s="1">
        <v>45276</v>
      </c>
      <c r="C536" t="s">
        <v>284</v>
      </c>
      <c r="D536" t="s">
        <v>285</v>
      </c>
      <c r="E536" t="s">
        <v>81</v>
      </c>
      <c r="F536" t="s">
        <v>117</v>
      </c>
      <c r="G536" t="s">
        <v>97</v>
      </c>
      <c r="H536" t="s">
        <v>98</v>
      </c>
      <c r="I536">
        <v>1</v>
      </c>
      <c r="J536">
        <v>35000</v>
      </c>
      <c r="K536">
        <v>5</v>
      </c>
      <c r="L536" t="s">
        <v>103</v>
      </c>
    </row>
    <row r="537" spans="1:12" x14ac:dyDescent="0.3">
      <c r="A537" t="s">
        <v>685</v>
      </c>
      <c r="B537" s="1">
        <v>45276</v>
      </c>
      <c r="C537" t="s">
        <v>284</v>
      </c>
      <c r="D537" t="s">
        <v>285</v>
      </c>
      <c r="E537" t="s">
        <v>81</v>
      </c>
      <c r="F537" t="s">
        <v>110</v>
      </c>
      <c r="G537" t="s">
        <v>97</v>
      </c>
      <c r="H537" t="s">
        <v>174</v>
      </c>
      <c r="I537">
        <v>1</v>
      </c>
      <c r="J537">
        <v>41300</v>
      </c>
      <c r="K537">
        <v>10</v>
      </c>
      <c r="L537" t="s">
        <v>53</v>
      </c>
    </row>
    <row r="538" spans="1:12" x14ac:dyDescent="0.3">
      <c r="A538" t="s">
        <v>686</v>
      </c>
      <c r="B538" s="1">
        <v>45276</v>
      </c>
      <c r="C538" t="s">
        <v>284</v>
      </c>
      <c r="D538" t="s">
        <v>285</v>
      </c>
      <c r="E538" t="s">
        <v>81</v>
      </c>
      <c r="F538" t="s">
        <v>110</v>
      </c>
      <c r="G538" t="s">
        <v>97</v>
      </c>
      <c r="H538" t="s">
        <v>133</v>
      </c>
      <c r="I538">
        <v>1</v>
      </c>
      <c r="J538">
        <v>62300</v>
      </c>
      <c r="K538">
        <v>5</v>
      </c>
      <c r="L538" t="s">
        <v>47</v>
      </c>
    </row>
    <row r="539" spans="1:12" x14ac:dyDescent="0.3">
      <c r="A539" t="s">
        <v>687</v>
      </c>
      <c r="B539" s="1">
        <v>44943</v>
      </c>
      <c r="C539" t="s">
        <v>183</v>
      </c>
      <c r="D539" t="s">
        <v>27</v>
      </c>
      <c r="E539" t="s">
        <v>66</v>
      </c>
      <c r="F539" t="s">
        <v>67</v>
      </c>
      <c r="G539" t="s">
        <v>17</v>
      </c>
      <c r="H539" t="s">
        <v>196</v>
      </c>
      <c r="I539">
        <v>1</v>
      </c>
      <c r="J539">
        <v>50400</v>
      </c>
      <c r="K539">
        <v>0</v>
      </c>
      <c r="L539" t="s">
        <v>103</v>
      </c>
    </row>
    <row r="540" spans="1:12" x14ac:dyDescent="0.3">
      <c r="A540" t="s">
        <v>688</v>
      </c>
      <c r="B540" s="1">
        <v>44974</v>
      </c>
      <c r="C540" t="s">
        <v>79</v>
      </c>
      <c r="D540" t="s">
        <v>80</v>
      </c>
      <c r="E540" t="s">
        <v>81</v>
      </c>
      <c r="F540" t="s">
        <v>160</v>
      </c>
      <c r="G540" t="s">
        <v>17</v>
      </c>
      <c r="H540" t="s">
        <v>88</v>
      </c>
      <c r="I540">
        <v>1</v>
      </c>
      <c r="J540">
        <v>31500</v>
      </c>
      <c r="K540">
        <v>10</v>
      </c>
      <c r="L540" t="s">
        <v>73</v>
      </c>
    </row>
    <row r="541" spans="1:12" x14ac:dyDescent="0.3">
      <c r="A541" t="s">
        <v>689</v>
      </c>
      <c r="B541" s="1">
        <v>44974</v>
      </c>
      <c r="C541" t="s">
        <v>35</v>
      </c>
      <c r="D541" t="s">
        <v>36</v>
      </c>
      <c r="E541" t="s">
        <v>66</v>
      </c>
      <c r="F541" t="s">
        <v>87</v>
      </c>
      <c r="G541" t="s">
        <v>39</v>
      </c>
      <c r="H541" t="s">
        <v>102</v>
      </c>
      <c r="I541">
        <v>1</v>
      </c>
      <c r="J541">
        <v>27800</v>
      </c>
      <c r="K541">
        <v>10</v>
      </c>
      <c r="L541" t="s">
        <v>27</v>
      </c>
    </row>
    <row r="542" spans="1:12" x14ac:dyDescent="0.3">
      <c r="A542" t="s">
        <v>690</v>
      </c>
      <c r="B542" s="1">
        <v>44974</v>
      </c>
      <c r="C542" t="s">
        <v>203</v>
      </c>
      <c r="D542" t="s">
        <v>204</v>
      </c>
      <c r="E542" t="s">
        <v>66</v>
      </c>
      <c r="F542" t="s">
        <v>67</v>
      </c>
      <c r="G542" t="s">
        <v>25</v>
      </c>
      <c r="H542" t="s">
        <v>124</v>
      </c>
      <c r="I542">
        <v>3</v>
      </c>
      <c r="J542">
        <v>2100</v>
      </c>
      <c r="K542">
        <v>15</v>
      </c>
      <c r="L542" t="s">
        <v>33</v>
      </c>
    </row>
    <row r="543" spans="1:12" x14ac:dyDescent="0.3">
      <c r="A543" t="s">
        <v>691</v>
      </c>
      <c r="B543" s="1">
        <v>45002</v>
      </c>
      <c r="C543" t="s">
        <v>180</v>
      </c>
      <c r="D543" t="s">
        <v>181</v>
      </c>
      <c r="E543" t="s">
        <v>66</v>
      </c>
      <c r="F543" t="s">
        <v>67</v>
      </c>
      <c r="G543" t="s">
        <v>97</v>
      </c>
      <c r="H543" t="s">
        <v>98</v>
      </c>
      <c r="I543">
        <v>1</v>
      </c>
      <c r="J543">
        <v>46400</v>
      </c>
      <c r="K543">
        <v>15</v>
      </c>
      <c r="L543" t="s">
        <v>33</v>
      </c>
    </row>
    <row r="544" spans="1:12" x14ac:dyDescent="0.3">
      <c r="A544" t="s">
        <v>692</v>
      </c>
      <c r="B544" s="1">
        <v>45002</v>
      </c>
      <c r="C544" t="s">
        <v>13</v>
      </c>
      <c r="D544" t="s">
        <v>14</v>
      </c>
      <c r="E544" t="s">
        <v>23</v>
      </c>
      <c r="F544" t="s">
        <v>31</v>
      </c>
      <c r="G544" t="s">
        <v>97</v>
      </c>
      <c r="H544" t="s">
        <v>171</v>
      </c>
      <c r="I544">
        <v>1</v>
      </c>
      <c r="J544">
        <v>53300</v>
      </c>
      <c r="K544">
        <v>5</v>
      </c>
      <c r="L544" t="s">
        <v>62</v>
      </c>
    </row>
    <row r="545" spans="1:12" x14ac:dyDescent="0.3">
      <c r="A545" t="s">
        <v>693</v>
      </c>
      <c r="B545" s="1">
        <v>45002</v>
      </c>
      <c r="C545" t="s">
        <v>135</v>
      </c>
      <c r="D545" t="s">
        <v>136</v>
      </c>
      <c r="E545" t="s">
        <v>37</v>
      </c>
      <c r="F545" t="s">
        <v>101</v>
      </c>
      <c r="G545" t="s">
        <v>39</v>
      </c>
      <c r="H545" t="s">
        <v>102</v>
      </c>
      <c r="I545">
        <v>1</v>
      </c>
      <c r="J545">
        <v>22200</v>
      </c>
      <c r="K545">
        <v>5</v>
      </c>
      <c r="L545" t="s">
        <v>73</v>
      </c>
    </row>
    <row r="546" spans="1:12" x14ac:dyDescent="0.3">
      <c r="A546" t="s">
        <v>694</v>
      </c>
      <c r="B546" s="1">
        <v>45002</v>
      </c>
      <c r="C546" t="s">
        <v>147</v>
      </c>
      <c r="D546" t="s">
        <v>148</v>
      </c>
      <c r="E546" t="s">
        <v>15</v>
      </c>
      <c r="F546" t="s">
        <v>131</v>
      </c>
      <c r="G546" t="s">
        <v>97</v>
      </c>
      <c r="H546" t="s">
        <v>154</v>
      </c>
      <c r="I546">
        <v>1</v>
      </c>
      <c r="J546">
        <v>60600</v>
      </c>
      <c r="K546">
        <v>0</v>
      </c>
      <c r="L546" t="s">
        <v>53</v>
      </c>
    </row>
    <row r="547" spans="1:12" x14ac:dyDescent="0.3">
      <c r="A547" t="s">
        <v>695</v>
      </c>
      <c r="B547" s="1">
        <v>45033</v>
      </c>
      <c r="C547" t="s">
        <v>185</v>
      </c>
      <c r="D547" t="s">
        <v>186</v>
      </c>
      <c r="E547" t="s">
        <v>15</v>
      </c>
      <c r="F547" t="s">
        <v>128</v>
      </c>
      <c r="G547" t="s">
        <v>25</v>
      </c>
      <c r="H547" t="s">
        <v>26</v>
      </c>
      <c r="I547">
        <v>2</v>
      </c>
      <c r="J547">
        <v>1800</v>
      </c>
      <c r="K547">
        <v>5</v>
      </c>
      <c r="L547" t="s">
        <v>33</v>
      </c>
    </row>
    <row r="548" spans="1:12" x14ac:dyDescent="0.3">
      <c r="A548" t="s">
        <v>696</v>
      </c>
      <c r="B548" s="1">
        <v>45033</v>
      </c>
      <c r="C548" t="s">
        <v>130</v>
      </c>
      <c r="D548" t="s">
        <v>53</v>
      </c>
      <c r="E548" t="s">
        <v>66</v>
      </c>
      <c r="F548" t="s">
        <v>92</v>
      </c>
      <c r="G548" t="s">
        <v>25</v>
      </c>
      <c r="H548" t="s">
        <v>124</v>
      </c>
      <c r="I548">
        <v>3</v>
      </c>
      <c r="J548">
        <v>1500</v>
      </c>
      <c r="K548">
        <v>0</v>
      </c>
      <c r="L548" t="s">
        <v>62</v>
      </c>
    </row>
    <row r="549" spans="1:12" x14ac:dyDescent="0.3">
      <c r="A549" t="s">
        <v>697</v>
      </c>
      <c r="B549" s="1">
        <v>45033</v>
      </c>
      <c r="C549" t="s">
        <v>130</v>
      </c>
      <c r="D549" t="s">
        <v>53</v>
      </c>
      <c r="E549" t="s">
        <v>66</v>
      </c>
      <c r="F549" t="s">
        <v>92</v>
      </c>
      <c r="G549" t="s">
        <v>17</v>
      </c>
      <c r="H549" t="s">
        <v>88</v>
      </c>
      <c r="I549">
        <v>1</v>
      </c>
      <c r="J549">
        <v>43900</v>
      </c>
      <c r="K549">
        <v>0</v>
      </c>
      <c r="L549" t="s">
        <v>19</v>
      </c>
    </row>
    <row r="550" spans="1:12" x14ac:dyDescent="0.3">
      <c r="A550" t="s">
        <v>698</v>
      </c>
      <c r="B550" s="1">
        <v>45033</v>
      </c>
      <c r="C550" t="s">
        <v>232</v>
      </c>
      <c r="D550" t="s">
        <v>233</v>
      </c>
      <c r="E550" t="s">
        <v>15</v>
      </c>
      <c r="F550" t="s">
        <v>16</v>
      </c>
      <c r="G550" t="s">
        <v>45</v>
      </c>
      <c r="H550" t="s">
        <v>207</v>
      </c>
      <c r="I550">
        <v>1</v>
      </c>
      <c r="J550">
        <v>42000</v>
      </c>
      <c r="K550">
        <v>0</v>
      </c>
      <c r="L550" t="s">
        <v>103</v>
      </c>
    </row>
    <row r="551" spans="1:12" x14ac:dyDescent="0.3">
      <c r="A551" t="s">
        <v>699</v>
      </c>
      <c r="B551" s="1">
        <v>45033</v>
      </c>
      <c r="C551" t="s">
        <v>210</v>
      </c>
      <c r="D551" t="s">
        <v>211</v>
      </c>
      <c r="E551" t="s">
        <v>81</v>
      </c>
      <c r="F551" t="s">
        <v>110</v>
      </c>
      <c r="G551" t="s">
        <v>39</v>
      </c>
      <c r="H551" t="s">
        <v>40</v>
      </c>
      <c r="I551">
        <v>1</v>
      </c>
      <c r="J551">
        <v>26700</v>
      </c>
      <c r="K551">
        <v>0</v>
      </c>
      <c r="L551" t="s">
        <v>27</v>
      </c>
    </row>
    <row r="552" spans="1:12" x14ac:dyDescent="0.3">
      <c r="A552" t="s">
        <v>700</v>
      </c>
      <c r="B552" s="1">
        <v>45063</v>
      </c>
      <c r="C552" t="s">
        <v>188</v>
      </c>
      <c r="D552" t="s">
        <v>189</v>
      </c>
      <c r="E552" t="s">
        <v>15</v>
      </c>
      <c r="F552" t="s">
        <v>119</v>
      </c>
      <c r="G552" t="s">
        <v>45</v>
      </c>
      <c r="H552" t="s">
        <v>207</v>
      </c>
      <c r="I552">
        <v>1</v>
      </c>
      <c r="J552">
        <v>33200</v>
      </c>
      <c r="K552">
        <v>0</v>
      </c>
      <c r="L552" t="s">
        <v>53</v>
      </c>
    </row>
    <row r="553" spans="1:12" x14ac:dyDescent="0.3">
      <c r="A553" t="s">
        <v>701</v>
      </c>
      <c r="B553" s="1">
        <v>45063</v>
      </c>
      <c r="C553" t="s">
        <v>188</v>
      </c>
      <c r="D553" t="s">
        <v>189</v>
      </c>
      <c r="E553" t="s">
        <v>81</v>
      </c>
      <c r="F553" t="s">
        <v>160</v>
      </c>
      <c r="G553" t="s">
        <v>39</v>
      </c>
      <c r="H553" t="s">
        <v>102</v>
      </c>
      <c r="I553">
        <v>1</v>
      </c>
      <c r="J553">
        <v>18700</v>
      </c>
      <c r="K553">
        <v>5</v>
      </c>
      <c r="L553" t="s">
        <v>33</v>
      </c>
    </row>
    <row r="554" spans="1:12" x14ac:dyDescent="0.3">
      <c r="A554" t="s">
        <v>702</v>
      </c>
      <c r="B554" s="1">
        <v>45063</v>
      </c>
      <c r="C554" t="s">
        <v>143</v>
      </c>
      <c r="D554" t="s">
        <v>144</v>
      </c>
      <c r="E554" t="s">
        <v>81</v>
      </c>
      <c r="F554" t="s">
        <v>117</v>
      </c>
      <c r="G554" t="s">
        <v>45</v>
      </c>
      <c r="H554" t="s">
        <v>46</v>
      </c>
      <c r="I554">
        <v>1</v>
      </c>
      <c r="J554">
        <v>31900</v>
      </c>
      <c r="K554">
        <v>10</v>
      </c>
      <c r="L554" t="s">
        <v>19</v>
      </c>
    </row>
    <row r="555" spans="1:12" x14ac:dyDescent="0.3">
      <c r="A555" t="s">
        <v>703</v>
      </c>
      <c r="B555" s="1">
        <v>45063</v>
      </c>
      <c r="C555" t="s">
        <v>236</v>
      </c>
      <c r="D555" t="s">
        <v>237</v>
      </c>
      <c r="E555" t="s">
        <v>23</v>
      </c>
      <c r="F555" t="s">
        <v>44</v>
      </c>
      <c r="G555" t="s">
        <v>39</v>
      </c>
      <c r="H555" t="s">
        <v>102</v>
      </c>
      <c r="I555">
        <v>1</v>
      </c>
      <c r="J555">
        <v>17100</v>
      </c>
      <c r="K555">
        <v>10</v>
      </c>
      <c r="L555" t="s">
        <v>27</v>
      </c>
    </row>
    <row r="556" spans="1:12" x14ac:dyDescent="0.3">
      <c r="A556" t="s">
        <v>704</v>
      </c>
      <c r="B556" s="1">
        <v>45094</v>
      </c>
      <c r="C556" t="s">
        <v>59</v>
      </c>
      <c r="D556" t="s">
        <v>60</v>
      </c>
      <c r="E556" t="s">
        <v>66</v>
      </c>
      <c r="F556" t="s">
        <v>92</v>
      </c>
      <c r="G556" t="s">
        <v>39</v>
      </c>
      <c r="H556" t="s">
        <v>57</v>
      </c>
      <c r="I556">
        <v>1</v>
      </c>
      <c r="J556">
        <v>35000</v>
      </c>
      <c r="K556">
        <v>5</v>
      </c>
      <c r="L556" t="s">
        <v>27</v>
      </c>
    </row>
    <row r="557" spans="1:12" x14ac:dyDescent="0.3">
      <c r="A557" t="s">
        <v>705</v>
      </c>
      <c r="B557" s="1">
        <v>45094</v>
      </c>
      <c r="C557" t="s">
        <v>151</v>
      </c>
      <c r="D557" t="s">
        <v>152</v>
      </c>
      <c r="E557" t="s">
        <v>23</v>
      </c>
      <c r="F557" t="s">
        <v>31</v>
      </c>
      <c r="G557" t="s">
        <v>25</v>
      </c>
      <c r="H557" t="s">
        <v>212</v>
      </c>
      <c r="I557">
        <v>2</v>
      </c>
      <c r="J557">
        <v>800</v>
      </c>
      <c r="K557">
        <v>5</v>
      </c>
      <c r="L557" t="s">
        <v>27</v>
      </c>
    </row>
    <row r="558" spans="1:12" x14ac:dyDescent="0.3">
      <c r="A558" t="s">
        <v>706</v>
      </c>
      <c r="B558" s="1">
        <v>45124</v>
      </c>
      <c r="C558" t="s">
        <v>244</v>
      </c>
      <c r="D558" t="s">
        <v>245</v>
      </c>
      <c r="E558" t="s">
        <v>23</v>
      </c>
      <c r="F558" t="s">
        <v>31</v>
      </c>
      <c r="G558" t="s">
        <v>25</v>
      </c>
      <c r="H558" t="s">
        <v>212</v>
      </c>
      <c r="I558">
        <v>3</v>
      </c>
      <c r="J558">
        <v>1800</v>
      </c>
      <c r="K558">
        <v>0</v>
      </c>
      <c r="L558" t="s">
        <v>33</v>
      </c>
    </row>
    <row r="559" spans="1:12" x14ac:dyDescent="0.3">
      <c r="A559" t="s">
        <v>707</v>
      </c>
      <c r="B559" s="1">
        <v>45124</v>
      </c>
      <c r="C559" t="s">
        <v>35</v>
      </c>
      <c r="D559" t="s">
        <v>36</v>
      </c>
      <c r="E559" t="s">
        <v>81</v>
      </c>
      <c r="F559" t="s">
        <v>117</v>
      </c>
      <c r="G559" t="s">
        <v>25</v>
      </c>
      <c r="H559" t="s">
        <v>212</v>
      </c>
      <c r="I559">
        <v>1</v>
      </c>
      <c r="J559">
        <v>500</v>
      </c>
      <c r="K559">
        <v>10</v>
      </c>
      <c r="L559" t="s">
        <v>47</v>
      </c>
    </row>
    <row r="560" spans="1:12" x14ac:dyDescent="0.3">
      <c r="A560" t="s">
        <v>708</v>
      </c>
      <c r="B560" s="1">
        <v>45155</v>
      </c>
      <c r="C560" t="s">
        <v>29</v>
      </c>
      <c r="D560" t="s">
        <v>30</v>
      </c>
      <c r="E560" t="s">
        <v>81</v>
      </c>
      <c r="F560" t="s">
        <v>82</v>
      </c>
      <c r="G560" t="s">
        <v>45</v>
      </c>
      <c r="H560" t="s">
        <v>207</v>
      </c>
      <c r="I560">
        <v>1</v>
      </c>
      <c r="J560">
        <v>47800</v>
      </c>
      <c r="K560">
        <v>25</v>
      </c>
      <c r="L560" t="s">
        <v>33</v>
      </c>
    </row>
    <row r="561" spans="1:12" x14ac:dyDescent="0.3">
      <c r="A561" t="s">
        <v>709</v>
      </c>
      <c r="B561" s="1">
        <v>45155</v>
      </c>
      <c r="C561" t="s">
        <v>112</v>
      </c>
      <c r="D561" t="s">
        <v>113</v>
      </c>
      <c r="E561" t="s">
        <v>81</v>
      </c>
      <c r="F561" t="s">
        <v>110</v>
      </c>
      <c r="G561" t="s">
        <v>25</v>
      </c>
      <c r="H561" t="s">
        <v>108</v>
      </c>
      <c r="I561">
        <v>1</v>
      </c>
      <c r="J561">
        <v>2200</v>
      </c>
      <c r="K561">
        <v>20</v>
      </c>
      <c r="L561" t="s">
        <v>53</v>
      </c>
    </row>
    <row r="562" spans="1:12" x14ac:dyDescent="0.3">
      <c r="A562" t="s">
        <v>710</v>
      </c>
      <c r="B562" s="1">
        <v>45155</v>
      </c>
      <c r="C562" t="s">
        <v>158</v>
      </c>
      <c r="D562" t="s">
        <v>159</v>
      </c>
      <c r="E562" t="s">
        <v>15</v>
      </c>
      <c r="F562" t="s">
        <v>131</v>
      </c>
      <c r="G562" t="s">
        <v>17</v>
      </c>
      <c r="H562" t="s">
        <v>88</v>
      </c>
      <c r="I562">
        <v>1</v>
      </c>
      <c r="J562">
        <v>32800</v>
      </c>
      <c r="K562">
        <v>10</v>
      </c>
      <c r="L562" t="s">
        <v>33</v>
      </c>
    </row>
    <row r="563" spans="1:12" x14ac:dyDescent="0.3">
      <c r="A563" t="s">
        <v>711</v>
      </c>
      <c r="B563" s="1">
        <v>45186</v>
      </c>
      <c r="C563" t="s">
        <v>236</v>
      </c>
      <c r="D563" t="s">
        <v>237</v>
      </c>
      <c r="E563" t="s">
        <v>15</v>
      </c>
      <c r="F563" t="s">
        <v>131</v>
      </c>
      <c r="G563" t="s">
        <v>45</v>
      </c>
      <c r="H563" t="s">
        <v>46</v>
      </c>
      <c r="I563">
        <v>1</v>
      </c>
      <c r="J563">
        <v>49100</v>
      </c>
      <c r="K563">
        <v>25</v>
      </c>
      <c r="L563" t="s">
        <v>62</v>
      </c>
    </row>
    <row r="564" spans="1:12" x14ac:dyDescent="0.3">
      <c r="A564" t="s">
        <v>712</v>
      </c>
      <c r="B564" s="1">
        <v>45186</v>
      </c>
      <c r="C564" t="s">
        <v>284</v>
      </c>
      <c r="D564" t="s">
        <v>285</v>
      </c>
      <c r="E564" t="s">
        <v>81</v>
      </c>
      <c r="F564" t="s">
        <v>110</v>
      </c>
      <c r="G564" t="s">
        <v>25</v>
      </c>
      <c r="H564" t="s">
        <v>212</v>
      </c>
      <c r="I564">
        <v>2</v>
      </c>
      <c r="J564">
        <v>1600</v>
      </c>
      <c r="K564">
        <v>0</v>
      </c>
      <c r="L564" t="s">
        <v>62</v>
      </c>
    </row>
    <row r="565" spans="1:12" x14ac:dyDescent="0.3">
      <c r="A565" t="s">
        <v>713</v>
      </c>
      <c r="B565" s="1">
        <v>45186</v>
      </c>
      <c r="C565" t="s">
        <v>188</v>
      </c>
      <c r="D565" t="s">
        <v>189</v>
      </c>
      <c r="E565" t="s">
        <v>23</v>
      </c>
      <c r="F565" t="s">
        <v>31</v>
      </c>
      <c r="G565" t="s">
        <v>39</v>
      </c>
      <c r="H565" t="s">
        <v>57</v>
      </c>
      <c r="I565">
        <v>1</v>
      </c>
      <c r="J565">
        <v>14900</v>
      </c>
      <c r="K565">
        <v>0</v>
      </c>
      <c r="L565" t="s">
        <v>62</v>
      </c>
    </row>
    <row r="566" spans="1:12" x14ac:dyDescent="0.3">
      <c r="A566" t="s">
        <v>714</v>
      </c>
      <c r="B566" s="1">
        <v>45216</v>
      </c>
      <c r="C566" t="s">
        <v>143</v>
      </c>
      <c r="D566" t="s">
        <v>144</v>
      </c>
      <c r="E566" t="s">
        <v>23</v>
      </c>
      <c r="F566" t="s">
        <v>51</v>
      </c>
      <c r="G566" t="s">
        <v>45</v>
      </c>
      <c r="H566" t="s">
        <v>156</v>
      </c>
      <c r="I566">
        <v>1</v>
      </c>
      <c r="J566">
        <v>22500</v>
      </c>
      <c r="K566">
        <v>0</v>
      </c>
      <c r="L566" t="s">
        <v>62</v>
      </c>
    </row>
    <row r="567" spans="1:12" x14ac:dyDescent="0.3">
      <c r="A567" t="s">
        <v>715</v>
      </c>
      <c r="B567" s="1">
        <v>45216</v>
      </c>
      <c r="C567" t="s">
        <v>55</v>
      </c>
      <c r="D567" t="s">
        <v>56</v>
      </c>
      <c r="E567" t="s">
        <v>66</v>
      </c>
      <c r="F567" t="s">
        <v>92</v>
      </c>
      <c r="G567" t="s">
        <v>97</v>
      </c>
      <c r="H567" t="s">
        <v>174</v>
      </c>
      <c r="I567">
        <v>1</v>
      </c>
      <c r="J567">
        <v>49300</v>
      </c>
      <c r="K567">
        <v>0</v>
      </c>
      <c r="L567" t="s">
        <v>103</v>
      </c>
    </row>
    <row r="568" spans="1:12" x14ac:dyDescent="0.3">
      <c r="A568" t="s">
        <v>716</v>
      </c>
      <c r="B568" s="1">
        <v>45247</v>
      </c>
      <c r="C568" t="s">
        <v>13</v>
      </c>
      <c r="D568" t="s">
        <v>14</v>
      </c>
      <c r="E568" t="s">
        <v>37</v>
      </c>
      <c r="F568" t="s">
        <v>61</v>
      </c>
      <c r="G568" t="s">
        <v>97</v>
      </c>
      <c r="H568" t="s">
        <v>171</v>
      </c>
      <c r="I568">
        <v>1</v>
      </c>
      <c r="J568">
        <v>44600</v>
      </c>
      <c r="K568">
        <v>5</v>
      </c>
      <c r="L568" t="s">
        <v>19</v>
      </c>
    </row>
    <row r="569" spans="1:12" x14ac:dyDescent="0.3">
      <c r="A569" t="s">
        <v>717</v>
      </c>
      <c r="B569" s="1">
        <v>45247</v>
      </c>
      <c r="C569" t="s">
        <v>210</v>
      </c>
      <c r="D569" t="s">
        <v>211</v>
      </c>
      <c r="E569" t="s">
        <v>81</v>
      </c>
      <c r="F569" t="s">
        <v>82</v>
      </c>
      <c r="G569" t="s">
        <v>39</v>
      </c>
      <c r="H569" t="s">
        <v>57</v>
      </c>
      <c r="I569">
        <v>1</v>
      </c>
      <c r="J569">
        <v>18900</v>
      </c>
      <c r="K569">
        <v>25</v>
      </c>
      <c r="L569" t="s">
        <v>62</v>
      </c>
    </row>
    <row r="570" spans="1:12" x14ac:dyDescent="0.3">
      <c r="A570" t="s">
        <v>718</v>
      </c>
      <c r="B570" s="1">
        <v>45247</v>
      </c>
      <c r="C570" t="s">
        <v>90</v>
      </c>
      <c r="D570" t="s">
        <v>91</v>
      </c>
      <c r="E570" t="s">
        <v>81</v>
      </c>
      <c r="F570" t="s">
        <v>110</v>
      </c>
      <c r="G570" t="s">
        <v>97</v>
      </c>
      <c r="H570" t="s">
        <v>154</v>
      </c>
      <c r="I570">
        <v>2</v>
      </c>
      <c r="J570">
        <v>65600</v>
      </c>
      <c r="K570">
        <v>5</v>
      </c>
      <c r="L570" t="s">
        <v>62</v>
      </c>
    </row>
    <row r="571" spans="1:12" x14ac:dyDescent="0.3">
      <c r="A571" t="s">
        <v>719</v>
      </c>
      <c r="B571" s="1">
        <v>45247</v>
      </c>
      <c r="C571" t="s">
        <v>147</v>
      </c>
      <c r="D571" t="s">
        <v>148</v>
      </c>
      <c r="E571" t="s">
        <v>66</v>
      </c>
      <c r="F571" t="s">
        <v>67</v>
      </c>
      <c r="G571" t="s">
        <v>39</v>
      </c>
      <c r="H571" t="s">
        <v>102</v>
      </c>
      <c r="I571">
        <v>1</v>
      </c>
      <c r="J571">
        <v>18400</v>
      </c>
      <c r="K571">
        <v>5</v>
      </c>
      <c r="L571" t="s">
        <v>33</v>
      </c>
    </row>
    <row r="572" spans="1:12" x14ac:dyDescent="0.3">
      <c r="A572" t="s">
        <v>720</v>
      </c>
      <c r="B572" s="1">
        <v>45247</v>
      </c>
      <c r="C572" t="s">
        <v>49</v>
      </c>
      <c r="D572" t="s">
        <v>50</v>
      </c>
      <c r="E572" t="s">
        <v>23</v>
      </c>
      <c r="F572" t="s">
        <v>51</v>
      </c>
      <c r="G572" t="s">
        <v>17</v>
      </c>
      <c r="H572" t="s">
        <v>77</v>
      </c>
      <c r="I572">
        <v>1</v>
      </c>
      <c r="J572">
        <v>37100</v>
      </c>
      <c r="K572">
        <v>0</v>
      </c>
      <c r="L572" t="s">
        <v>27</v>
      </c>
    </row>
    <row r="573" spans="1:12" x14ac:dyDescent="0.3">
      <c r="A573" t="s">
        <v>721</v>
      </c>
      <c r="B573" s="1">
        <v>45247</v>
      </c>
      <c r="C573" t="s">
        <v>151</v>
      </c>
      <c r="D573" t="s">
        <v>152</v>
      </c>
      <c r="E573" t="s">
        <v>15</v>
      </c>
      <c r="F573" t="s">
        <v>16</v>
      </c>
      <c r="G573" t="s">
        <v>25</v>
      </c>
      <c r="H573" t="s">
        <v>108</v>
      </c>
      <c r="I573">
        <v>2</v>
      </c>
      <c r="J573">
        <v>1400</v>
      </c>
      <c r="K573">
        <v>20</v>
      </c>
      <c r="L573" t="s">
        <v>19</v>
      </c>
    </row>
    <row r="574" spans="1:12" x14ac:dyDescent="0.3">
      <c r="A574" t="s">
        <v>722</v>
      </c>
      <c r="B574" s="1">
        <v>45277</v>
      </c>
      <c r="C574" t="s">
        <v>49</v>
      </c>
      <c r="D574" t="s">
        <v>50</v>
      </c>
      <c r="E574" t="s">
        <v>81</v>
      </c>
      <c r="F574" t="s">
        <v>110</v>
      </c>
      <c r="G574" t="s">
        <v>25</v>
      </c>
      <c r="H574" t="s">
        <v>124</v>
      </c>
      <c r="I574">
        <v>3</v>
      </c>
      <c r="J574">
        <v>2500</v>
      </c>
      <c r="K574">
        <v>0</v>
      </c>
      <c r="L574" t="s">
        <v>27</v>
      </c>
    </row>
    <row r="575" spans="1:12" x14ac:dyDescent="0.3">
      <c r="A575" t="s">
        <v>723</v>
      </c>
      <c r="B575" s="1">
        <v>45277</v>
      </c>
      <c r="C575" t="s">
        <v>130</v>
      </c>
      <c r="D575" t="s">
        <v>53</v>
      </c>
      <c r="E575" t="s">
        <v>15</v>
      </c>
      <c r="F575" t="s">
        <v>119</v>
      </c>
      <c r="G575" t="s">
        <v>45</v>
      </c>
      <c r="H575" t="s">
        <v>156</v>
      </c>
      <c r="I575">
        <v>1</v>
      </c>
      <c r="J575">
        <v>23000</v>
      </c>
      <c r="K575">
        <v>0</v>
      </c>
      <c r="L575" t="s">
        <v>33</v>
      </c>
    </row>
    <row r="576" spans="1:12" x14ac:dyDescent="0.3">
      <c r="A576" t="s">
        <v>724</v>
      </c>
      <c r="B576" s="1">
        <v>45277</v>
      </c>
      <c r="C576" t="s">
        <v>210</v>
      </c>
      <c r="D576" t="s">
        <v>211</v>
      </c>
      <c r="E576" t="s">
        <v>81</v>
      </c>
      <c r="F576" t="s">
        <v>160</v>
      </c>
      <c r="G576" t="s">
        <v>45</v>
      </c>
      <c r="H576" t="s">
        <v>207</v>
      </c>
      <c r="I576">
        <v>1</v>
      </c>
      <c r="J576">
        <v>36500</v>
      </c>
      <c r="K576">
        <v>20</v>
      </c>
      <c r="L576" t="s">
        <v>53</v>
      </c>
    </row>
    <row r="577" spans="1:12" x14ac:dyDescent="0.3">
      <c r="A577" t="s">
        <v>725</v>
      </c>
      <c r="B577" s="1">
        <v>45277</v>
      </c>
      <c r="C577" t="s">
        <v>79</v>
      </c>
      <c r="D577" t="s">
        <v>80</v>
      </c>
      <c r="E577" t="s">
        <v>81</v>
      </c>
      <c r="F577" t="s">
        <v>82</v>
      </c>
      <c r="G577" t="s">
        <v>17</v>
      </c>
      <c r="H577" t="s">
        <v>88</v>
      </c>
      <c r="I577">
        <v>2</v>
      </c>
      <c r="J577">
        <v>35000</v>
      </c>
      <c r="K577">
        <v>10</v>
      </c>
      <c r="L577" t="s">
        <v>47</v>
      </c>
    </row>
    <row r="578" spans="1:12" x14ac:dyDescent="0.3">
      <c r="A578" t="s">
        <v>726</v>
      </c>
      <c r="B578" s="1">
        <v>45277</v>
      </c>
      <c r="C578" t="s">
        <v>42</v>
      </c>
      <c r="D578" t="s">
        <v>43</v>
      </c>
      <c r="E578" t="s">
        <v>15</v>
      </c>
      <c r="F578" t="s">
        <v>128</v>
      </c>
      <c r="G578" t="s">
        <v>45</v>
      </c>
      <c r="H578" t="s">
        <v>207</v>
      </c>
      <c r="I578">
        <v>1</v>
      </c>
      <c r="J578">
        <v>39800</v>
      </c>
      <c r="K578">
        <v>10</v>
      </c>
      <c r="L578" t="s">
        <v>33</v>
      </c>
    </row>
    <row r="579" spans="1:12" x14ac:dyDescent="0.3">
      <c r="A579" t="s">
        <v>727</v>
      </c>
      <c r="B579" s="1">
        <v>45277</v>
      </c>
      <c r="C579" t="s">
        <v>105</v>
      </c>
      <c r="D579" t="s">
        <v>106</v>
      </c>
      <c r="E579" t="s">
        <v>81</v>
      </c>
      <c r="F579" t="s">
        <v>117</v>
      </c>
      <c r="G579" t="s">
        <v>39</v>
      </c>
      <c r="H579" t="s">
        <v>68</v>
      </c>
      <c r="I579">
        <v>1</v>
      </c>
      <c r="J579">
        <v>23700</v>
      </c>
      <c r="K579">
        <v>5</v>
      </c>
      <c r="L579" t="s">
        <v>103</v>
      </c>
    </row>
    <row r="580" spans="1:12" x14ac:dyDescent="0.3">
      <c r="A580" t="s">
        <v>728</v>
      </c>
      <c r="B580" s="1">
        <v>44944</v>
      </c>
      <c r="C580" t="s">
        <v>95</v>
      </c>
      <c r="D580" t="s">
        <v>96</v>
      </c>
      <c r="E580" t="s">
        <v>81</v>
      </c>
      <c r="F580" t="s">
        <v>82</v>
      </c>
      <c r="G580" t="s">
        <v>25</v>
      </c>
      <c r="H580" t="s">
        <v>212</v>
      </c>
      <c r="I580">
        <v>2</v>
      </c>
      <c r="J580">
        <v>2700</v>
      </c>
      <c r="K580">
        <v>10</v>
      </c>
      <c r="L580" t="s">
        <v>27</v>
      </c>
    </row>
    <row r="581" spans="1:12" x14ac:dyDescent="0.3">
      <c r="A581" t="s">
        <v>729</v>
      </c>
      <c r="B581" s="1">
        <v>44944</v>
      </c>
      <c r="C581" t="s">
        <v>165</v>
      </c>
      <c r="D581" t="s">
        <v>166</v>
      </c>
      <c r="E581" t="s">
        <v>81</v>
      </c>
      <c r="F581" t="s">
        <v>82</v>
      </c>
      <c r="G581" t="s">
        <v>39</v>
      </c>
      <c r="H581" t="s">
        <v>57</v>
      </c>
      <c r="I581">
        <v>1</v>
      </c>
      <c r="J581">
        <v>11200</v>
      </c>
      <c r="K581">
        <v>5</v>
      </c>
      <c r="L581" t="s">
        <v>47</v>
      </c>
    </row>
    <row r="582" spans="1:12" x14ac:dyDescent="0.3">
      <c r="A582" t="s">
        <v>730</v>
      </c>
      <c r="B582" s="1">
        <v>44975</v>
      </c>
      <c r="C582" t="s">
        <v>130</v>
      </c>
      <c r="D582" t="s">
        <v>53</v>
      </c>
      <c r="E582" t="s">
        <v>66</v>
      </c>
      <c r="F582" t="s">
        <v>92</v>
      </c>
      <c r="G582" t="s">
        <v>45</v>
      </c>
      <c r="H582" t="s">
        <v>52</v>
      </c>
      <c r="I582">
        <v>1</v>
      </c>
      <c r="J582">
        <v>42100</v>
      </c>
      <c r="K582">
        <v>25</v>
      </c>
      <c r="L582" t="s">
        <v>103</v>
      </c>
    </row>
    <row r="583" spans="1:12" x14ac:dyDescent="0.3">
      <c r="A583" t="s">
        <v>731</v>
      </c>
      <c r="B583" s="1">
        <v>44975</v>
      </c>
      <c r="C583" t="s">
        <v>70</v>
      </c>
      <c r="D583" t="s">
        <v>71</v>
      </c>
      <c r="E583" t="s">
        <v>15</v>
      </c>
      <c r="F583" t="s">
        <v>128</v>
      </c>
      <c r="G583" t="s">
        <v>25</v>
      </c>
      <c r="H583" t="s">
        <v>212</v>
      </c>
      <c r="I583">
        <v>2</v>
      </c>
      <c r="J583">
        <v>2400</v>
      </c>
      <c r="K583">
        <v>5</v>
      </c>
      <c r="L583" t="s">
        <v>62</v>
      </c>
    </row>
    <row r="584" spans="1:12" x14ac:dyDescent="0.3">
      <c r="A584" t="s">
        <v>732</v>
      </c>
      <c r="B584" s="1">
        <v>44975</v>
      </c>
      <c r="C584" t="s">
        <v>126</v>
      </c>
      <c r="D584" t="s">
        <v>127</v>
      </c>
      <c r="E584" t="s">
        <v>23</v>
      </c>
      <c r="F584" t="s">
        <v>44</v>
      </c>
      <c r="G584" t="s">
        <v>45</v>
      </c>
      <c r="H584" t="s">
        <v>46</v>
      </c>
      <c r="I584">
        <v>1</v>
      </c>
      <c r="J584">
        <v>20000</v>
      </c>
      <c r="K584">
        <v>0</v>
      </c>
      <c r="L584" t="s">
        <v>53</v>
      </c>
    </row>
    <row r="585" spans="1:12" x14ac:dyDescent="0.3">
      <c r="A585" t="s">
        <v>733</v>
      </c>
      <c r="B585" s="1">
        <v>44975</v>
      </c>
      <c r="C585" t="s">
        <v>112</v>
      </c>
      <c r="D585" t="s">
        <v>113</v>
      </c>
      <c r="E585" t="s">
        <v>15</v>
      </c>
      <c r="F585" t="s">
        <v>119</v>
      </c>
      <c r="G585" t="s">
        <v>45</v>
      </c>
      <c r="H585" t="s">
        <v>52</v>
      </c>
      <c r="I585">
        <v>1</v>
      </c>
      <c r="J585">
        <v>36400</v>
      </c>
      <c r="K585">
        <v>25</v>
      </c>
      <c r="L585" t="s">
        <v>53</v>
      </c>
    </row>
    <row r="586" spans="1:12" x14ac:dyDescent="0.3">
      <c r="A586" t="s">
        <v>734</v>
      </c>
      <c r="B586" s="1">
        <v>45003</v>
      </c>
      <c r="C586" t="s">
        <v>244</v>
      </c>
      <c r="D586" t="s">
        <v>245</v>
      </c>
      <c r="E586" t="s">
        <v>37</v>
      </c>
      <c r="F586" t="s">
        <v>61</v>
      </c>
      <c r="G586" t="s">
        <v>97</v>
      </c>
      <c r="H586" t="s">
        <v>174</v>
      </c>
      <c r="I586">
        <v>1</v>
      </c>
      <c r="J586">
        <v>52400</v>
      </c>
      <c r="K586">
        <v>25</v>
      </c>
      <c r="L586" t="s">
        <v>19</v>
      </c>
    </row>
    <row r="587" spans="1:12" x14ac:dyDescent="0.3">
      <c r="A587" t="s">
        <v>735</v>
      </c>
      <c r="B587" s="1">
        <v>45003</v>
      </c>
      <c r="C587" t="s">
        <v>244</v>
      </c>
      <c r="D587" t="s">
        <v>245</v>
      </c>
      <c r="E587" t="s">
        <v>15</v>
      </c>
      <c r="F587" t="s">
        <v>16</v>
      </c>
      <c r="G587" t="s">
        <v>97</v>
      </c>
      <c r="H587" t="s">
        <v>171</v>
      </c>
      <c r="I587">
        <v>1</v>
      </c>
      <c r="J587">
        <v>43500</v>
      </c>
      <c r="K587">
        <v>0</v>
      </c>
      <c r="L587" t="s">
        <v>27</v>
      </c>
    </row>
    <row r="588" spans="1:12" x14ac:dyDescent="0.3">
      <c r="A588" t="s">
        <v>736</v>
      </c>
      <c r="B588" s="1">
        <v>45003</v>
      </c>
      <c r="C588" t="s">
        <v>180</v>
      </c>
      <c r="D588" t="s">
        <v>181</v>
      </c>
      <c r="E588" t="s">
        <v>37</v>
      </c>
      <c r="F588" t="s">
        <v>101</v>
      </c>
      <c r="G588" t="s">
        <v>17</v>
      </c>
      <c r="H588" t="s">
        <v>168</v>
      </c>
      <c r="I588">
        <v>1</v>
      </c>
      <c r="J588">
        <v>35100</v>
      </c>
      <c r="K588">
        <v>15</v>
      </c>
      <c r="L588" t="s">
        <v>27</v>
      </c>
    </row>
    <row r="589" spans="1:12" x14ac:dyDescent="0.3">
      <c r="A589" t="s">
        <v>737</v>
      </c>
      <c r="B589" s="1">
        <v>45034</v>
      </c>
      <c r="C589" t="s">
        <v>42</v>
      </c>
      <c r="D589" t="s">
        <v>43</v>
      </c>
      <c r="E589" t="s">
        <v>15</v>
      </c>
      <c r="F589" t="s">
        <v>16</v>
      </c>
      <c r="G589" t="s">
        <v>45</v>
      </c>
      <c r="H589" t="s">
        <v>46</v>
      </c>
      <c r="I589">
        <v>1</v>
      </c>
      <c r="J589">
        <v>37000</v>
      </c>
      <c r="K589">
        <v>0</v>
      </c>
      <c r="L589" t="s">
        <v>53</v>
      </c>
    </row>
    <row r="590" spans="1:12" x14ac:dyDescent="0.3">
      <c r="A590" t="s">
        <v>738</v>
      </c>
      <c r="B590" s="1">
        <v>45034</v>
      </c>
      <c r="C590" t="s">
        <v>203</v>
      </c>
      <c r="D590" t="s">
        <v>204</v>
      </c>
      <c r="E590" t="s">
        <v>37</v>
      </c>
      <c r="F590" t="s">
        <v>141</v>
      </c>
      <c r="G590" t="s">
        <v>97</v>
      </c>
      <c r="H590" t="s">
        <v>174</v>
      </c>
      <c r="I590">
        <v>1</v>
      </c>
      <c r="J590">
        <v>58400</v>
      </c>
      <c r="K590">
        <v>0</v>
      </c>
      <c r="L590" t="s">
        <v>103</v>
      </c>
    </row>
    <row r="591" spans="1:12" x14ac:dyDescent="0.3">
      <c r="A591" t="s">
        <v>739</v>
      </c>
      <c r="B591" s="1">
        <v>45034</v>
      </c>
      <c r="C591" t="s">
        <v>126</v>
      </c>
      <c r="D591" t="s">
        <v>127</v>
      </c>
      <c r="E591" t="s">
        <v>15</v>
      </c>
      <c r="F591" t="s">
        <v>128</v>
      </c>
      <c r="G591" t="s">
        <v>17</v>
      </c>
      <c r="H591" t="s">
        <v>18</v>
      </c>
      <c r="I591">
        <v>1</v>
      </c>
      <c r="J591">
        <v>55100</v>
      </c>
      <c r="K591">
        <v>20</v>
      </c>
      <c r="L591" t="s">
        <v>73</v>
      </c>
    </row>
    <row r="592" spans="1:12" x14ac:dyDescent="0.3">
      <c r="A592" t="s">
        <v>740</v>
      </c>
      <c r="B592" s="1">
        <v>45034</v>
      </c>
      <c r="C592" t="s">
        <v>49</v>
      </c>
      <c r="D592" t="s">
        <v>50</v>
      </c>
      <c r="E592" t="s">
        <v>66</v>
      </c>
      <c r="F592" t="s">
        <v>92</v>
      </c>
      <c r="G592" t="s">
        <v>25</v>
      </c>
      <c r="H592" t="s">
        <v>212</v>
      </c>
      <c r="I592">
        <v>2</v>
      </c>
      <c r="J592">
        <v>1000</v>
      </c>
      <c r="K592">
        <v>15</v>
      </c>
      <c r="L592" t="s">
        <v>73</v>
      </c>
    </row>
    <row r="593" spans="1:12" x14ac:dyDescent="0.3">
      <c r="A593" t="s">
        <v>741</v>
      </c>
      <c r="B593" s="1">
        <v>45064</v>
      </c>
      <c r="C593" t="s">
        <v>244</v>
      </c>
      <c r="D593" t="s">
        <v>245</v>
      </c>
      <c r="E593" t="s">
        <v>66</v>
      </c>
      <c r="F593" t="s">
        <v>67</v>
      </c>
      <c r="G593" t="s">
        <v>97</v>
      </c>
      <c r="H593" t="s">
        <v>171</v>
      </c>
      <c r="I593">
        <v>1</v>
      </c>
      <c r="J593">
        <v>61700</v>
      </c>
      <c r="K593">
        <v>25</v>
      </c>
      <c r="L593" t="s">
        <v>33</v>
      </c>
    </row>
    <row r="594" spans="1:12" x14ac:dyDescent="0.3">
      <c r="A594" t="s">
        <v>742</v>
      </c>
      <c r="B594" s="1">
        <v>45064</v>
      </c>
      <c r="C594" t="s">
        <v>232</v>
      </c>
      <c r="D594" t="s">
        <v>233</v>
      </c>
      <c r="E594" t="s">
        <v>66</v>
      </c>
      <c r="F594" t="s">
        <v>87</v>
      </c>
      <c r="G594" t="s">
        <v>97</v>
      </c>
      <c r="H594" t="s">
        <v>171</v>
      </c>
      <c r="I594">
        <v>1</v>
      </c>
      <c r="J594">
        <v>55900</v>
      </c>
      <c r="K594">
        <v>10</v>
      </c>
      <c r="L594" t="s">
        <v>27</v>
      </c>
    </row>
    <row r="595" spans="1:12" x14ac:dyDescent="0.3">
      <c r="A595" t="s">
        <v>743</v>
      </c>
      <c r="B595" s="1">
        <v>45095</v>
      </c>
      <c r="C595" t="s">
        <v>122</v>
      </c>
      <c r="D595" t="s">
        <v>123</v>
      </c>
      <c r="E595" t="s">
        <v>66</v>
      </c>
      <c r="F595" t="s">
        <v>92</v>
      </c>
      <c r="G595" t="s">
        <v>25</v>
      </c>
      <c r="H595" t="s">
        <v>108</v>
      </c>
      <c r="I595">
        <v>2</v>
      </c>
      <c r="J595">
        <v>1800</v>
      </c>
      <c r="K595">
        <v>0</v>
      </c>
      <c r="L595" t="s">
        <v>53</v>
      </c>
    </row>
    <row r="596" spans="1:12" x14ac:dyDescent="0.3">
      <c r="A596" t="s">
        <v>744</v>
      </c>
      <c r="B596" s="1">
        <v>45125</v>
      </c>
      <c r="C596" t="s">
        <v>158</v>
      </c>
      <c r="D596" t="s">
        <v>159</v>
      </c>
      <c r="E596" t="s">
        <v>81</v>
      </c>
      <c r="F596" t="s">
        <v>82</v>
      </c>
      <c r="G596" t="s">
        <v>45</v>
      </c>
      <c r="H596" t="s">
        <v>52</v>
      </c>
      <c r="I596">
        <v>1</v>
      </c>
      <c r="J596">
        <v>47200</v>
      </c>
      <c r="K596">
        <v>0</v>
      </c>
      <c r="L596" t="s">
        <v>19</v>
      </c>
    </row>
    <row r="597" spans="1:12" x14ac:dyDescent="0.3">
      <c r="A597" t="s">
        <v>745</v>
      </c>
      <c r="B597" s="1">
        <v>45125</v>
      </c>
      <c r="C597" t="s">
        <v>250</v>
      </c>
      <c r="D597" t="s">
        <v>251</v>
      </c>
      <c r="E597" t="s">
        <v>66</v>
      </c>
      <c r="F597" t="s">
        <v>92</v>
      </c>
      <c r="G597" t="s">
        <v>39</v>
      </c>
      <c r="H597" t="s">
        <v>102</v>
      </c>
      <c r="I597">
        <v>2</v>
      </c>
      <c r="J597">
        <v>17700</v>
      </c>
      <c r="K597">
        <v>10</v>
      </c>
      <c r="L597" t="s">
        <v>53</v>
      </c>
    </row>
    <row r="598" spans="1:12" x14ac:dyDescent="0.3">
      <c r="A598" t="s">
        <v>746</v>
      </c>
      <c r="B598" s="1">
        <v>45125</v>
      </c>
      <c r="C598" t="s">
        <v>250</v>
      </c>
      <c r="D598" t="s">
        <v>251</v>
      </c>
      <c r="E598" t="s">
        <v>15</v>
      </c>
      <c r="F598" t="s">
        <v>119</v>
      </c>
      <c r="G598" t="s">
        <v>45</v>
      </c>
      <c r="H598" t="s">
        <v>46</v>
      </c>
      <c r="I598">
        <v>1</v>
      </c>
      <c r="J598">
        <v>42300</v>
      </c>
      <c r="K598">
        <v>15</v>
      </c>
      <c r="L598" t="s">
        <v>103</v>
      </c>
    </row>
    <row r="599" spans="1:12" x14ac:dyDescent="0.3">
      <c r="A599" t="s">
        <v>747</v>
      </c>
      <c r="B599" s="1">
        <v>45156</v>
      </c>
      <c r="C599" t="s">
        <v>95</v>
      </c>
      <c r="D599" t="s">
        <v>96</v>
      </c>
      <c r="E599" t="s">
        <v>15</v>
      </c>
      <c r="F599" t="s">
        <v>16</v>
      </c>
      <c r="G599" t="s">
        <v>97</v>
      </c>
      <c r="H599" t="s">
        <v>171</v>
      </c>
      <c r="I599">
        <v>2</v>
      </c>
      <c r="J599">
        <v>66100</v>
      </c>
      <c r="K599">
        <v>10</v>
      </c>
      <c r="L599" t="s">
        <v>47</v>
      </c>
    </row>
    <row r="600" spans="1:12" x14ac:dyDescent="0.3">
      <c r="A600" t="s">
        <v>748</v>
      </c>
      <c r="B600" s="1">
        <v>45156</v>
      </c>
      <c r="C600" t="s">
        <v>42</v>
      </c>
      <c r="D600" t="s">
        <v>43</v>
      </c>
      <c r="E600" t="s">
        <v>15</v>
      </c>
      <c r="F600" t="s">
        <v>119</v>
      </c>
      <c r="G600" t="s">
        <v>39</v>
      </c>
      <c r="H600" t="s">
        <v>68</v>
      </c>
      <c r="I600">
        <v>1</v>
      </c>
      <c r="J600">
        <v>33500</v>
      </c>
      <c r="K600">
        <v>20</v>
      </c>
      <c r="L600" t="s">
        <v>27</v>
      </c>
    </row>
    <row r="601" spans="1:12" x14ac:dyDescent="0.3">
      <c r="A601" t="s">
        <v>749</v>
      </c>
      <c r="B601" s="1">
        <v>45156</v>
      </c>
      <c r="C601" t="s">
        <v>143</v>
      </c>
      <c r="D601" t="s">
        <v>144</v>
      </c>
      <c r="E601" t="s">
        <v>23</v>
      </c>
      <c r="F601" t="s">
        <v>24</v>
      </c>
      <c r="G601" t="s">
        <v>45</v>
      </c>
      <c r="H601" t="s">
        <v>46</v>
      </c>
      <c r="I601">
        <v>1</v>
      </c>
      <c r="J601">
        <v>41200</v>
      </c>
      <c r="K601">
        <v>10</v>
      </c>
      <c r="L601" t="s">
        <v>47</v>
      </c>
    </row>
    <row r="602" spans="1:12" x14ac:dyDescent="0.3">
      <c r="A602" t="s">
        <v>750</v>
      </c>
      <c r="B602" s="1">
        <v>45187</v>
      </c>
      <c r="C602" t="s">
        <v>49</v>
      </c>
      <c r="D602" t="s">
        <v>50</v>
      </c>
      <c r="E602" t="s">
        <v>81</v>
      </c>
      <c r="F602" t="s">
        <v>82</v>
      </c>
      <c r="G602" t="s">
        <v>45</v>
      </c>
      <c r="H602" t="s">
        <v>52</v>
      </c>
      <c r="I602">
        <v>1</v>
      </c>
      <c r="J602">
        <v>31100</v>
      </c>
      <c r="K602">
        <v>0</v>
      </c>
      <c r="L602" t="s">
        <v>53</v>
      </c>
    </row>
    <row r="603" spans="1:12" x14ac:dyDescent="0.3">
      <c r="A603" t="s">
        <v>751</v>
      </c>
      <c r="B603" s="1">
        <v>45187</v>
      </c>
      <c r="C603" t="s">
        <v>105</v>
      </c>
      <c r="D603" t="s">
        <v>106</v>
      </c>
      <c r="E603" t="s">
        <v>81</v>
      </c>
      <c r="F603" t="s">
        <v>117</v>
      </c>
      <c r="G603" t="s">
        <v>39</v>
      </c>
      <c r="H603" t="s">
        <v>102</v>
      </c>
      <c r="I603">
        <v>1</v>
      </c>
      <c r="J603">
        <v>22300</v>
      </c>
      <c r="K603">
        <v>20</v>
      </c>
      <c r="L603" t="s">
        <v>62</v>
      </c>
    </row>
    <row r="604" spans="1:12" x14ac:dyDescent="0.3">
      <c r="A604" t="s">
        <v>752</v>
      </c>
      <c r="B604" s="1">
        <v>45217</v>
      </c>
      <c r="C604" t="s">
        <v>42</v>
      </c>
      <c r="D604" t="s">
        <v>43</v>
      </c>
      <c r="E604" t="s">
        <v>66</v>
      </c>
      <c r="F604" t="s">
        <v>92</v>
      </c>
      <c r="G604" t="s">
        <v>25</v>
      </c>
      <c r="H604" t="s">
        <v>32</v>
      </c>
      <c r="I604">
        <v>1</v>
      </c>
      <c r="J604">
        <v>900</v>
      </c>
      <c r="K604">
        <v>0</v>
      </c>
      <c r="L604" t="s">
        <v>53</v>
      </c>
    </row>
    <row r="605" spans="1:12" x14ac:dyDescent="0.3">
      <c r="A605" t="s">
        <v>753</v>
      </c>
      <c r="B605" s="1">
        <v>45248</v>
      </c>
      <c r="C605" t="s">
        <v>79</v>
      </c>
      <c r="D605" t="s">
        <v>80</v>
      </c>
      <c r="E605" t="s">
        <v>66</v>
      </c>
      <c r="F605" t="s">
        <v>72</v>
      </c>
      <c r="G605" t="s">
        <v>25</v>
      </c>
      <c r="H605" t="s">
        <v>26</v>
      </c>
      <c r="I605">
        <v>2</v>
      </c>
      <c r="J605">
        <v>2400</v>
      </c>
      <c r="K605">
        <v>0</v>
      </c>
      <c r="L605" t="s">
        <v>47</v>
      </c>
    </row>
    <row r="606" spans="1:12" x14ac:dyDescent="0.3">
      <c r="A606" t="s">
        <v>754</v>
      </c>
      <c r="B606" s="1">
        <v>45248</v>
      </c>
      <c r="C606" t="s">
        <v>115</v>
      </c>
      <c r="D606" t="s">
        <v>116</v>
      </c>
      <c r="E606" t="s">
        <v>23</v>
      </c>
      <c r="F606" t="s">
        <v>44</v>
      </c>
      <c r="G606" t="s">
        <v>45</v>
      </c>
      <c r="H606" t="s">
        <v>207</v>
      </c>
      <c r="I606">
        <v>1</v>
      </c>
      <c r="J606">
        <v>49500</v>
      </c>
      <c r="K606">
        <v>5</v>
      </c>
      <c r="L606" t="s">
        <v>47</v>
      </c>
    </row>
    <row r="607" spans="1:12" x14ac:dyDescent="0.3">
      <c r="A607" t="s">
        <v>755</v>
      </c>
      <c r="B607" s="1">
        <v>45248</v>
      </c>
      <c r="C607" t="s">
        <v>180</v>
      </c>
      <c r="D607" t="s">
        <v>181</v>
      </c>
      <c r="E607" t="s">
        <v>37</v>
      </c>
      <c r="F607" t="s">
        <v>101</v>
      </c>
      <c r="G607" t="s">
        <v>97</v>
      </c>
      <c r="H607" t="s">
        <v>174</v>
      </c>
      <c r="I607">
        <v>1</v>
      </c>
      <c r="J607">
        <v>58400</v>
      </c>
      <c r="K607">
        <v>0</v>
      </c>
      <c r="L607" t="s">
        <v>103</v>
      </c>
    </row>
    <row r="608" spans="1:12" x14ac:dyDescent="0.3">
      <c r="A608" t="s">
        <v>756</v>
      </c>
      <c r="B608" s="1">
        <v>45248</v>
      </c>
      <c r="C608" t="s">
        <v>70</v>
      </c>
      <c r="D608" t="s">
        <v>71</v>
      </c>
      <c r="E608" t="s">
        <v>37</v>
      </c>
      <c r="F608" t="s">
        <v>101</v>
      </c>
      <c r="G608" t="s">
        <v>39</v>
      </c>
      <c r="H608" t="s">
        <v>57</v>
      </c>
      <c r="I608">
        <v>1</v>
      </c>
      <c r="J608">
        <v>33100</v>
      </c>
      <c r="K608">
        <v>20</v>
      </c>
      <c r="L608" t="s">
        <v>53</v>
      </c>
    </row>
    <row r="609" spans="1:12" x14ac:dyDescent="0.3">
      <c r="A609" t="s">
        <v>757</v>
      </c>
      <c r="B609" s="1">
        <v>45278</v>
      </c>
      <c r="C609" t="s">
        <v>250</v>
      </c>
      <c r="D609" t="s">
        <v>251</v>
      </c>
      <c r="E609" t="s">
        <v>37</v>
      </c>
      <c r="F609" t="s">
        <v>141</v>
      </c>
      <c r="G609" t="s">
        <v>25</v>
      </c>
      <c r="H609" t="s">
        <v>108</v>
      </c>
      <c r="I609">
        <v>3</v>
      </c>
      <c r="J609">
        <v>1200</v>
      </c>
      <c r="K609">
        <v>5</v>
      </c>
      <c r="L609" t="s">
        <v>19</v>
      </c>
    </row>
    <row r="610" spans="1:12" x14ac:dyDescent="0.3">
      <c r="A610" t="s">
        <v>758</v>
      </c>
      <c r="B610" s="1">
        <v>45278</v>
      </c>
      <c r="C610" t="s">
        <v>130</v>
      </c>
      <c r="D610" t="s">
        <v>53</v>
      </c>
      <c r="E610" t="s">
        <v>81</v>
      </c>
      <c r="F610" t="s">
        <v>82</v>
      </c>
      <c r="G610" t="s">
        <v>17</v>
      </c>
      <c r="H610" t="s">
        <v>168</v>
      </c>
      <c r="I610">
        <v>1</v>
      </c>
      <c r="J610">
        <v>53800</v>
      </c>
      <c r="K610">
        <v>0</v>
      </c>
      <c r="L610" t="s">
        <v>33</v>
      </c>
    </row>
    <row r="611" spans="1:12" x14ac:dyDescent="0.3">
      <c r="A611" t="s">
        <v>759</v>
      </c>
      <c r="B611" s="1">
        <v>45278</v>
      </c>
      <c r="C611" t="s">
        <v>115</v>
      </c>
      <c r="D611" t="s">
        <v>116</v>
      </c>
      <c r="E611" t="s">
        <v>66</v>
      </c>
      <c r="F611" t="s">
        <v>87</v>
      </c>
      <c r="G611" t="s">
        <v>39</v>
      </c>
      <c r="H611" t="s">
        <v>68</v>
      </c>
      <c r="I611">
        <v>1</v>
      </c>
      <c r="J611">
        <v>25700</v>
      </c>
      <c r="K611">
        <v>5</v>
      </c>
      <c r="L611" t="s">
        <v>33</v>
      </c>
    </row>
    <row r="612" spans="1:12" x14ac:dyDescent="0.3">
      <c r="A612" t="s">
        <v>760</v>
      </c>
      <c r="B612" s="1">
        <v>44945</v>
      </c>
      <c r="C612" t="s">
        <v>130</v>
      </c>
      <c r="D612" t="s">
        <v>53</v>
      </c>
      <c r="E612" t="s">
        <v>37</v>
      </c>
      <c r="F612" t="s">
        <v>101</v>
      </c>
      <c r="G612" t="s">
        <v>39</v>
      </c>
      <c r="H612" t="s">
        <v>40</v>
      </c>
      <c r="I612">
        <v>1</v>
      </c>
      <c r="J612">
        <v>24900</v>
      </c>
      <c r="K612">
        <v>10</v>
      </c>
      <c r="L612" t="s">
        <v>103</v>
      </c>
    </row>
    <row r="613" spans="1:12" x14ac:dyDescent="0.3">
      <c r="A613" t="s">
        <v>761</v>
      </c>
      <c r="B613" s="1">
        <v>44945</v>
      </c>
      <c r="C613" t="s">
        <v>176</v>
      </c>
      <c r="D613" t="s">
        <v>177</v>
      </c>
      <c r="E613" t="s">
        <v>37</v>
      </c>
      <c r="F613" t="s">
        <v>141</v>
      </c>
      <c r="G613" t="s">
        <v>97</v>
      </c>
      <c r="H613" t="s">
        <v>133</v>
      </c>
      <c r="I613">
        <v>1</v>
      </c>
      <c r="J613">
        <v>53000</v>
      </c>
      <c r="K613">
        <v>25</v>
      </c>
      <c r="L613" t="s">
        <v>33</v>
      </c>
    </row>
    <row r="614" spans="1:12" x14ac:dyDescent="0.3">
      <c r="A614" t="s">
        <v>762</v>
      </c>
      <c r="B614" s="1">
        <v>44945</v>
      </c>
      <c r="C614" t="s">
        <v>70</v>
      </c>
      <c r="D614" t="s">
        <v>71</v>
      </c>
      <c r="E614" t="s">
        <v>81</v>
      </c>
      <c r="F614" t="s">
        <v>117</v>
      </c>
      <c r="G614" t="s">
        <v>97</v>
      </c>
      <c r="H614" t="s">
        <v>171</v>
      </c>
      <c r="I614">
        <v>1</v>
      </c>
      <c r="J614">
        <v>72900</v>
      </c>
      <c r="K614">
        <v>0</v>
      </c>
      <c r="L614" t="s">
        <v>47</v>
      </c>
    </row>
    <row r="615" spans="1:12" x14ac:dyDescent="0.3">
      <c r="A615" t="s">
        <v>763</v>
      </c>
      <c r="B615" s="1">
        <v>44976</v>
      </c>
      <c r="C615" t="s">
        <v>244</v>
      </c>
      <c r="D615" t="s">
        <v>245</v>
      </c>
      <c r="E615" t="s">
        <v>37</v>
      </c>
      <c r="F615" t="s">
        <v>101</v>
      </c>
      <c r="G615" t="s">
        <v>45</v>
      </c>
      <c r="H615" t="s">
        <v>52</v>
      </c>
      <c r="I615">
        <v>1</v>
      </c>
      <c r="J615">
        <v>46800</v>
      </c>
      <c r="K615">
        <v>5</v>
      </c>
      <c r="L615" t="s">
        <v>53</v>
      </c>
    </row>
    <row r="616" spans="1:12" x14ac:dyDescent="0.3">
      <c r="A616" t="s">
        <v>764</v>
      </c>
      <c r="B616" s="1">
        <v>45004</v>
      </c>
      <c r="C616" t="s">
        <v>122</v>
      </c>
      <c r="D616" t="s">
        <v>123</v>
      </c>
      <c r="E616" t="s">
        <v>23</v>
      </c>
      <c r="F616" t="s">
        <v>44</v>
      </c>
      <c r="G616" t="s">
        <v>17</v>
      </c>
      <c r="H616" t="s">
        <v>168</v>
      </c>
      <c r="I616">
        <v>1</v>
      </c>
      <c r="J616">
        <v>46900</v>
      </c>
      <c r="K616">
        <v>10</v>
      </c>
      <c r="L616" t="s">
        <v>73</v>
      </c>
    </row>
    <row r="617" spans="1:12" x14ac:dyDescent="0.3">
      <c r="A617" t="s">
        <v>765</v>
      </c>
      <c r="B617" s="1">
        <v>45004</v>
      </c>
      <c r="C617" t="s">
        <v>55</v>
      </c>
      <c r="D617" t="s">
        <v>56</v>
      </c>
      <c r="E617" t="s">
        <v>37</v>
      </c>
      <c r="F617" t="s">
        <v>38</v>
      </c>
      <c r="G617" t="s">
        <v>45</v>
      </c>
      <c r="H617" t="s">
        <v>156</v>
      </c>
      <c r="I617">
        <v>1</v>
      </c>
      <c r="J617">
        <v>48500</v>
      </c>
      <c r="K617">
        <v>25</v>
      </c>
      <c r="L617" t="s">
        <v>62</v>
      </c>
    </row>
    <row r="618" spans="1:12" x14ac:dyDescent="0.3">
      <c r="A618" t="s">
        <v>766</v>
      </c>
      <c r="B618" s="1">
        <v>45004</v>
      </c>
      <c r="C618" t="s">
        <v>151</v>
      </c>
      <c r="D618" t="s">
        <v>152</v>
      </c>
      <c r="E618" t="s">
        <v>23</v>
      </c>
      <c r="F618" t="s">
        <v>44</v>
      </c>
      <c r="G618" t="s">
        <v>97</v>
      </c>
      <c r="H618" t="s">
        <v>171</v>
      </c>
      <c r="I618">
        <v>1</v>
      </c>
      <c r="J618">
        <v>52100</v>
      </c>
      <c r="K618">
        <v>20</v>
      </c>
      <c r="L618" t="s">
        <v>103</v>
      </c>
    </row>
    <row r="619" spans="1:12" x14ac:dyDescent="0.3">
      <c r="A619" t="s">
        <v>767</v>
      </c>
      <c r="B619" s="1">
        <v>45035</v>
      </c>
      <c r="C619" t="s">
        <v>90</v>
      </c>
      <c r="D619" t="s">
        <v>91</v>
      </c>
      <c r="E619" t="s">
        <v>15</v>
      </c>
      <c r="F619" t="s">
        <v>119</v>
      </c>
      <c r="G619" t="s">
        <v>39</v>
      </c>
      <c r="H619" t="s">
        <v>57</v>
      </c>
      <c r="I619">
        <v>1</v>
      </c>
      <c r="J619">
        <v>28900</v>
      </c>
      <c r="K619">
        <v>25</v>
      </c>
      <c r="L619" t="s">
        <v>19</v>
      </c>
    </row>
    <row r="620" spans="1:12" x14ac:dyDescent="0.3">
      <c r="A620" t="s">
        <v>768</v>
      </c>
      <c r="B620" s="1">
        <v>45065</v>
      </c>
      <c r="C620" t="s">
        <v>13</v>
      </c>
      <c r="D620" t="s">
        <v>14</v>
      </c>
      <c r="E620" t="s">
        <v>23</v>
      </c>
      <c r="F620" t="s">
        <v>31</v>
      </c>
      <c r="G620" t="s">
        <v>97</v>
      </c>
      <c r="H620" t="s">
        <v>154</v>
      </c>
      <c r="I620">
        <v>1</v>
      </c>
      <c r="J620">
        <v>57800</v>
      </c>
      <c r="K620">
        <v>0</v>
      </c>
      <c r="L620" t="s">
        <v>33</v>
      </c>
    </row>
    <row r="621" spans="1:12" x14ac:dyDescent="0.3">
      <c r="A621" t="s">
        <v>769</v>
      </c>
      <c r="B621" s="1">
        <v>45065</v>
      </c>
      <c r="C621" t="s">
        <v>70</v>
      </c>
      <c r="D621" t="s">
        <v>71</v>
      </c>
      <c r="E621" t="s">
        <v>23</v>
      </c>
      <c r="F621" t="s">
        <v>24</v>
      </c>
      <c r="G621" t="s">
        <v>45</v>
      </c>
      <c r="H621" t="s">
        <v>207</v>
      </c>
      <c r="I621">
        <v>1</v>
      </c>
      <c r="J621">
        <v>22600</v>
      </c>
      <c r="K621">
        <v>0</v>
      </c>
      <c r="L621" t="s">
        <v>103</v>
      </c>
    </row>
    <row r="622" spans="1:12" x14ac:dyDescent="0.3">
      <c r="A622" t="s">
        <v>770</v>
      </c>
      <c r="B622" s="1">
        <v>45096</v>
      </c>
      <c r="C622" t="s">
        <v>203</v>
      </c>
      <c r="D622" t="s">
        <v>204</v>
      </c>
      <c r="E622" t="s">
        <v>81</v>
      </c>
      <c r="F622" t="s">
        <v>160</v>
      </c>
      <c r="G622" t="s">
        <v>17</v>
      </c>
      <c r="H622" t="s">
        <v>18</v>
      </c>
      <c r="I622">
        <v>1</v>
      </c>
      <c r="J622">
        <v>33600</v>
      </c>
      <c r="K622">
        <v>20</v>
      </c>
      <c r="L622" t="s">
        <v>103</v>
      </c>
    </row>
    <row r="623" spans="1:12" x14ac:dyDescent="0.3">
      <c r="A623" t="s">
        <v>771</v>
      </c>
      <c r="B623" s="1">
        <v>45096</v>
      </c>
      <c r="C623" t="s">
        <v>84</v>
      </c>
      <c r="D623" t="s">
        <v>85</v>
      </c>
      <c r="E623" t="s">
        <v>23</v>
      </c>
      <c r="F623" t="s">
        <v>44</v>
      </c>
      <c r="G623" t="s">
        <v>39</v>
      </c>
      <c r="H623" t="s">
        <v>40</v>
      </c>
      <c r="I623">
        <v>1</v>
      </c>
      <c r="J623">
        <v>17100</v>
      </c>
      <c r="K623">
        <v>0</v>
      </c>
      <c r="L623" t="s">
        <v>73</v>
      </c>
    </row>
    <row r="624" spans="1:12" x14ac:dyDescent="0.3">
      <c r="A624" t="s">
        <v>772</v>
      </c>
      <c r="B624" s="1">
        <v>45126</v>
      </c>
      <c r="C624" t="s">
        <v>284</v>
      </c>
      <c r="D624" t="s">
        <v>285</v>
      </c>
      <c r="E624" t="s">
        <v>66</v>
      </c>
      <c r="F624" t="s">
        <v>67</v>
      </c>
      <c r="G624" t="s">
        <v>39</v>
      </c>
      <c r="H624" t="s">
        <v>68</v>
      </c>
      <c r="I624">
        <v>1</v>
      </c>
      <c r="J624">
        <v>24300</v>
      </c>
      <c r="K624">
        <v>20</v>
      </c>
      <c r="L624" t="s">
        <v>73</v>
      </c>
    </row>
    <row r="625" spans="1:12" x14ac:dyDescent="0.3">
      <c r="A625" t="s">
        <v>773</v>
      </c>
      <c r="B625" s="1">
        <v>45126</v>
      </c>
      <c r="C625" t="s">
        <v>122</v>
      </c>
      <c r="D625" t="s">
        <v>123</v>
      </c>
      <c r="E625" t="s">
        <v>15</v>
      </c>
      <c r="F625" t="s">
        <v>119</v>
      </c>
      <c r="G625" t="s">
        <v>17</v>
      </c>
      <c r="H625" t="s">
        <v>196</v>
      </c>
      <c r="I625">
        <v>1</v>
      </c>
      <c r="J625">
        <v>15000</v>
      </c>
      <c r="K625">
        <v>10</v>
      </c>
      <c r="L625" t="s">
        <v>47</v>
      </c>
    </row>
    <row r="626" spans="1:12" x14ac:dyDescent="0.3">
      <c r="A626" t="s">
        <v>774</v>
      </c>
      <c r="B626" s="1">
        <v>45157</v>
      </c>
      <c r="C626" t="s">
        <v>55</v>
      </c>
      <c r="D626" t="s">
        <v>56</v>
      </c>
      <c r="E626" t="s">
        <v>23</v>
      </c>
      <c r="F626" t="s">
        <v>51</v>
      </c>
      <c r="G626" t="s">
        <v>25</v>
      </c>
      <c r="H626" t="s">
        <v>108</v>
      </c>
      <c r="I626">
        <v>2</v>
      </c>
      <c r="J626">
        <v>2200</v>
      </c>
      <c r="K626">
        <v>5</v>
      </c>
      <c r="L626" t="s">
        <v>19</v>
      </c>
    </row>
    <row r="627" spans="1:12" x14ac:dyDescent="0.3">
      <c r="A627" t="s">
        <v>775</v>
      </c>
      <c r="B627" s="1">
        <v>45157</v>
      </c>
      <c r="C627" t="s">
        <v>49</v>
      </c>
      <c r="D627" t="s">
        <v>50</v>
      </c>
      <c r="E627" t="s">
        <v>15</v>
      </c>
      <c r="F627" t="s">
        <v>119</v>
      </c>
      <c r="G627" t="s">
        <v>25</v>
      </c>
      <c r="H627" t="s">
        <v>26</v>
      </c>
      <c r="I627">
        <v>2</v>
      </c>
      <c r="J627">
        <v>1600</v>
      </c>
      <c r="K627">
        <v>5</v>
      </c>
      <c r="L627" t="s">
        <v>47</v>
      </c>
    </row>
    <row r="628" spans="1:12" x14ac:dyDescent="0.3">
      <c r="A628" t="s">
        <v>776</v>
      </c>
      <c r="B628" s="1">
        <v>45157</v>
      </c>
      <c r="C628" t="s">
        <v>176</v>
      </c>
      <c r="D628" t="s">
        <v>177</v>
      </c>
      <c r="E628" t="s">
        <v>23</v>
      </c>
      <c r="F628" t="s">
        <v>31</v>
      </c>
      <c r="G628" t="s">
        <v>97</v>
      </c>
      <c r="H628" t="s">
        <v>154</v>
      </c>
      <c r="I628">
        <v>1</v>
      </c>
      <c r="J628">
        <v>63100</v>
      </c>
      <c r="K628">
        <v>0</v>
      </c>
      <c r="L628" t="s">
        <v>33</v>
      </c>
    </row>
    <row r="629" spans="1:12" x14ac:dyDescent="0.3">
      <c r="A629" t="s">
        <v>777</v>
      </c>
      <c r="B629" s="1">
        <v>45157</v>
      </c>
      <c r="C629" t="s">
        <v>165</v>
      </c>
      <c r="D629" t="s">
        <v>166</v>
      </c>
      <c r="E629" t="s">
        <v>81</v>
      </c>
      <c r="F629" t="s">
        <v>160</v>
      </c>
      <c r="G629" t="s">
        <v>39</v>
      </c>
      <c r="H629" t="s">
        <v>40</v>
      </c>
      <c r="I629">
        <v>1</v>
      </c>
      <c r="J629">
        <v>25800</v>
      </c>
      <c r="K629">
        <v>15</v>
      </c>
      <c r="L629" t="s">
        <v>27</v>
      </c>
    </row>
    <row r="630" spans="1:12" x14ac:dyDescent="0.3">
      <c r="A630" t="s">
        <v>778</v>
      </c>
      <c r="B630" s="1">
        <v>45157</v>
      </c>
      <c r="C630" t="s">
        <v>236</v>
      </c>
      <c r="D630" t="s">
        <v>237</v>
      </c>
      <c r="E630" t="s">
        <v>37</v>
      </c>
      <c r="F630" t="s">
        <v>38</v>
      </c>
      <c r="G630" t="s">
        <v>97</v>
      </c>
      <c r="H630" t="s">
        <v>174</v>
      </c>
      <c r="I630">
        <v>1</v>
      </c>
      <c r="J630">
        <v>59800</v>
      </c>
      <c r="K630">
        <v>5</v>
      </c>
      <c r="L630" t="s">
        <v>27</v>
      </c>
    </row>
    <row r="631" spans="1:12" x14ac:dyDescent="0.3">
      <c r="A631" t="s">
        <v>779</v>
      </c>
      <c r="B631" s="1">
        <v>45188</v>
      </c>
      <c r="C631" t="s">
        <v>70</v>
      </c>
      <c r="D631" t="s">
        <v>71</v>
      </c>
      <c r="E631" t="s">
        <v>81</v>
      </c>
      <c r="F631" t="s">
        <v>82</v>
      </c>
      <c r="G631" t="s">
        <v>25</v>
      </c>
      <c r="H631" t="s">
        <v>212</v>
      </c>
      <c r="I631">
        <v>2</v>
      </c>
      <c r="J631">
        <v>1000</v>
      </c>
      <c r="K631">
        <v>10</v>
      </c>
      <c r="L631" t="s">
        <v>103</v>
      </c>
    </row>
    <row r="632" spans="1:12" x14ac:dyDescent="0.3">
      <c r="A632" t="s">
        <v>780</v>
      </c>
      <c r="B632" s="1">
        <v>45188</v>
      </c>
      <c r="C632" t="s">
        <v>59</v>
      </c>
      <c r="D632" t="s">
        <v>60</v>
      </c>
      <c r="E632" t="s">
        <v>66</v>
      </c>
      <c r="F632" t="s">
        <v>67</v>
      </c>
      <c r="G632" t="s">
        <v>25</v>
      </c>
      <c r="H632" t="s">
        <v>32</v>
      </c>
      <c r="I632">
        <v>2</v>
      </c>
      <c r="J632">
        <v>1500</v>
      </c>
      <c r="K632">
        <v>20</v>
      </c>
      <c r="L632" t="s">
        <v>73</v>
      </c>
    </row>
    <row r="633" spans="1:12" x14ac:dyDescent="0.3">
      <c r="A633" t="s">
        <v>781</v>
      </c>
      <c r="B633" s="1">
        <v>45188</v>
      </c>
      <c r="C633" t="s">
        <v>64</v>
      </c>
      <c r="D633" t="s">
        <v>65</v>
      </c>
      <c r="E633" t="s">
        <v>81</v>
      </c>
      <c r="F633" t="s">
        <v>110</v>
      </c>
      <c r="G633" t="s">
        <v>17</v>
      </c>
      <c r="H633" t="s">
        <v>18</v>
      </c>
      <c r="I633">
        <v>1</v>
      </c>
      <c r="J633">
        <v>36000</v>
      </c>
      <c r="K633">
        <v>0</v>
      </c>
      <c r="L633" t="s">
        <v>27</v>
      </c>
    </row>
    <row r="634" spans="1:12" x14ac:dyDescent="0.3">
      <c r="A634" t="s">
        <v>782</v>
      </c>
      <c r="B634" s="1">
        <v>45218</v>
      </c>
      <c r="C634" t="s">
        <v>180</v>
      </c>
      <c r="D634" t="s">
        <v>181</v>
      </c>
      <c r="E634" t="s">
        <v>37</v>
      </c>
      <c r="F634" t="s">
        <v>101</v>
      </c>
      <c r="G634" t="s">
        <v>45</v>
      </c>
      <c r="H634" t="s">
        <v>156</v>
      </c>
      <c r="I634">
        <v>1</v>
      </c>
      <c r="J634">
        <v>36400</v>
      </c>
      <c r="K634">
        <v>0</v>
      </c>
      <c r="L634" t="s">
        <v>19</v>
      </c>
    </row>
    <row r="635" spans="1:12" x14ac:dyDescent="0.3">
      <c r="A635" t="s">
        <v>783</v>
      </c>
      <c r="B635" s="1">
        <v>45249</v>
      </c>
      <c r="C635" t="s">
        <v>284</v>
      </c>
      <c r="D635" t="s">
        <v>285</v>
      </c>
      <c r="E635" t="s">
        <v>15</v>
      </c>
      <c r="F635" t="s">
        <v>131</v>
      </c>
      <c r="G635" t="s">
        <v>25</v>
      </c>
      <c r="H635" t="s">
        <v>124</v>
      </c>
      <c r="I635">
        <v>2</v>
      </c>
      <c r="J635">
        <v>2100</v>
      </c>
      <c r="K635">
        <v>15</v>
      </c>
      <c r="L635" t="s">
        <v>73</v>
      </c>
    </row>
    <row r="636" spans="1:12" x14ac:dyDescent="0.3">
      <c r="A636" t="s">
        <v>784</v>
      </c>
      <c r="B636" s="1">
        <v>45249</v>
      </c>
      <c r="C636" t="s">
        <v>29</v>
      </c>
      <c r="D636" t="s">
        <v>30</v>
      </c>
      <c r="E636" t="s">
        <v>23</v>
      </c>
      <c r="F636" t="s">
        <v>24</v>
      </c>
      <c r="G636" t="s">
        <v>45</v>
      </c>
      <c r="H636" t="s">
        <v>156</v>
      </c>
      <c r="I636">
        <v>1</v>
      </c>
      <c r="J636">
        <v>29300</v>
      </c>
      <c r="K636">
        <v>5</v>
      </c>
      <c r="L636" t="s">
        <v>53</v>
      </c>
    </row>
    <row r="637" spans="1:12" x14ac:dyDescent="0.3">
      <c r="A637" t="s">
        <v>785</v>
      </c>
      <c r="B637" s="1">
        <v>45249</v>
      </c>
      <c r="C637" t="s">
        <v>21</v>
      </c>
      <c r="D637" t="s">
        <v>22</v>
      </c>
      <c r="E637" t="s">
        <v>37</v>
      </c>
      <c r="F637" t="s">
        <v>38</v>
      </c>
      <c r="G637" t="s">
        <v>25</v>
      </c>
      <c r="H637" t="s">
        <v>212</v>
      </c>
      <c r="I637">
        <v>2</v>
      </c>
      <c r="J637">
        <v>1000</v>
      </c>
      <c r="K637">
        <v>0</v>
      </c>
      <c r="L637" t="s">
        <v>33</v>
      </c>
    </row>
    <row r="638" spans="1:12" x14ac:dyDescent="0.3">
      <c r="A638" t="s">
        <v>786</v>
      </c>
      <c r="B638" s="1">
        <v>45279</v>
      </c>
      <c r="C638" t="s">
        <v>79</v>
      </c>
      <c r="D638" t="s">
        <v>80</v>
      </c>
      <c r="E638" t="s">
        <v>81</v>
      </c>
      <c r="F638" t="s">
        <v>117</v>
      </c>
      <c r="G638" t="s">
        <v>17</v>
      </c>
      <c r="H638" t="s">
        <v>88</v>
      </c>
      <c r="I638">
        <v>1</v>
      </c>
      <c r="J638">
        <v>60000</v>
      </c>
      <c r="K638">
        <v>25</v>
      </c>
      <c r="L638" t="s">
        <v>103</v>
      </c>
    </row>
    <row r="639" spans="1:12" x14ac:dyDescent="0.3">
      <c r="A639" t="s">
        <v>787</v>
      </c>
      <c r="B639" s="1">
        <v>45279</v>
      </c>
      <c r="C639" t="s">
        <v>180</v>
      </c>
      <c r="D639" t="s">
        <v>181</v>
      </c>
      <c r="E639" t="s">
        <v>66</v>
      </c>
      <c r="F639" t="s">
        <v>92</v>
      </c>
      <c r="G639" t="s">
        <v>17</v>
      </c>
      <c r="H639" t="s">
        <v>168</v>
      </c>
      <c r="I639">
        <v>1</v>
      </c>
      <c r="J639">
        <v>22700</v>
      </c>
      <c r="K639">
        <v>0</v>
      </c>
      <c r="L639" t="s">
        <v>73</v>
      </c>
    </row>
    <row r="640" spans="1:12" x14ac:dyDescent="0.3">
      <c r="A640" t="s">
        <v>788</v>
      </c>
      <c r="B640" s="1">
        <v>45279</v>
      </c>
      <c r="C640" t="s">
        <v>185</v>
      </c>
      <c r="D640" t="s">
        <v>186</v>
      </c>
      <c r="E640" t="s">
        <v>15</v>
      </c>
      <c r="F640" t="s">
        <v>128</v>
      </c>
      <c r="G640" t="s">
        <v>45</v>
      </c>
      <c r="H640" t="s">
        <v>207</v>
      </c>
      <c r="I640">
        <v>1</v>
      </c>
      <c r="J640">
        <v>38600</v>
      </c>
      <c r="K640">
        <v>5</v>
      </c>
      <c r="L640" t="s">
        <v>73</v>
      </c>
    </row>
    <row r="641" spans="1:12" x14ac:dyDescent="0.3">
      <c r="A641" t="s">
        <v>789</v>
      </c>
      <c r="B641" s="1">
        <v>45279</v>
      </c>
      <c r="C641" t="s">
        <v>176</v>
      </c>
      <c r="D641" t="s">
        <v>177</v>
      </c>
      <c r="E641" t="s">
        <v>81</v>
      </c>
      <c r="F641" t="s">
        <v>110</v>
      </c>
      <c r="G641" t="s">
        <v>17</v>
      </c>
      <c r="H641" t="s">
        <v>77</v>
      </c>
      <c r="I641">
        <v>2</v>
      </c>
      <c r="J641">
        <v>25100</v>
      </c>
      <c r="K641">
        <v>10</v>
      </c>
      <c r="L641" t="s">
        <v>27</v>
      </c>
    </row>
    <row r="642" spans="1:12" x14ac:dyDescent="0.3">
      <c r="A642" t="s">
        <v>790</v>
      </c>
      <c r="B642" s="1">
        <v>44946</v>
      </c>
      <c r="C642" t="s">
        <v>203</v>
      </c>
      <c r="D642" t="s">
        <v>204</v>
      </c>
      <c r="E642" t="s">
        <v>15</v>
      </c>
      <c r="F642" t="s">
        <v>119</v>
      </c>
      <c r="G642" t="s">
        <v>45</v>
      </c>
      <c r="H642" t="s">
        <v>207</v>
      </c>
      <c r="I642">
        <v>1</v>
      </c>
      <c r="J642">
        <v>29400</v>
      </c>
      <c r="K642">
        <v>25</v>
      </c>
      <c r="L642" t="s">
        <v>19</v>
      </c>
    </row>
    <row r="643" spans="1:12" x14ac:dyDescent="0.3">
      <c r="A643" t="s">
        <v>791</v>
      </c>
      <c r="B643" s="1">
        <v>44946</v>
      </c>
      <c r="C643" t="s">
        <v>105</v>
      </c>
      <c r="D643" t="s">
        <v>106</v>
      </c>
      <c r="E643" t="s">
        <v>66</v>
      </c>
      <c r="F643" t="s">
        <v>92</v>
      </c>
      <c r="G643" t="s">
        <v>17</v>
      </c>
      <c r="H643" t="s">
        <v>168</v>
      </c>
      <c r="I643">
        <v>1</v>
      </c>
      <c r="J643">
        <v>60000</v>
      </c>
      <c r="K643">
        <v>10</v>
      </c>
      <c r="L643" t="s">
        <v>103</v>
      </c>
    </row>
    <row r="644" spans="1:12" x14ac:dyDescent="0.3">
      <c r="A644" t="s">
        <v>792</v>
      </c>
      <c r="B644" s="1">
        <v>45005</v>
      </c>
      <c r="C644" t="s">
        <v>284</v>
      </c>
      <c r="D644" t="s">
        <v>285</v>
      </c>
      <c r="E644" t="s">
        <v>66</v>
      </c>
      <c r="F644" t="s">
        <v>92</v>
      </c>
      <c r="G644" t="s">
        <v>25</v>
      </c>
      <c r="H644" t="s">
        <v>108</v>
      </c>
      <c r="I644">
        <v>2</v>
      </c>
      <c r="J644">
        <v>1500</v>
      </c>
      <c r="K644">
        <v>15</v>
      </c>
      <c r="L644" t="s">
        <v>33</v>
      </c>
    </row>
    <row r="645" spans="1:12" x14ac:dyDescent="0.3">
      <c r="A645" t="s">
        <v>793</v>
      </c>
      <c r="B645" s="1">
        <v>45005</v>
      </c>
      <c r="C645" t="s">
        <v>236</v>
      </c>
      <c r="D645" t="s">
        <v>237</v>
      </c>
      <c r="E645" t="s">
        <v>37</v>
      </c>
      <c r="F645" t="s">
        <v>141</v>
      </c>
      <c r="G645" t="s">
        <v>39</v>
      </c>
      <c r="H645" t="s">
        <v>102</v>
      </c>
      <c r="I645">
        <v>1</v>
      </c>
      <c r="J645">
        <v>20700</v>
      </c>
      <c r="K645">
        <v>10</v>
      </c>
      <c r="L645" t="s">
        <v>73</v>
      </c>
    </row>
    <row r="646" spans="1:12" x14ac:dyDescent="0.3">
      <c r="A646" t="s">
        <v>794</v>
      </c>
      <c r="B646" s="1">
        <v>45005</v>
      </c>
      <c r="C646" t="s">
        <v>42</v>
      </c>
      <c r="D646" t="s">
        <v>43</v>
      </c>
      <c r="E646" t="s">
        <v>23</v>
      </c>
      <c r="F646" t="s">
        <v>44</v>
      </c>
      <c r="G646" t="s">
        <v>25</v>
      </c>
      <c r="H646" t="s">
        <v>108</v>
      </c>
      <c r="I646">
        <v>2</v>
      </c>
      <c r="J646">
        <v>1200</v>
      </c>
      <c r="K646">
        <v>25</v>
      </c>
      <c r="L646" t="s">
        <v>19</v>
      </c>
    </row>
    <row r="647" spans="1:12" x14ac:dyDescent="0.3">
      <c r="A647" t="s">
        <v>795</v>
      </c>
      <c r="B647" s="1">
        <v>45066</v>
      </c>
      <c r="C647" t="s">
        <v>176</v>
      </c>
      <c r="D647" t="s">
        <v>177</v>
      </c>
      <c r="E647" t="s">
        <v>15</v>
      </c>
      <c r="F647" t="s">
        <v>119</v>
      </c>
      <c r="G647" t="s">
        <v>25</v>
      </c>
      <c r="H647" t="s">
        <v>26</v>
      </c>
      <c r="I647">
        <v>2</v>
      </c>
      <c r="J647">
        <v>3000</v>
      </c>
      <c r="K647">
        <v>25</v>
      </c>
      <c r="L647" t="s">
        <v>27</v>
      </c>
    </row>
    <row r="648" spans="1:12" x14ac:dyDescent="0.3">
      <c r="A648" t="s">
        <v>796</v>
      </c>
      <c r="B648" s="1">
        <v>45066</v>
      </c>
      <c r="C648" t="s">
        <v>75</v>
      </c>
      <c r="D648" t="s">
        <v>76</v>
      </c>
      <c r="E648" t="s">
        <v>66</v>
      </c>
      <c r="F648" t="s">
        <v>72</v>
      </c>
      <c r="G648" t="s">
        <v>25</v>
      </c>
      <c r="H648" t="s">
        <v>32</v>
      </c>
      <c r="I648">
        <v>3</v>
      </c>
      <c r="J648">
        <v>1900</v>
      </c>
      <c r="K648">
        <v>0</v>
      </c>
      <c r="L648" t="s">
        <v>103</v>
      </c>
    </row>
    <row r="649" spans="1:12" x14ac:dyDescent="0.3">
      <c r="A649" t="s">
        <v>797</v>
      </c>
      <c r="B649" s="1">
        <v>45066</v>
      </c>
      <c r="C649" t="s">
        <v>126</v>
      </c>
      <c r="D649" t="s">
        <v>127</v>
      </c>
      <c r="E649" t="s">
        <v>37</v>
      </c>
      <c r="F649" t="s">
        <v>101</v>
      </c>
      <c r="G649" t="s">
        <v>45</v>
      </c>
      <c r="H649" t="s">
        <v>46</v>
      </c>
      <c r="I649">
        <v>1</v>
      </c>
      <c r="J649">
        <v>26500</v>
      </c>
      <c r="K649">
        <v>15</v>
      </c>
      <c r="L649" t="s">
        <v>62</v>
      </c>
    </row>
    <row r="650" spans="1:12" x14ac:dyDescent="0.3">
      <c r="A650" t="s">
        <v>798</v>
      </c>
      <c r="B650" s="1">
        <v>45097</v>
      </c>
      <c r="C650" t="s">
        <v>210</v>
      </c>
      <c r="D650" t="s">
        <v>211</v>
      </c>
      <c r="E650" t="s">
        <v>23</v>
      </c>
      <c r="F650" t="s">
        <v>24</v>
      </c>
      <c r="G650" t="s">
        <v>25</v>
      </c>
      <c r="H650" t="s">
        <v>212</v>
      </c>
      <c r="I650">
        <v>2</v>
      </c>
      <c r="J650">
        <v>1300</v>
      </c>
      <c r="K650">
        <v>15</v>
      </c>
      <c r="L650" t="s">
        <v>47</v>
      </c>
    </row>
    <row r="651" spans="1:12" x14ac:dyDescent="0.3">
      <c r="A651" t="s">
        <v>799</v>
      </c>
      <c r="B651" s="1">
        <v>45097</v>
      </c>
      <c r="C651" t="s">
        <v>236</v>
      </c>
      <c r="D651" t="s">
        <v>237</v>
      </c>
      <c r="E651" t="s">
        <v>66</v>
      </c>
      <c r="F651" t="s">
        <v>87</v>
      </c>
      <c r="G651" t="s">
        <v>45</v>
      </c>
      <c r="H651" t="s">
        <v>46</v>
      </c>
      <c r="I651">
        <v>1</v>
      </c>
      <c r="J651">
        <v>37000</v>
      </c>
      <c r="K651">
        <v>0</v>
      </c>
      <c r="L651" t="s">
        <v>103</v>
      </c>
    </row>
    <row r="652" spans="1:12" x14ac:dyDescent="0.3">
      <c r="A652" t="s">
        <v>800</v>
      </c>
      <c r="B652" s="1">
        <v>45097</v>
      </c>
      <c r="C652" t="s">
        <v>244</v>
      </c>
      <c r="D652" t="s">
        <v>245</v>
      </c>
      <c r="E652" t="s">
        <v>37</v>
      </c>
      <c r="F652" t="s">
        <v>38</v>
      </c>
      <c r="G652" t="s">
        <v>39</v>
      </c>
      <c r="H652" t="s">
        <v>57</v>
      </c>
      <c r="I652">
        <v>1</v>
      </c>
      <c r="J652">
        <v>27800</v>
      </c>
      <c r="K652">
        <v>0</v>
      </c>
      <c r="L652" t="s">
        <v>33</v>
      </c>
    </row>
    <row r="653" spans="1:12" x14ac:dyDescent="0.3">
      <c r="A653" t="s">
        <v>801</v>
      </c>
      <c r="B653" s="1">
        <v>45097</v>
      </c>
      <c r="C653" t="s">
        <v>180</v>
      </c>
      <c r="D653" t="s">
        <v>181</v>
      </c>
      <c r="E653" t="s">
        <v>81</v>
      </c>
      <c r="F653" t="s">
        <v>82</v>
      </c>
      <c r="G653" t="s">
        <v>17</v>
      </c>
      <c r="H653" t="s">
        <v>168</v>
      </c>
      <c r="I653">
        <v>1</v>
      </c>
      <c r="J653">
        <v>34800</v>
      </c>
      <c r="K653">
        <v>10</v>
      </c>
      <c r="L653" t="s">
        <v>47</v>
      </c>
    </row>
    <row r="654" spans="1:12" x14ac:dyDescent="0.3">
      <c r="A654" t="s">
        <v>802</v>
      </c>
      <c r="B654" s="1">
        <v>45127</v>
      </c>
      <c r="C654" t="s">
        <v>236</v>
      </c>
      <c r="D654" t="s">
        <v>237</v>
      </c>
      <c r="E654" t="s">
        <v>23</v>
      </c>
      <c r="F654" t="s">
        <v>44</v>
      </c>
      <c r="G654" t="s">
        <v>17</v>
      </c>
      <c r="H654" t="s">
        <v>196</v>
      </c>
      <c r="I654">
        <v>1</v>
      </c>
      <c r="J654">
        <v>34200</v>
      </c>
      <c r="K654">
        <v>5</v>
      </c>
      <c r="L654" t="s">
        <v>103</v>
      </c>
    </row>
    <row r="655" spans="1:12" x14ac:dyDescent="0.3">
      <c r="A655" t="s">
        <v>803</v>
      </c>
      <c r="B655" s="1">
        <v>45127</v>
      </c>
      <c r="C655" t="s">
        <v>163</v>
      </c>
      <c r="D655" t="s">
        <v>73</v>
      </c>
      <c r="E655" t="s">
        <v>81</v>
      </c>
      <c r="F655" t="s">
        <v>82</v>
      </c>
      <c r="G655" t="s">
        <v>17</v>
      </c>
      <c r="H655" t="s">
        <v>77</v>
      </c>
      <c r="I655">
        <v>1</v>
      </c>
      <c r="J655">
        <v>57900</v>
      </c>
      <c r="K655">
        <v>10</v>
      </c>
      <c r="L655" t="s">
        <v>33</v>
      </c>
    </row>
    <row r="656" spans="1:12" x14ac:dyDescent="0.3">
      <c r="A656" t="s">
        <v>804</v>
      </c>
      <c r="B656" s="1">
        <v>45127</v>
      </c>
      <c r="C656" t="s">
        <v>64</v>
      </c>
      <c r="D656" t="s">
        <v>65</v>
      </c>
      <c r="E656" t="s">
        <v>15</v>
      </c>
      <c r="F656" t="s">
        <v>131</v>
      </c>
      <c r="G656" t="s">
        <v>45</v>
      </c>
      <c r="H656" t="s">
        <v>156</v>
      </c>
      <c r="I656">
        <v>1</v>
      </c>
      <c r="J656">
        <v>25000</v>
      </c>
      <c r="K656">
        <v>5</v>
      </c>
      <c r="L656" t="s">
        <v>33</v>
      </c>
    </row>
    <row r="657" spans="1:12" x14ac:dyDescent="0.3">
      <c r="A657" t="s">
        <v>805</v>
      </c>
      <c r="B657" s="1">
        <v>45158</v>
      </c>
      <c r="C657" t="s">
        <v>147</v>
      </c>
      <c r="D657" t="s">
        <v>148</v>
      </c>
      <c r="E657" t="s">
        <v>66</v>
      </c>
      <c r="F657" t="s">
        <v>67</v>
      </c>
      <c r="G657" t="s">
        <v>25</v>
      </c>
      <c r="H657" t="s">
        <v>108</v>
      </c>
      <c r="I657">
        <v>2</v>
      </c>
      <c r="J657">
        <v>2900</v>
      </c>
      <c r="K657">
        <v>20</v>
      </c>
      <c r="L657" t="s">
        <v>73</v>
      </c>
    </row>
    <row r="658" spans="1:12" x14ac:dyDescent="0.3">
      <c r="A658" t="s">
        <v>806</v>
      </c>
      <c r="B658" s="1">
        <v>45158</v>
      </c>
      <c r="C658" t="s">
        <v>59</v>
      </c>
      <c r="D658" t="s">
        <v>60</v>
      </c>
      <c r="E658" t="s">
        <v>37</v>
      </c>
      <c r="F658" t="s">
        <v>141</v>
      </c>
      <c r="G658" t="s">
        <v>45</v>
      </c>
      <c r="H658" t="s">
        <v>156</v>
      </c>
      <c r="I658">
        <v>1</v>
      </c>
      <c r="J658">
        <v>41100</v>
      </c>
      <c r="K658">
        <v>10</v>
      </c>
      <c r="L658" t="s">
        <v>19</v>
      </c>
    </row>
    <row r="659" spans="1:12" x14ac:dyDescent="0.3">
      <c r="A659" t="s">
        <v>807</v>
      </c>
      <c r="B659" s="1">
        <v>45158</v>
      </c>
      <c r="C659" t="s">
        <v>122</v>
      </c>
      <c r="D659" t="s">
        <v>123</v>
      </c>
      <c r="E659" t="s">
        <v>15</v>
      </c>
      <c r="F659" t="s">
        <v>128</v>
      </c>
      <c r="G659" t="s">
        <v>39</v>
      </c>
      <c r="H659" t="s">
        <v>102</v>
      </c>
      <c r="I659">
        <v>1</v>
      </c>
      <c r="J659">
        <v>26300</v>
      </c>
      <c r="K659">
        <v>20</v>
      </c>
      <c r="L659" t="s">
        <v>73</v>
      </c>
    </row>
    <row r="660" spans="1:12" x14ac:dyDescent="0.3">
      <c r="A660" t="s">
        <v>808</v>
      </c>
      <c r="B660" s="1">
        <v>45158</v>
      </c>
      <c r="C660" t="s">
        <v>75</v>
      </c>
      <c r="D660" t="s">
        <v>76</v>
      </c>
      <c r="E660" t="s">
        <v>15</v>
      </c>
      <c r="F660" t="s">
        <v>128</v>
      </c>
      <c r="G660" t="s">
        <v>97</v>
      </c>
      <c r="H660" t="s">
        <v>133</v>
      </c>
      <c r="I660">
        <v>1</v>
      </c>
      <c r="J660">
        <v>54300</v>
      </c>
      <c r="K660">
        <v>0</v>
      </c>
      <c r="L660" t="s">
        <v>19</v>
      </c>
    </row>
    <row r="661" spans="1:12" x14ac:dyDescent="0.3">
      <c r="A661" t="s">
        <v>809</v>
      </c>
      <c r="B661" s="1">
        <v>45219</v>
      </c>
      <c r="C661" t="s">
        <v>112</v>
      </c>
      <c r="D661" t="s">
        <v>113</v>
      </c>
      <c r="E661" t="s">
        <v>37</v>
      </c>
      <c r="F661" t="s">
        <v>61</v>
      </c>
      <c r="G661" t="s">
        <v>39</v>
      </c>
      <c r="H661" t="s">
        <v>68</v>
      </c>
      <c r="I661">
        <v>1</v>
      </c>
      <c r="J661">
        <v>17700</v>
      </c>
      <c r="K661">
        <v>20</v>
      </c>
      <c r="L661" t="s">
        <v>103</v>
      </c>
    </row>
    <row r="662" spans="1:12" x14ac:dyDescent="0.3">
      <c r="A662" t="s">
        <v>810</v>
      </c>
      <c r="B662" s="1">
        <v>45219</v>
      </c>
      <c r="C662" t="s">
        <v>232</v>
      </c>
      <c r="D662" t="s">
        <v>233</v>
      </c>
      <c r="E662" t="s">
        <v>15</v>
      </c>
      <c r="F662" t="s">
        <v>128</v>
      </c>
      <c r="G662" t="s">
        <v>25</v>
      </c>
      <c r="H662" t="s">
        <v>32</v>
      </c>
      <c r="I662">
        <v>2</v>
      </c>
      <c r="J662">
        <v>1700</v>
      </c>
      <c r="K662">
        <v>0</v>
      </c>
      <c r="L662" t="s">
        <v>47</v>
      </c>
    </row>
    <row r="663" spans="1:12" x14ac:dyDescent="0.3">
      <c r="A663" t="s">
        <v>811</v>
      </c>
      <c r="B663" s="1">
        <v>45219</v>
      </c>
      <c r="C663" t="s">
        <v>188</v>
      </c>
      <c r="D663" t="s">
        <v>189</v>
      </c>
      <c r="E663" t="s">
        <v>66</v>
      </c>
      <c r="F663" t="s">
        <v>72</v>
      </c>
      <c r="G663" t="s">
        <v>39</v>
      </c>
      <c r="H663" t="s">
        <v>40</v>
      </c>
      <c r="I663">
        <v>1</v>
      </c>
      <c r="J663">
        <v>30100</v>
      </c>
      <c r="K663">
        <v>0</v>
      </c>
      <c r="L663" t="s">
        <v>33</v>
      </c>
    </row>
    <row r="664" spans="1:12" x14ac:dyDescent="0.3">
      <c r="A664" t="s">
        <v>812</v>
      </c>
      <c r="B664" s="1">
        <v>45250</v>
      </c>
      <c r="C664" t="s">
        <v>135</v>
      </c>
      <c r="D664" t="s">
        <v>136</v>
      </c>
      <c r="E664" t="s">
        <v>66</v>
      </c>
      <c r="F664" t="s">
        <v>87</v>
      </c>
      <c r="G664" t="s">
        <v>17</v>
      </c>
      <c r="H664" t="s">
        <v>88</v>
      </c>
      <c r="I664">
        <v>1</v>
      </c>
      <c r="J664">
        <v>51900</v>
      </c>
      <c r="K664">
        <v>5</v>
      </c>
      <c r="L664" t="s">
        <v>33</v>
      </c>
    </row>
    <row r="665" spans="1:12" x14ac:dyDescent="0.3">
      <c r="A665" t="s">
        <v>813</v>
      </c>
      <c r="B665" s="1">
        <v>45280</v>
      </c>
      <c r="C665" t="s">
        <v>244</v>
      </c>
      <c r="D665" t="s">
        <v>245</v>
      </c>
      <c r="E665" t="s">
        <v>23</v>
      </c>
      <c r="F665" t="s">
        <v>44</v>
      </c>
      <c r="G665" t="s">
        <v>25</v>
      </c>
      <c r="H665" t="s">
        <v>212</v>
      </c>
      <c r="I665">
        <v>2</v>
      </c>
      <c r="J665">
        <v>1800</v>
      </c>
      <c r="K665">
        <v>0</v>
      </c>
      <c r="L665" t="s">
        <v>47</v>
      </c>
    </row>
    <row r="666" spans="1:12" x14ac:dyDescent="0.3">
      <c r="A666" t="s">
        <v>814</v>
      </c>
      <c r="B666" s="1">
        <v>45280</v>
      </c>
      <c r="C666" t="s">
        <v>165</v>
      </c>
      <c r="D666" t="s">
        <v>166</v>
      </c>
      <c r="E666" t="s">
        <v>66</v>
      </c>
      <c r="F666" t="s">
        <v>92</v>
      </c>
      <c r="G666" t="s">
        <v>97</v>
      </c>
      <c r="H666" t="s">
        <v>171</v>
      </c>
      <c r="I666">
        <v>1</v>
      </c>
      <c r="J666">
        <v>62400</v>
      </c>
      <c r="K666">
        <v>0</v>
      </c>
      <c r="L666" t="s">
        <v>33</v>
      </c>
    </row>
    <row r="667" spans="1:12" x14ac:dyDescent="0.3">
      <c r="A667" t="s">
        <v>815</v>
      </c>
      <c r="B667" s="1">
        <v>45280</v>
      </c>
      <c r="C667" t="s">
        <v>42</v>
      </c>
      <c r="D667" t="s">
        <v>43</v>
      </c>
      <c r="E667" t="s">
        <v>23</v>
      </c>
      <c r="F667" t="s">
        <v>31</v>
      </c>
      <c r="G667" t="s">
        <v>17</v>
      </c>
      <c r="H667" t="s">
        <v>18</v>
      </c>
      <c r="I667">
        <v>1</v>
      </c>
      <c r="J667">
        <v>57400</v>
      </c>
      <c r="K667">
        <v>25</v>
      </c>
      <c r="L667" t="s">
        <v>33</v>
      </c>
    </row>
    <row r="668" spans="1:12" x14ac:dyDescent="0.3">
      <c r="A668" t="s">
        <v>816</v>
      </c>
      <c r="B668" s="1">
        <v>45280</v>
      </c>
      <c r="C668" t="s">
        <v>75</v>
      </c>
      <c r="D668" t="s">
        <v>76</v>
      </c>
      <c r="E668" t="s">
        <v>23</v>
      </c>
      <c r="F668" t="s">
        <v>31</v>
      </c>
      <c r="G668" t="s">
        <v>45</v>
      </c>
      <c r="H668" t="s">
        <v>46</v>
      </c>
      <c r="I668">
        <v>1</v>
      </c>
      <c r="J668">
        <v>36900</v>
      </c>
      <c r="K668">
        <v>5</v>
      </c>
      <c r="L668" t="s">
        <v>73</v>
      </c>
    </row>
    <row r="669" spans="1:12" x14ac:dyDescent="0.3">
      <c r="A669" t="s">
        <v>817</v>
      </c>
      <c r="B669" s="1">
        <v>44947</v>
      </c>
      <c r="C669" t="s">
        <v>185</v>
      </c>
      <c r="D669" t="s">
        <v>186</v>
      </c>
      <c r="E669" t="s">
        <v>37</v>
      </c>
      <c r="F669" t="s">
        <v>61</v>
      </c>
      <c r="G669" t="s">
        <v>45</v>
      </c>
      <c r="H669" t="s">
        <v>156</v>
      </c>
      <c r="I669">
        <v>1</v>
      </c>
      <c r="J669">
        <v>30100</v>
      </c>
      <c r="K669">
        <v>10</v>
      </c>
      <c r="L669" t="s">
        <v>103</v>
      </c>
    </row>
    <row r="670" spans="1:12" x14ac:dyDescent="0.3">
      <c r="A670" t="s">
        <v>818</v>
      </c>
      <c r="B670" s="1">
        <v>44947</v>
      </c>
      <c r="C670" t="s">
        <v>180</v>
      </c>
      <c r="D670" t="s">
        <v>181</v>
      </c>
      <c r="E670" t="s">
        <v>15</v>
      </c>
      <c r="F670" t="s">
        <v>16</v>
      </c>
      <c r="G670" t="s">
        <v>25</v>
      </c>
      <c r="H670" t="s">
        <v>32</v>
      </c>
      <c r="I670">
        <v>2</v>
      </c>
      <c r="J670">
        <v>2500</v>
      </c>
      <c r="K670">
        <v>0</v>
      </c>
      <c r="L670" t="s">
        <v>19</v>
      </c>
    </row>
    <row r="671" spans="1:12" x14ac:dyDescent="0.3">
      <c r="A671" t="s">
        <v>819</v>
      </c>
      <c r="B671" s="1">
        <v>44947</v>
      </c>
      <c r="C671" t="s">
        <v>244</v>
      </c>
      <c r="D671" t="s">
        <v>245</v>
      </c>
      <c r="E671" t="s">
        <v>81</v>
      </c>
      <c r="F671" t="s">
        <v>117</v>
      </c>
      <c r="G671" t="s">
        <v>17</v>
      </c>
      <c r="H671" t="s">
        <v>88</v>
      </c>
      <c r="I671">
        <v>1</v>
      </c>
      <c r="J671">
        <v>33800</v>
      </c>
      <c r="K671">
        <v>10</v>
      </c>
      <c r="L671" t="s">
        <v>27</v>
      </c>
    </row>
    <row r="672" spans="1:12" x14ac:dyDescent="0.3">
      <c r="A672" t="s">
        <v>820</v>
      </c>
      <c r="B672" s="1">
        <v>44978</v>
      </c>
      <c r="C672" t="s">
        <v>59</v>
      </c>
      <c r="D672" t="s">
        <v>60</v>
      </c>
      <c r="E672" t="s">
        <v>37</v>
      </c>
      <c r="F672" t="s">
        <v>61</v>
      </c>
      <c r="G672" t="s">
        <v>39</v>
      </c>
      <c r="H672" t="s">
        <v>102</v>
      </c>
      <c r="I672">
        <v>1</v>
      </c>
      <c r="J672">
        <v>20700</v>
      </c>
      <c r="K672">
        <v>10</v>
      </c>
      <c r="L672" t="s">
        <v>53</v>
      </c>
    </row>
    <row r="673" spans="1:12" x14ac:dyDescent="0.3">
      <c r="A673" t="s">
        <v>821</v>
      </c>
      <c r="B673" s="1">
        <v>45006</v>
      </c>
      <c r="C673" t="s">
        <v>183</v>
      </c>
      <c r="D673" t="s">
        <v>27</v>
      </c>
      <c r="E673" t="s">
        <v>37</v>
      </c>
      <c r="F673" t="s">
        <v>61</v>
      </c>
      <c r="G673" t="s">
        <v>97</v>
      </c>
      <c r="H673" t="s">
        <v>174</v>
      </c>
      <c r="I673">
        <v>1</v>
      </c>
      <c r="J673">
        <v>63600</v>
      </c>
      <c r="K673">
        <v>10</v>
      </c>
      <c r="L673" t="s">
        <v>53</v>
      </c>
    </row>
    <row r="674" spans="1:12" x14ac:dyDescent="0.3">
      <c r="A674" t="s">
        <v>822</v>
      </c>
      <c r="B674" s="1">
        <v>45006</v>
      </c>
      <c r="C674" t="s">
        <v>165</v>
      </c>
      <c r="D674" t="s">
        <v>166</v>
      </c>
      <c r="E674" t="s">
        <v>23</v>
      </c>
      <c r="F674" t="s">
        <v>24</v>
      </c>
      <c r="G674" t="s">
        <v>97</v>
      </c>
      <c r="H674" t="s">
        <v>133</v>
      </c>
      <c r="I674">
        <v>1</v>
      </c>
      <c r="J674">
        <v>61000</v>
      </c>
      <c r="K674">
        <v>25</v>
      </c>
      <c r="L674" t="s">
        <v>103</v>
      </c>
    </row>
    <row r="675" spans="1:12" x14ac:dyDescent="0.3">
      <c r="A675" t="s">
        <v>823</v>
      </c>
      <c r="B675" s="1">
        <v>45006</v>
      </c>
      <c r="C675" t="s">
        <v>188</v>
      </c>
      <c r="D675" t="s">
        <v>189</v>
      </c>
      <c r="E675" t="s">
        <v>66</v>
      </c>
      <c r="F675" t="s">
        <v>87</v>
      </c>
      <c r="G675" t="s">
        <v>97</v>
      </c>
      <c r="H675" t="s">
        <v>98</v>
      </c>
      <c r="I675">
        <v>1</v>
      </c>
      <c r="J675">
        <v>80000</v>
      </c>
      <c r="K675">
        <v>20</v>
      </c>
      <c r="L675" t="s">
        <v>19</v>
      </c>
    </row>
    <row r="676" spans="1:12" x14ac:dyDescent="0.3">
      <c r="A676" t="s">
        <v>824</v>
      </c>
      <c r="B676" s="1">
        <v>45006</v>
      </c>
      <c r="C676" t="s">
        <v>112</v>
      </c>
      <c r="D676" t="s">
        <v>113</v>
      </c>
      <c r="E676" t="s">
        <v>23</v>
      </c>
      <c r="F676" t="s">
        <v>24</v>
      </c>
      <c r="G676" t="s">
        <v>97</v>
      </c>
      <c r="H676" t="s">
        <v>171</v>
      </c>
      <c r="I676">
        <v>2</v>
      </c>
      <c r="J676">
        <v>50700</v>
      </c>
      <c r="K676">
        <v>25</v>
      </c>
      <c r="L676" t="s">
        <v>47</v>
      </c>
    </row>
    <row r="677" spans="1:12" x14ac:dyDescent="0.3">
      <c r="A677" t="s">
        <v>825</v>
      </c>
      <c r="B677" s="1">
        <v>45037</v>
      </c>
      <c r="C677" t="s">
        <v>115</v>
      </c>
      <c r="D677" t="s">
        <v>116</v>
      </c>
      <c r="E677" t="s">
        <v>15</v>
      </c>
      <c r="F677" t="s">
        <v>119</v>
      </c>
      <c r="G677" t="s">
        <v>25</v>
      </c>
      <c r="H677" t="s">
        <v>124</v>
      </c>
      <c r="I677">
        <v>2</v>
      </c>
      <c r="J677">
        <v>1700</v>
      </c>
      <c r="K677">
        <v>0</v>
      </c>
      <c r="L677" t="s">
        <v>33</v>
      </c>
    </row>
    <row r="678" spans="1:12" x14ac:dyDescent="0.3">
      <c r="A678" t="s">
        <v>826</v>
      </c>
      <c r="B678" s="1">
        <v>45037</v>
      </c>
      <c r="C678" t="s">
        <v>122</v>
      </c>
      <c r="D678" t="s">
        <v>123</v>
      </c>
      <c r="E678" t="s">
        <v>37</v>
      </c>
      <c r="F678" t="s">
        <v>141</v>
      </c>
      <c r="G678" t="s">
        <v>97</v>
      </c>
      <c r="H678" t="s">
        <v>98</v>
      </c>
      <c r="I678">
        <v>1</v>
      </c>
      <c r="J678">
        <v>63300</v>
      </c>
      <c r="K678">
        <v>5</v>
      </c>
      <c r="L678" t="s">
        <v>19</v>
      </c>
    </row>
    <row r="679" spans="1:12" x14ac:dyDescent="0.3">
      <c r="A679" t="s">
        <v>827</v>
      </c>
      <c r="B679" s="1">
        <v>45067</v>
      </c>
      <c r="C679" t="s">
        <v>185</v>
      </c>
      <c r="D679" t="s">
        <v>186</v>
      </c>
      <c r="E679" t="s">
        <v>37</v>
      </c>
      <c r="F679" t="s">
        <v>141</v>
      </c>
      <c r="G679" t="s">
        <v>17</v>
      </c>
      <c r="H679" t="s">
        <v>168</v>
      </c>
      <c r="I679">
        <v>1</v>
      </c>
      <c r="J679">
        <v>42300</v>
      </c>
      <c r="K679">
        <v>20</v>
      </c>
      <c r="L679" t="s">
        <v>73</v>
      </c>
    </row>
    <row r="680" spans="1:12" x14ac:dyDescent="0.3">
      <c r="A680" t="s">
        <v>828</v>
      </c>
      <c r="B680" s="1">
        <v>45067</v>
      </c>
      <c r="C680" t="s">
        <v>185</v>
      </c>
      <c r="D680" t="s">
        <v>186</v>
      </c>
      <c r="E680" t="s">
        <v>23</v>
      </c>
      <c r="F680" t="s">
        <v>24</v>
      </c>
      <c r="G680" t="s">
        <v>25</v>
      </c>
      <c r="H680" t="s">
        <v>124</v>
      </c>
      <c r="I680">
        <v>1</v>
      </c>
      <c r="J680">
        <v>1700</v>
      </c>
      <c r="K680">
        <v>20</v>
      </c>
      <c r="L680" t="s">
        <v>103</v>
      </c>
    </row>
    <row r="681" spans="1:12" x14ac:dyDescent="0.3">
      <c r="A681" t="s">
        <v>829</v>
      </c>
      <c r="B681" s="1">
        <v>45067</v>
      </c>
      <c r="C681" t="s">
        <v>75</v>
      </c>
      <c r="D681" t="s">
        <v>76</v>
      </c>
      <c r="E681" t="s">
        <v>66</v>
      </c>
      <c r="F681" t="s">
        <v>92</v>
      </c>
      <c r="G681" t="s">
        <v>45</v>
      </c>
      <c r="H681" t="s">
        <v>156</v>
      </c>
      <c r="I681">
        <v>1</v>
      </c>
      <c r="J681">
        <v>45400</v>
      </c>
      <c r="K681">
        <v>0</v>
      </c>
      <c r="L681" t="s">
        <v>27</v>
      </c>
    </row>
    <row r="682" spans="1:12" x14ac:dyDescent="0.3">
      <c r="A682" t="s">
        <v>830</v>
      </c>
      <c r="B682" s="1">
        <v>45098</v>
      </c>
      <c r="C682" t="s">
        <v>42</v>
      </c>
      <c r="D682" t="s">
        <v>43</v>
      </c>
      <c r="E682" t="s">
        <v>81</v>
      </c>
      <c r="F682" t="s">
        <v>110</v>
      </c>
      <c r="G682" t="s">
        <v>39</v>
      </c>
      <c r="H682" t="s">
        <v>68</v>
      </c>
      <c r="I682">
        <v>1</v>
      </c>
      <c r="J682">
        <v>18900</v>
      </c>
      <c r="K682">
        <v>0</v>
      </c>
      <c r="L682" t="s">
        <v>73</v>
      </c>
    </row>
    <row r="683" spans="1:12" x14ac:dyDescent="0.3">
      <c r="A683" t="s">
        <v>831</v>
      </c>
      <c r="B683" s="1">
        <v>45098</v>
      </c>
      <c r="C683" t="s">
        <v>35</v>
      </c>
      <c r="D683" t="s">
        <v>36</v>
      </c>
      <c r="E683" t="s">
        <v>23</v>
      </c>
      <c r="F683" t="s">
        <v>44</v>
      </c>
      <c r="G683" t="s">
        <v>45</v>
      </c>
      <c r="H683" t="s">
        <v>207</v>
      </c>
      <c r="I683">
        <v>1</v>
      </c>
      <c r="J683">
        <v>28300</v>
      </c>
      <c r="K683">
        <v>5</v>
      </c>
      <c r="L683" t="s">
        <v>33</v>
      </c>
    </row>
    <row r="684" spans="1:12" x14ac:dyDescent="0.3">
      <c r="A684" t="s">
        <v>832</v>
      </c>
      <c r="B684" s="1">
        <v>45128</v>
      </c>
      <c r="C684" t="s">
        <v>165</v>
      </c>
      <c r="D684" t="s">
        <v>166</v>
      </c>
      <c r="E684" t="s">
        <v>15</v>
      </c>
      <c r="F684" t="s">
        <v>119</v>
      </c>
      <c r="G684" t="s">
        <v>17</v>
      </c>
      <c r="H684" t="s">
        <v>88</v>
      </c>
      <c r="I684">
        <v>1</v>
      </c>
      <c r="J684">
        <v>43200</v>
      </c>
      <c r="K684">
        <v>10</v>
      </c>
      <c r="L684" t="s">
        <v>27</v>
      </c>
    </row>
    <row r="685" spans="1:12" x14ac:dyDescent="0.3">
      <c r="A685" t="s">
        <v>833</v>
      </c>
      <c r="B685" s="1">
        <v>45128</v>
      </c>
      <c r="C685" t="s">
        <v>55</v>
      </c>
      <c r="D685" t="s">
        <v>56</v>
      </c>
      <c r="E685" t="s">
        <v>15</v>
      </c>
      <c r="F685" t="s">
        <v>131</v>
      </c>
      <c r="G685" t="s">
        <v>97</v>
      </c>
      <c r="H685" t="s">
        <v>133</v>
      </c>
      <c r="I685">
        <v>1</v>
      </c>
      <c r="J685">
        <v>66300</v>
      </c>
      <c r="K685">
        <v>0</v>
      </c>
      <c r="L685" t="s">
        <v>62</v>
      </c>
    </row>
    <row r="686" spans="1:12" x14ac:dyDescent="0.3">
      <c r="A686" t="s">
        <v>834</v>
      </c>
      <c r="B686" s="1">
        <v>45159</v>
      </c>
      <c r="C686" t="s">
        <v>151</v>
      </c>
      <c r="D686" t="s">
        <v>152</v>
      </c>
      <c r="E686" t="s">
        <v>66</v>
      </c>
      <c r="F686" t="s">
        <v>67</v>
      </c>
      <c r="G686" t="s">
        <v>97</v>
      </c>
      <c r="H686" t="s">
        <v>133</v>
      </c>
      <c r="I686">
        <v>2</v>
      </c>
      <c r="J686">
        <v>64000</v>
      </c>
      <c r="K686">
        <v>0</v>
      </c>
      <c r="L686" t="s">
        <v>73</v>
      </c>
    </row>
    <row r="687" spans="1:12" x14ac:dyDescent="0.3">
      <c r="A687" t="s">
        <v>835</v>
      </c>
      <c r="B687" s="1">
        <v>45159</v>
      </c>
      <c r="C687" t="s">
        <v>165</v>
      </c>
      <c r="D687" t="s">
        <v>166</v>
      </c>
      <c r="E687" t="s">
        <v>66</v>
      </c>
      <c r="F687" t="s">
        <v>72</v>
      </c>
      <c r="G687" t="s">
        <v>97</v>
      </c>
      <c r="H687" t="s">
        <v>154</v>
      </c>
      <c r="I687">
        <v>1</v>
      </c>
      <c r="J687">
        <v>80000</v>
      </c>
      <c r="K687">
        <v>25</v>
      </c>
      <c r="L687" t="s">
        <v>33</v>
      </c>
    </row>
    <row r="688" spans="1:12" x14ac:dyDescent="0.3">
      <c r="A688" t="s">
        <v>836</v>
      </c>
      <c r="B688" s="1">
        <v>45159</v>
      </c>
      <c r="C688" t="s">
        <v>232</v>
      </c>
      <c r="D688" t="s">
        <v>233</v>
      </c>
      <c r="E688" t="s">
        <v>23</v>
      </c>
      <c r="F688" t="s">
        <v>24</v>
      </c>
      <c r="G688" t="s">
        <v>45</v>
      </c>
      <c r="H688" t="s">
        <v>207</v>
      </c>
      <c r="I688">
        <v>1</v>
      </c>
      <c r="J688">
        <v>45300</v>
      </c>
      <c r="K688">
        <v>20</v>
      </c>
      <c r="L688" t="s">
        <v>47</v>
      </c>
    </row>
    <row r="689" spans="1:12" x14ac:dyDescent="0.3">
      <c r="A689" t="s">
        <v>837</v>
      </c>
      <c r="B689" s="1">
        <v>45159</v>
      </c>
      <c r="C689" t="s">
        <v>55</v>
      </c>
      <c r="D689" t="s">
        <v>56</v>
      </c>
      <c r="E689" t="s">
        <v>66</v>
      </c>
      <c r="F689" t="s">
        <v>87</v>
      </c>
      <c r="G689" t="s">
        <v>25</v>
      </c>
      <c r="H689" t="s">
        <v>32</v>
      </c>
      <c r="I689">
        <v>2</v>
      </c>
      <c r="J689">
        <v>900</v>
      </c>
      <c r="K689">
        <v>10</v>
      </c>
      <c r="L689" t="s">
        <v>103</v>
      </c>
    </row>
    <row r="690" spans="1:12" x14ac:dyDescent="0.3">
      <c r="A690" t="s">
        <v>838</v>
      </c>
      <c r="B690" s="1">
        <v>45159</v>
      </c>
      <c r="C690" t="s">
        <v>183</v>
      </c>
      <c r="D690" t="s">
        <v>27</v>
      </c>
      <c r="E690" t="s">
        <v>81</v>
      </c>
      <c r="F690" t="s">
        <v>160</v>
      </c>
      <c r="G690" t="s">
        <v>39</v>
      </c>
      <c r="H690" t="s">
        <v>68</v>
      </c>
      <c r="I690">
        <v>1</v>
      </c>
      <c r="J690">
        <v>18700</v>
      </c>
      <c r="K690">
        <v>10</v>
      </c>
      <c r="L690" t="s">
        <v>33</v>
      </c>
    </row>
    <row r="691" spans="1:12" x14ac:dyDescent="0.3">
      <c r="A691" t="s">
        <v>839</v>
      </c>
      <c r="B691" s="1">
        <v>45159</v>
      </c>
      <c r="C691" t="s">
        <v>165</v>
      </c>
      <c r="D691" t="s">
        <v>166</v>
      </c>
      <c r="E691" t="s">
        <v>23</v>
      </c>
      <c r="F691" t="s">
        <v>24</v>
      </c>
      <c r="G691" t="s">
        <v>17</v>
      </c>
      <c r="H691" t="s">
        <v>77</v>
      </c>
      <c r="I691">
        <v>1</v>
      </c>
      <c r="J691">
        <v>33700</v>
      </c>
      <c r="K691">
        <v>0</v>
      </c>
      <c r="L691" t="s">
        <v>27</v>
      </c>
    </row>
    <row r="692" spans="1:12" x14ac:dyDescent="0.3">
      <c r="A692" t="s">
        <v>840</v>
      </c>
      <c r="B692" s="1">
        <v>45159</v>
      </c>
      <c r="C692" t="s">
        <v>203</v>
      </c>
      <c r="D692" t="s">
        <v>204</v>
      </c>
      <c r="E692" t="s">
        <v>23</v>
      </c>
      <c r="F692" t="s">
        <v>24</v>
      </c>
      <c r="G692" t="s">
        <v>17</v>
      </c>
      <c r="H692" t="s">
        <v>77</v>
      </c>
      <c r="I692">
        <v>1</v>
      </c>
      <c r="J692">
        <v>41000</v>
      </c>
      <c r="K692">
        <v>10</v>
      </c>
      <c r="L692" t="s">
        <v>73</v>
      </c>
    </row>
    <row r="693" spans="1:12" x14ac:dyDescent="0.3">
      <c r="A693" t="s">
        <v>841</v>
      </c>
      <c r="B693" s="1">
        <v>45159</v>
      </c>
      <c r="C693" t="s">
        <v>232</v>
      </c>
      <c r="D693" t="s">
        <v>233</v>
      </c>
      <c r="E693" t="s">
        <v>81</v>
      </c>
      <c r="F693" t="s">
        <v>117</v>
      </c>
      <c r="G693" t="s">
        <v>45</v>
      </c>
      <c r="H693" t="s">
        <v>52</v>
      </c>
      <c r="I693">
        <v>1</v>
      </c>
      <c r="J693">
        <v>37400</v>
      </c>
      <c r="K693">
        <v>5</v>
      </c>
      <c r="L693" t="s">
        <v>19</v>
      </c>
    </row>
    <row r="694" spans="1:12" x14ac:dyDescent="0.3">
      <c r="A694" t="s">
        <v>842</v>
      </c>
      <c r="B694" s="1">
        <v>45190</v>
      </c>
      <c r="C694" t="s">
        <v>75</v>
      </c>
      <c r="D694" t="s">
        <v>76</v>
      </c>
      <c r="E694" t="s">
        <v>23</v>
      </c>
      <c r="F694" t="s">
        <v>51</v>
      </c>
      <c r="G694" t="s">
        <v>25</v>
      </c>
      <c r="H694" t="s">
        <v>26</v>
      </c>
      <c r="I694">
        <v>2</v>
      </c>
      <c r="J694">
        <v>700</v>
      </c>
      <c r="K694">
        <v>5</v>
      </c>
      <c r="L694" t="s">
        <v>62</v>
      </c>
    </row>
    <row r="695" spans="1:12" x14ac:dyDescent="0.3">
      <c r="A695" t="s">
        <v>843</v>
      </c>
      <c r="B695" s="1">
        <v>45190</v>
      </c>
      <c r="C695" t="s">
        <v>130</v>
      </c>
      <c r="D695" t="s">
        <v>53</v>
      </c>
      <c r="E695" t="s">
        <v>66</v>
      </c>
      <c r="F695" t="s">
        <v>72</v>
      </c>
      <c r="G695" t="s">
        <v>45</v>
      </c>
      <c r="H695" t="s">
        <v>156</v>
      </c>
      <c r="I695">
        <v>1</v>
      </c>
      <c r="J695">
        <v>26900</v>
      </c>
      <c r="K695">
        <v>0</v>
      </c>
      <c r="L695" t="s">
        <v>27</v>
      </c>
    </row>
    <row r="696" spans="1:12" x14ac:dyDescent="0.3">
      <c r="A696" t="s">
        <v>844</v>
      </c>
      <c r="B696" s="1">
        <v>45190</v>
      </c>
      <c r="C696" t="s">
        <v>147</v>
      </c>
      <c r="D696" t="s">
        <v>148</v>
      </c>
      <c r="E696" t="s">
        <v>66</v>
      </c>
      <c r="F696" t="s">
        <v>72</v>
      </c>
      <c r="G696" t="s">
        <v>45</v>
      </c>
      <c r="H696" t="s">
        <v>207</v>
      </c>
      <c r="I696">
        <v>1</v>
      </c>
      <c r="J696">
        <v>40100</v>
      </c>
      <c r="K696">
        <v>5</v>
      </c>
      <c r="L696" t="s">
        <v>53</v>
      </c>
    </row>
    <row r="697" spans="1:12" x14ac:dyDescent="0.3">
      <c r="A697" t="s">
        <v>845</v>
      </c>
      <c r="B697" s="1">
        <v>45190</v>
      </c>
      <c r="C697" t="s">
        <v>284</v>
      </c>
      <c r="D697" t="s">
        <v>285</v>
      </c>
      <c r="E697" t="s">
        <v>66</v>
      </c>
      <c r="F697" t="s">
        <v>72</v>
      </c>
      <c r="G697" t="s">
        <v>25</v>
      </c>
      <c r="H697" t="s">
        <v>212</v>
      </c>
      <c r="I697">
        <v>2</v>
      </c>
      <c r="J697">
        <v>1300</v>
      </c>
      <c r="K697">
        <v>0</v>
      </c>
      <c r="L697" t="s">
        <v>33</v>
      </c>
    </row>
    <row r="698" spans="1:12" x14ac:dyDescent="0.3">
      <c r="A698" t="s">
        <v>846</v>
      </c>
      <c r="B698" s="1">
        <v>45220</v>
      </c>
      <c r="C698" t="s">
        <v>183</v>
      </c>
      <c r="D698" t="s">
        <v>27</v>
      </c>
      <c r="E698" t="s">
        <v>66</v>
      </c>
      <c r="F698" t="s">
        <v>87</v>
      </c>
      <c r="G698" t="s">
        <v>97</v>
      </c>
      <c r="H698" t="s">
        <v>154</v>
      </c>
      <c r="I698">
        <v>2</v>
      </c>
      <c r="J698">
        <v>67900</v>
      </c>
      <c r="K698">
        <v>0</v>
      </c>
      <c r="L698" t="s">
        <v>47</v>
      </c>
    </row>
    <row r="699" spans="1:12" x14ac:dyDescent="0.3">
      <c r="A699" t="s">
        <v>847</v>
      </c>
      <c r="B699" s="1">
        <v>45220</v>
      </c>
      <c r="C699" t="s">
        <v>95</v>
      </c>
      <c r="D699" t="s">
        <v>96</v>
      </c>
      <c r="E699" t="s">
        <v>37</v>
      </c>
      <c r="F699" t="s">
        <v>38</v>
      </c>
      <c r="G699" t="s">
        <v>97</v>
      </c>
      <c r="H699" t="s">
        <v>98</v>
      </c>
      <c r="I699">
        <v>1</v>
      </c>
      <c r="J699">
        <v>74100</v>
      </c>
      <c r="K699">
        <v>25</v>
      </c>
      <c r="L699" t="s">
        <v>73</v>
      </c>
    </row>
    <row r="700" spans="1:12" x14ac:dyDescent="0.3">
      <c r="A700" t="s">
        <v>848</v>
      </c>
      <c r="B700" s="1">
        <v>45220</v>
      </c>
      <c r="C700" t="s">
        <v>115</v>
      </c>
      <c r="D700" t="s">
        <v>116</v>
      </c>
      <c r="E700" t="s">
        <v>66</v>
      </c>
      <c r="F700" t="s">
        <v>72</v>
      </c>
      <c r="G700" t="s">
        <v>25</v>
      </c>
      <c r="H700" t="s">
        <v>26</v>
      </c>
      <c r="I700">
        <v>3</v>
      </c>
      <c r="J700">
        <v>1100</v>
      </c>
      <c r="K700">
        <v>10</v>
      </c>
      <c r="L700" t="s">
        <v>62</v>
      </c>
    </row>
    <row r="701" spans="1:12" x14ac:dyDescent="0.3">
      <c r="A701" t="s">
        <v>849</v>
      </c>
      <c r="B701" s="1">
        <v>45220</v>
      </c>
      <c r="C701" t="s">
        <v>176</v>
      </c>
      <c r="D701" t="s">
        <v>177</v>
      </c>
      <c r="E701" t="s">
        <v>37</v>
      </c>
      <c r="F701" t="s">
        <v>141</v>
      </c>
      <c r="G701" t="s">
        <v>45</v>
      </c>
      <c r="H701" t="s">
        <v>207</v>
      </c>
      <c r="I701">
        <v>1</v>
      </c>
      <c r="J701">
        <v>22900</v>
      </c>
      <c r="K701">
        <v>15</v>
      </c>
      <c r="L701" t="s">
        <v>62</v>
      </c>
    </row>
    <row r="702" spans="1:12" x14ac:dyDescent="0.3">
      <c r="A702" t="s">
        <v>850</v>
      </c>
      <c r="B702" s="1">
        <v>45220</v>
      </c>
      <c r="C702" t="s">
        <v>176</v>
      </c>
      <c r="D702" t="s">
        <v>177</v>
      </c>
      <c r="E702" t="s">
        <v>37</v>
      </c>
      <c r="F702" t="s">
        <v>141</v>
      </c>
      <c r="G702" t="s">
        <v>45</v>
      </c>
      <c r="H702" t="s">
        <v>207</v>
      </c>
      <c r="I702">
        <v>1</v>
      </c>
      <c r="J702">
        <v>35300</v>
      </c>
      <c r="K702">
        <v>10</v>
      </c>
      <c r="L702" t="s">
        <v>62</v>
      </c>
    </row>
    <row r="703" spans="1:12" x14ac:dyDescent="0.3">
      <c r="A703" t="s">
        <v>851</v>
      </c>
      <c r="B703" s="1">
        <v>45220</v>
      </c>
      <c r="C703" t="s">
        <v>105</v>
      </c>
      <c r="D703" t="s">
        <v>106</v>
      </c>
      <c r="E703" t="s">
        <v>15</v>
      </c>
      <c r="F703" t="s">
        <v>128</v>
      </c>
      <c r="G703" t="s">
        <v>17</v>
      </c>
      <c r="H703" t="s">
        <v>18</v>
      </c>
      <c r="I703">
        <v>2</v>
      </c>
      <c r="J703">
        <v>48900</v>
      </c>
      <c r="K703">
        <v>0</v>
      </c>
      <c r="L703" t="s">
        <v>62</v>
      </c>
    </row>
    <row r="704" spans="1:12" x14ac:dyDescent="0.3">
      <c r="A704" t="s">
        <v>852</v>
      </c>
      <c r="B704" s="1">
        <v>45251</v>
      </c>
      <c r="C704" t="s">
        <v>236</v>
      </c>
      <c r="D704" t="s">
        <v>237</v>
      </c>
      <c r="E704" t="s">
        <v>81</v>
      </c>
      <c r="F704" t="s">
        <v>117</v>
      </c>
      <c r="G704" t="s">
        <v>45</v>
      </c>
      <c r="H704" t="s">
        <v>46</v>
      </c>
      <c r="I704">
        <v>1</v>
      </c>
      <c r="J704">
        <v>29200</v>
      </c>
      <c r="K704">
        <v>10</v>
      </c>
      <c r="L704" t="s">
        <v>19</v>
      </c>
    </row>
    <row r="705" spans="1:12" x14ac:dyDescent="0.3">
      <c r="A705" t="s">
        <v>853</v>
      </c>
      <c r="B705" s="1">
        <v>45281</v>
      </c>
      <c r="C705" t="s">
        <v>143</v>
      </c>
      <c r="D705" t="s">
        <v>144</v>
      </c>
      <c r="E705" t="s">
        <v>66</v>
      </c>
      <c r="F705" t="s">
        <v>87</v>
      </c>
      <c r="G705" t="s">
        <v>17</v>
      </c>
      <c r="H705" t="s">
        <v>168</v>
      </c>
      <c r="I705">
        <v>1</v>
      </c>
      <c r="J705">
        <v>34600</v>
      </c>
      <c r="K705">
        <v>5</v>
      </c>
      <c r="L705" t="s">
        <v>19</v>
      </c>
    </row>
    <row r="706" spans="1:12" x14ac:dyDescent="0.3">
      <c r="A706" t="s">
        <v>854</v>
      </c>
      <c r="B706" s="1">
        <v>44948</v>
      </c>
      <c r="C706" t="s">
        <v>90</v>
      </c>
      <c r="D706" t="s">
        <v>91</v>
      </c>
      <c r="E706" t="s">
        <v>81</v>
      </c>
      <c r="F706" t="s">
        <v>160</v>
      </c>
      <c r="G706" t="s">
        <v>25</v>
      </c>
      <c r="H706" t="s">
        <v>108</v>
      </c>
      <c r="I706">
        <v>2</v>
      </c>
      <c r="J706">
        <v>2300</v>
      </c>
      <c r="K706">
        <v>15</v>
      </c>
      <c r="L706" t="s">
        <v>103</v>
      </c>
    </row>
    <row r="707" spans="1:12" x14ac:dyDescent="0.3">
      <c r="A707" t="s">
        <v>855</v>
      </c>
      <c r="B707" s="1">
        <v>44979</v>
      </c>
      <c r="C707" t="s">
        <v>49</v>
      </c>
      <c r="D707" t="s">
        <v>50</v>
      </c>
      <c r="E707" t="s">
        <v>15</v>
      </c>
      <c r="F707" t="s">
        <v>16</v>
      </c>
      <c r="G707" t="s">
        <v>97</v>
      </c>
      <c r="H707" t="s">
        <v>154</v>
      </c>
      <c r="I707">
        <v>1</v>
      </c>
      <c r="J707">
        <v>51300</v>
      </c>
      <c r="K707">
        <v>5</v>
      </c>
      <c r="L707" t="s">
        <v>53</v>
      </c>
    </row>
    <row r="708" spans="1:12" x14ac:dyDescent="0.3">
      <c r="A708" t="s">
        <v>856</v>
      </c>
      <c r="B708" s="1">
        <v>44979</v>
      </c>
      <c r="C708" t="s">
        <v>90</v>
      </c>
      <c r="D708" t="s">
        <v>91</v>
      </c>
      <c r="E708" t="s">
        <v>81</v>
      </c>
      <c r="F708" t="s">
        <v>160</v>
      </c>
      <c r="G708" t="s">
        <v>17</v>
      </c>
      <c r="H708" t="s">
        <v>77</v>
      </c>
      <c r="I708">
        <v>1</v>
      </c>
      <c r="J708">
        <v>60000</v>
      </c>
      <c r="K708">
        <v>0</v>
      </c>
      <c r="L708" t="s">
        <v>19</v>
      </c>
    </row>
    <row r="709" spans="1:12" x14ac:dyDescent="0.3">
      <c r="A709" t="s">
        <v>857</v>
      </c>
      <c r="B709" s="1">
        <v>44979</v>
      </c>
      <c r="C709" t="s">
        <v>84</v>
      </c>
      <c r="D709" t="s">
        <v>85</v>
      </c>
      <c r="E709" t="s">
        <v>23</v>
      </c>
      <c r="F709" t="s">
        <v>24</v>
      </c>
      <c r="G709" t="s">
        <v>45</v>
      </c>
      <c r="H709" t="s">
        <v>207</v>
      </c>
      <c r="I709">
        <v>1</v>
      </c>
      <c r="J709">
        <v>26700</v>
      </c>
      <c r="K709">
        <v>25</v>
      </c>
      <c r="L709" t="s">
        <v>53</v>
      </c>
    </row>
    <row r="710" spans="1:12" x14ac:dyDescent="0.3">
      <c r="A710" t="s">
        <v>858</v>
      </c>
      <c r="B710" s="1">
        <v>45007</v>
      </c>
      <c r="C710" t="s">
        <v>147</v>
      </c>
      <c r="D710" t="s">
        <v>148</v>
      </c>
      <c r="E710" t="s">
        <v>23</v>
      </c>
      <c r="F710" t="s">
        <v>44</v>
      </c>
      <c r="G710" t="s">
        <v>25</v>
      </c>
      <c r="H710" t="s">
        <v>108</v>
      </c>
      <c r="I710">
        <v>2</v>
      </c>
      <c r="J710">
        <v>2100</v>
      </c>
      <c r="K710">
        <v>15</v>
      </c>
      <c r="L710" t="s">
        <v>103</v>
      </c>
    </row>
    <row r="711" spans="1:12" x14ac:dyDescent="0.3">
      <c r="A711" t="s">
        <v>859</v>
      </c>
      <c r="B711" s="1">
        <v>45007</v>
      </c>
      <c r="C711" t="s">
        <v>42</v>
      </c>
      <c r="D711" t="s">
        <v>43</v>
      </c>
      <c r="E711" t="s">
        <v>81</v>
      </c>
      <c r="F711" t="s">
        <v>82</v>
      </c>
      <c r="G711" t="s">
        <v>39</v>
      </c>
      <c r="H711" t="s">
        <v>102</v>
      </c>
      <c r="I711">
        <v>1</v>
      </c>
      <c r="J711">
        <v>14500</v>
      </c>
      <c r="K711">
        <v>5</v>
      </c>
      <c r="L711" t="s">
        <v>103</v>
      </c>
    </row>
    <row r="712" spans="1:12" x14ac:dyDescent="0.3">
      <c r="A712" t="s">
        <v>860</v>
      </c>
      <c r="B712" s="1">
        <v>45038</v>
      </c>
      <c r="C712" t="s">
        <v>59</v>
      </c>
      <c r="D712" t="s">
        <v>60</v>
      </c>
      <c r="E712" t="s">
        <v>37</v>
      </c>
      <c r="F712" t="s">
        <v>101</v>
      </c>
      <c r="G712" t="s">
        <v>39</v>
      </c>
      <c r="H712" t="s">
        <v>57</v>
      </c>
      <c r="I712">
        <v>1</v>
      </c>
      <c r="J712">
        <v>21000</v>
      </c>
      <c r="K712">
        <v>20</v>
      </c>
      <c r="L712" t="s">
        <v>33</v>
      </c>
    </row>
    <row r="713" spans="1:12" x14ac:dyDescent="0.3">
      <c r="A713" t="s">
        <v>861</v>
      </c>
      <c r="B713" s="1">
        <v>45038</v>
      </c>
      <c r="C713" t="s">
        <v>29</v>
      </c>
      <c r="D713" t="s">
        <v>30</v>
      </c>
      <c r="E713" t="s">
        <v>15</v>
      </c>
      <c r="F713" t="s">
        <v>16</v>
      </c>
      <c r="G713" t="s">
        <v>17</v>
      </c>
      <c r="H713" t="s">
        <v>196</v>
      </c>
      <c r="I713">
        <v>1</v>
      </c>
      <c r="J713">
        <v>40600</v>
      </c>
      <c r="K713">
        <v>15</v>
      </c>
      <c r="L713" t="s">
        <v>33</v>
      </c>
    </row>
    <row r="714" spans="1:12" x14ac:dyDescent="0.3">
      <c r="A714" t="s">
        <v>862</v>
      </c>
      <c r="B714" s="1">
        <v>45038</v>
      </c>
      <c r="C714" t="s">
        <v>236</v>
      </c>
      <c r="D714" t="s">
        <v>237</v>
      </c>
      <c r="E714" t="s">
        <v>23</v>
      </c>
      <c r="F714" t="s">
        <v>24</v>
      </c>
      <c r="G714" t="s">
        <v>17</v>
      </c>
      <c r="H714" t="s">
        <v>88</v>
      </c>
      <c r="I714">
        <v>2</v>
      </c>
      <c r="J714">
        <v>36400</v>
      </c>
      <c r="K714">
        <v>25</v>
      </c>
      <c r="L714" t="s">
        <v>53</v>
      </c>
    </row>
    <row r="715" spans="1:12" x14ac:dyDescent="0.3">
      <c r="A715" t="s">
        <v>863</v>
      </c>
      <c r="B715" s="1">
        <v>45038</v>
      </c>
      <c r="C715" t="s">
        <v>250</v>
      </c>
      <c r="D715" t="s">
        <v>251</v>
      </c>
      <c r="E715" t="s">
        <v>15</v>
      </c>
      <c r="F715" t="s">
        <v>131</v>
      </c>
      <c r="G715" t="s">
        <v>97</v>
      </c>
      <c r="H715" t="s">
        <v>133</v>
      </c>
      <c r="I715">
        <v>1</v>
      </c>
      <c r="J715">
        <v>46200</v>
      </c>
      <c r="K715">
        <v>10</v>
      </c>
      <c r="L715" t="s">
        <v>103</v>
      </c>
    </row>
    <row r="716" spans="1:12" x14ac:dyDescent="0.3">
      <c r="A716" t="s">
        <v>864</v>
      </c>
      <c r="B716" s="1">
        <v>45038</v>
      </c>
      <c r="C716" t="s">
        <v>176</v>
      </c>
      <c r="D716" t="s">
        <v>177</v>
      </c>
      <c r="E716" t="s">
        <v>15</v>
      </c>
      <c r="F716" t="s">
        <v>131</v>
      </c>
      <c r="G716" t="s">
        <v>25</v>
      </c>
      <c r="H716" t="s">
        <v>124</v>
      </c>
      <c r="I716">
        <v>2</v>
      </c>
      <c r="J716">
        <v>800</v>
      </c>
      <c r="K716">
        <v>0</v>
      </c>
      <c r="L716" t="s">
        <v>19</v>
      </c>
    </row>
    <row r="717" spans="1:12" x14ac:dyDescent="0.3">
      <c r="A717" t="s">
        <v>865</v>
      </c>
      <c r="B717" s="1">
        <v>45068</v>
      </c>
      <c r="C717" t="s">
        <v>29</v>
      </c>
      <c r="D717" t="s">
        <v>30</v>
      </c>
      <c r="E717" t="s">
        <v>66</v>
      </c>
      <c r="F717" t="s">
        <v>92</v>
      </c>
      <c r="G717" t="s">
        <v>25</v>
      </c>
      <c r="H717" t="s">
        <v>212</v>
      </c>
      <c r="I717">
        <v>2</v>
      </c>
      <c r="J717">
        <v>2600</v>
      </c>
      <c r="K717">
        <v>25</v>
      </c>
      <c r="L717" t="s">
        <v>103</v>
      </c>
    </row>
    <row r="718" spans="1:12" x14ac:dyDescent="0.3">
      <c r="A718" t="s">
        <v>866</v>
      </c>
      <c r="B718" s="1">
        <v>45068</v>
      </c>
      <c r="C718" t="s">
        <v>112</v>
      </c>
      <c r="D718" t="s">
        <v>113</v>
      </c>
      <c r="E718" t="s">
        <v>81</v>
      </c>
      <c r="F718" t="s">
        <v>160</v>
      </c>
      <c r="G718" t="s">
        <v>45</v>
      </c>
      <c r="H718" t="s">
        <v>52</v>
      </c>
      <c r="I718">
        <v>1</v>
      </c>
      <c r="J718">
        <v>37600</v>
      </c>
      <c r="K718">
        <v>5</v>
      </c>
      <c r="L718" t="s">
        <v>33</v>
      </c>
    </row>
    <row r="719" spans="1:12" x14ac:dyDescent="0.3">
      <c r="A719" t="s">
        <v>867</v>
      </c>
      <c r="B719" s="1">
        <v>45068</v>
      </c>
      <c r="C719" t="s">
        <v>176</v>
      </c>
      <c r="D719" t="s">
        <v>177</v>
      </c>
      <c r="E719" t="s">
        <v>15</v>
      </c>
      <c r="F719" t="s">
        <v>131</v>
      </c>
      <c r="G719" t="s">
        <v>25</v>
      </c>
      <c r="H719" t="s">
        <v>32</v>
      </c>
      <c r="I719">
        <v>2</v>
      </c>
      <c r="J719">
        <v>1700</v>
      </c>
      <c r="K719">
        <v>0</v>
      </c>
      <c r="L719" t="s">
        <v>73</v>
      </c>
    </row>
    <row r="720" spans="1:12" x14ac:dyDescent="0.3">
      <c r="A720" t="s">
        <v>868</v>
      </c>
      <c r="B720" s="1">
        <v>45099</v>
      </c>
      <c r="C720" t="s">
        <v>49</v>
      </c>
      <c r="D720" t="s">
        <v>50</v>
      </c>
      <c r="E720" t="s">
        <v>23</v>
      </c>
      <c r="F720" t="s">
        <v>44</v>
      </c>
      <c r="G720" t="s">
        <v>45</v>
      </c>
      <c r="H720" t="s">
        <v>46</v>
      </c>
      <c r="I720">
        <v>1</v>
      </c>
      <c r="J720">
        <v>29300</v>
      </c>
      <c r="K720">
        <v>15</v>
      </c>
      <c r="L720" t="s">
        <v>53</v>
      </c>
    </row>
    <row r="721" spans="1:12" x14ac:dyDescent="0.3">
      <c r="A721" t="s">
        <v>869</v>
      </c>
      <c r="B721" s="1">
        <v>45099</v>
      </c>
      <c r="C721" t="s">
        <v>180</v>
      </c>
      <c r="D721" t="s">
        <v>181</v>
      </c>
      <c r="E721" t="s">
        <v>81</v>
      </c>
      <c r="F721" t="s">
        <v>160</v>
      </c>
      <c r="G721" t="s">
        <v>17</v>
      </c>
      <c r="H721" t="s">
        <v>196</v>
      </c>
      <c r="I721">
        <v>1</v>
      </c>
      <c r="J721">
        <v>33100</v>
      </c>
      <c r="K721">
        <v>10</v>
      </c>
      <c r="L721" t="s">
        <v>53</v>
      </c>
    </row>
    <row r="722" spans="1:12" x14ac:dyDescent="0.3">
      <c r="A722" t="s">
        <v>870</v>
      </c>
      <c r="B722" s="1">
        <v>45099</v>
      </c>
      <c r="C722" t="s">
        <v>90</v>
      </c>
      <c r="D722" t="s">
        <v>91</v>
      </c>
      <c r="E722" t="s">
        <v>81</v>
      </c>
      <c r="F722" t="s">
        <v>160</v>
      </c>
      <c r="G722" t="s">
        <v>45</v>
      </c>
      <c r="H722" t="s">
        <v>156</v>
      </c>
      <c r="I722">
        <v>1</v>
      </c>
      <c r="J722">
        <v>29700</v>
      </c>
      <c r="K722">
        <v>0</v>
      </c>
      <c r="L722" t="s">
        <v>62</v>
      </c>
    </row>
    <row r="723" spans="1:12" x14ac:dyDescent="0.3">
      <c r="A723" t="s">
        <v>871</v>
      </c>
      <c r="B723" s="1">
        <v>45129</v>
      </c>
      <c r="C723" t="s">
        <v>250</v>
      </c>
      <c r="D723" t="s">
        <v>251</v>
      </c>
      <c r="E723" t="s">
        <v>15</v>
      </c>
      <c r="F723" t="s">
        <v>128</v>
      </c>
      <c r="G723" t="s">
        <v>39</v>
      </c>
      <c r="H723" t="s">
        <v>57</v>
      </c>
      <c r="I723">
        <v>1</v>
      </c>
      <c r="J723">
        <v>21200</v>
      </c>
      <c r="K723">
        <v>5</v>
      </c>
      <c r="L723" t="s">
        <v>47</v>
      </c>
    </row>
    <row r="724" spans="1:12" x14ac:dyDescent="0.3">
      <c r="A724" t="s">
        <v>872</v>
      </c>
      <c r="B724" s="1">
        <v>45129</v>
      </c>
      <c r="C724" t="s">
        <v>188</v>
      </c>
      <c r="D724" t="s">
        <v>189</v>
      </c>
      <c r="E724" t="s">
        <v>81</v>
      </c>
      <c r="F724" t="s">
        <v>117</v>
      </c>
      <c r="G724" t="s">
        <v>97</v>
      </c>
      <c r="H724" t="s">
        <v>133</v>
      </c>
      <c r="I724">
        <v>2</v>
      </c>
      <c r="J724">
        <v>46000</v>
      </c>
      <c r="K724">
        <v>5</v>
      </c>
      <c r="L724" t="s">
        <v>103</v>
      </c>
    </row>
    <row r="725" spans="1:12" x14ac:dyDescent="0.3">
      <c r="A725" t="s">
        <v>873</v>
      </c>
      <c r="B725" s="1">
        <v>45160</v>
      </c>
      <c r="C725" t="s">
        <v>180</v>
      </c>
      <c r="D725" t="s">
        <v>181</v>
      </c>
      <c r="E725" t="s">
        <v>15</v>
      </c>
      <c r="F725" t="s">
        <v>16</v>
      </c>
      <c r="G725" t="s">
        <v>25</v>
      </c>
      <c r="H725" t="s">
        <v>32</v>
      </c>
      <c r="I725">
        <v>2</v>
      </c>
      <c r="J725">
        <v>2000</v>
      </c>
      <c r="K725">
        <v>10</v>
      </c>
      <c r="L725" t="s">
        <v>53</v>
      </c>
    </row>
    <row r="726" spans="1:12" x14ac:dyDescent="0.3">
      <c r="A726" t="s">
        <v>874</v>
      </c>
      <c r="B726" s="1">
        <v>45160</v>
      </c>
      <c r="C726" t="s">
        <v>70</v>
      </c>
      <c r="D726" t="s">
        <v>71</v>
      </c>
      <c r="E726" t="s">
        <v>15</v>
      </c>
      <c r="F726" t="s">
        <v>16</v>
      </c>
      <c r="G726" t="s">
        <v>97</v>
      </c>
      <c r="H726" t="s">
        <v>174</v>
      </c>
      <c r="I726">
        <v>1</v>
      </c>
      <c r="J726">
        <v>43700</v>
      </c>
      <c r="K726">
        <v>5</v>
      </c>
      <c r="L726" t="s">
        <v>53</v>
      </c>
    </row>
    <row r="727" spans="1:12" x14ac:dyDescent="0.3">
      <c r="A727" t="s">
        <v>875</v>
      </c>
      <c r="B727" s="1">
        <v>45160</v>
      </c>
      <c r="C727" t="s">
        <v>143</v>
      </c>
      <c r="D727" t="s">
        <v>144</v>
      </c>
      <c r="E727" t="s">
        <v>66</v>
      </c>
      <c r="F727" t="s">
        <v>87</v>
      </c>
      <c r="G727" t="s">
        <v>25</v>
      </c>
      <c r="H727" t="s">
        <v>212</v>
      </c>
      <c r="I727">
        <v>3</v>
      </c>
      <c r="J727">
        <v>900</v>
      </c>
      <c r="K727">
        <v>10</v>
      </c>
      <c r="L727" t="s">
        <v>62</v>
      </c>
    </row>
    <row r="728" spans="1:12" x14ac:dyDescent="0.3">
      <c r="A728" t="s">
        <v>876</v>
      </c>
      <c r="B728" s="1">
        <v>45191</v>
      </c>
      <c r="C728" t="s">
        <v>122</v>
      </c>
      <c r="D728" t="s">
        <v>123</v>
      </c>
      <c r="E728" t="s">
        <v>23</v>
      </c>
      <c r="F728" t="s">
        <v>44</v>
      </c>
      <c r="G728" t="s">
        <v>97</v>
      </c>
      <c r="H728" t="s">
        <v>133</v>
      </c>
      <c r="I728">
        <v>1</v>
      </c>
      <c r="J728">
        <v>51700</v>
      </c>
      <c r="K728">
        <v>5</v>
      </c>
      <c r="L728" t="s">
        <v>53</v>
      </c>
    </row>
    <row r="729" spans="1:12" x14ac:dyDescent="0.3">
      <c r="A729" t="s">
        <v>877</v>
      </c>
      <c r="B729" s="1">
        <v>45191</v>
      </c>
      <c r="C729" t="s">
        <v>151</v>
      </c>
      <c r="D729" t="s">
        <v>152</v>
      </c>
      <c r="E729" t="s">
        <v>81</v>
      </c>
      <c r="F729" t="s">
        <v>110</v>
      </c>
      <c r="G729" t="s">
        <v>17</v>
      </c>
      <c r="H729" t="s">
        <v>18</v>
      </c>
      <c r="I729">
        <v>1</v>
      </c>
      <c r="J729">
        <v>37700</v>
      </c>
      <c r="K729">
        <v>10</v>
      </c>
      <c r="L729" t="s">
        <v>53</v>
      </c>
    </row>
    <row r="730" spans="1:12" x14ac:dyDescent="0.3">
      <c r="A730" t="s">
        <v>878</v>
      </c>
      <c r="B730" s="1">
        <v>45191</v>
      </c>
      <c r="C730" t="s">
        <v>75</v>
      </c>
      <c r="D730" t="s">
        <v>76</v>
      </c>
      <c r="E730" t="s">
        <v>37</v>
      </c>
      <c r="F730" t="s">
        <v>141</v>
      </c>
      <c r="G730" t="s">
        <v>45</v>
      </c>
      <c r="H730" t="s">
        <v>156</v>
      </c>
      <c r="I730">
        <v>1</v>
      </c>
      <c r="J730">
        <v>38400</v>
      </c>
      <c r="K730">
        <v>15</v>
      </c>
      <c r="L730" t="s">
        <v>47</v>
      </c>
    </row>
    <row r="731" spans="1:12" x14ac:dyDescent="0.3">
      <c r="A731" t="s">
        <v>879</v>
      </c>
      <c r="B731" s="1">
        <v>45191</v>
      </c>
      <c r="C731" t="s">
        <v>130</v>
      </c>
      <c r="D731" t="s">
        <v>53</v>
      </c>
      <c r="E731" t="s">
        <v>15</v>
      </c>
      <c r="F731" t="s">
        <v>131</v>
      </c>
      <c r="G731" t="s">
        <v>45</v>
      </c>
      <c r="H731" t="s">
        <v>46</v>
      </c>
      <c r="I731">
        <v>1</v>
      </c>
      <c r="J731">
        <v>41700</v>
      </c>
      <c r="K731">
        <v>5</v>
      </c>
      <c r="L731" t="s">
        <v>27</v>
      </c>
    </row>
    <row r="732" spans="1:12" x14ac:dyDescent="0.3">
      <c r="A732" t="s">
        <v>880</v>
      </c>
      <c r="B732" s="1">
        <v>45221</v>
      </c>
      <c r="C732" t="s">
        <v>49</v>
      </c>
      <c r="D732" t="s">
        <v>50</v>
      </c>
      <c r="E732" t="s">
        <v>37</v>
      </c>
      <c r="F732" t="s">
        <v>141</v>
      </c>
      <c r="G732" t="s">
        <v>45</v>
      </c>
      <c r="H732" t="s">
        <v>52</v>
      </c>
      <c r="I732">
        <v>1</v>
      </c>
      <c r="J732">
        <v>41100</v>
      </c>
      <c r="K732">
        <v>0</v>
      </c>
      <c r="L732" t="s">
        <v>103</v>
      </c>
    </row>
    <row r="733" spans="1:12" x14ac:dyDescent="0.3">
      <c r="A733" t="s">
        <v>881</v>
      </c>
      <c r="B733" s="1">
        <v>45221</v>
      </c>
      <c r="C733" t="s">
        <v>165</v>
      </c>
      <c r="D733" t="s">
        <v>166</v>
      </c>
      <c r="E733" t="s">
        <v>81</v>
      </c>
      <c r="F733" t="s">
        <v>160</v>
      </c>
      <c r="G733" t="s">
        <v>97</v>
      </c>
      <c r="H733" t="s">
        <v>133</v>
      </c>
      <c r="I733">
        <v>1</v>
      </c>
      <c r="J733">
        <v>46000</v>
      </c>
      <c r="K733">
        <v>5</v>
      </c>
      <c r="L733" t="s">
        <v>103</v>
      </c>
    </row>
    <row r="734" spans="1:12" x14ac:dyDescent="0.3">
      <c r="A734" t="s">
        <v>882</v>
      </c>
      <c r="B734" s="1">
        <v>45221</v>
      </c>
      <c r="C734" t="s">
        <v>13</v>
      </c>
      <c r="D734" t="s">
        <v>14</v>
      </c>
      <c r="E734" t="s">
        <v>66</v>
      </c>
      <c r="F734" t="s">
        <v>72</v>
      </c>
      <c r="G734" t="s">
        <v>17</v>
      </c>
      <c r="H734" t="s">
        <v>77</v>
      </c>
      <c r="I734">
        <v>1</v>
      </c>
      <c r="J734">
        <v>36400</v>
      </c>
      <c r="K734">
        <v>20</v>
      </c>
      <c r="L734" t="s">
        <v>62</v>
      </c>
    </row>
    <row r="735" spans="1:12" x14ac:dyDescent="0.3">
      <c r="A735" t="s">
        <v>883</v>
      </c>
      <c r="B735" s="1">
        <v>45252</v>
      </c>
      <c r="C735" t="s">
        <v>250</v>
      </c>
      <c r="D735" t="s">
        <v>251</v>
      </c>
      <c r="E735" t="s">
        <v>66</v>
      </c>
      <c r="F735" t="s">
        <v>92</v>
      </c>
      <c r="G735" t="s">
        <v>45</v>
      </c>
      <c r="H735" t="s">
        <v>207</v>
      </c>
      <c r="I735">
        <v>1</v>
      </c>
      <c r="J735">
        <v>35500</v>
      </c>
      <c r="K735">
        <v>10</v>
      </c>
      <c r="L735" t="s">
        <v>53</v>
      </c>
    </row>
    <row r="736" spans="1:12" x14ac:dyDescent="0.3">
      <c r="A736" t="s">
        <v>884</v>
      </c>
      <c r="B736" s="1">
        <v>45282</v>
      </c>
      <c r="C736" t="s">
        <v>115</v>
      </c>
      <c r="D736" t="s">
        <v>116</v>
      </c>
      <c r="E736" t="s">
        <v>15</v>
      </c>
      <c r="F736" t="s">
        <v>128</v>
      </c>
      <c r="G736" t="s">
        <v>39</v>
      </c>
      <c r="H736" t="s">
        <v>40</v>
      </c>
      <c r="I736">
        <v>1</v>
      </c>
      <c r="J736">
        <v>29100</v>
      </c>
      <c r="K736">
        <v>10</v>
      </c>
      <c r="L736" t="s">
        <v>62</v>
      </c>
    </row>
    <row r="737" spans="1:12" x14ac:dyDescent="0.3">
      <c r="A737" t="s">
        <v>885</v>
      </c>
      <c r="B737" s="1">
        <v>45282</v>
      </c>
      <c r="C737" t="s">
        <v>165</v>
      </c>
      <c r="D737" t="s">
        <v>166</v>
      </c>
      <c r="E737" t="s">
        <v>81</v>
      </c>
      <c r="F737" t="s">
        <v>110</v>
      </c>
      <c r="G737" t="s">
        <v>25</v>
      </c>
      <c r="H737" t="s">
        <v>124</v>
      </c>
      <c r="I737">
        <v>3</v>
      </c>
      <c r="J737">
        <v>2400</v>
      </c>
      <c r="K737">
        <v>25</v>
      </c>
      <c r="L737" t="s">
        <v>19</v>
      </c>
    </row>
    <row r="738" spans="1:12" x14ac:dyDescent="0.3">
      <c r="A738" t="s">
        <v>886</v>
      </c>
      <c r="B738" s="1">
        <v>45282</v>
      </c>
      <c r="C738" t="s">
        <v>79</v>
      </c>
      <c r="D738" t="s">
        <v>80</v>
      </c>
      <c r="E738" t="s">
        <v>66</v>
      </c>
      <c r="F738" t="s">
        <v>87</v>
      </c>
      <c r="G738" t="s">
        <v>45</v>
      </c>
      <c r="H738" t="s">
        <v>156</v>
      </c>
      <c r="I738">
        <v>1</v>
      </c>
      <c r="J738">
        <v>43200</v>
      </c>
      <c r="K738">
        <v>5</v>
      </c>
      <c r="L738" t="s">
        <v>53</v>
      </c>
    </row>
    <row r="739" spans="1:12" x14ac:dyDescent="0.3">
      <c r="A739" t="s">
        <v>887</v>
      </c>
      <c r="B739" s="1">
        <v>44949</v>
      </c>
      <c r="C739" t="s">
        <v>112</v>
      </c>
      <c r="D739" t="s">
        <v>113</v>
      </c>
      <c r="E739" t="s">
        <v>37</v>
      </c>
      <c r="F739" t="s">
        <v>61</v>
      </c>
      <c r="G739" t="s">
        <v>39</v>
      </c>
      <c r="H739" t="s">
        <v>57</v>
      </c>
      <c r="I739">
        <v>1</v>
      </c>
      <c r="J739">
        <v>18400</v>
      </c>
      <c r="K739">
        <v>0</v>
      </c>
      <c r="L739" t="s">
        <v>62</v>
      </c>
    </row>
    <row r="740" spans="1:12" x14ac:dyDescent="0.3">
      <c r="A740" t="s">
        <v>888</v>
      </c>
      <c r="B740" s="1">
        <v>44949</v>
      </c>
      <c r="C740" t="s">
        <v>236</v>
      </c>
      <c r="D740" t="s">
        <v>237</v>
      </c>
      <c r="E740" t="s">
        <v>23</v>
      </c>
      <c r="F740" t="s">
        <v>51</v>
      </c>
      <c r="G740" t="s">
        <v>97</v>
      </c>
      <c r="H740" t="s">
        <v>133</v>
      </c>
      <c r="I740">
        <v>1</v>
      </c>
      <c r="J740">
        <v>69300</v>
      </c>
      <c r="K740">
        <v>10</v>
      </c>
      <c r="L740" t="s">
        <v>62</v>
      </c>
    </row>
    <row r="741" spans="1:12" x14ac:dyDescent="0.3">
      <c r="A741" t="s">
        <v>889</v>
      </c>
      <c r="B741" s="1">
        <v>44949</v>
      </c>
      <c r="C741" t="s">
        <v>64</v>
      </c>
      <c r="D741" t="s">
        <v>65</v>
      </c>
      <c r="E741" t="s">
        <v>15</v>
      </c>
      <c r="F741" t="s">
        <v>119</v>
      </c>
      <c r="G741" t="s">
        <v>45</v>
      </c>
      <c r="H741" t="s">
        <v>46</v>
      </c>
      <c r="I741">
        <v>1</v>
      </c>
      <c r="J741">
        <v>45300</v>
      </c>
      <c r="K741">
        <v>5</v>
      </c>
      <c r="L741" t="s">
        <v>47</v>
      </c>
    </row>
    <row r="742" spans="1:12" x14ac:dyDescent="0.3">
      <c r="A742" t="s">
        <v>890</v>
      </c>
      <c r="B742" s="1">
        <v>44949</v>
      </c>
      <c r="C742" t="s">
        <v>158</v>
      </c>
      <c r="D742" t="s">
        <v>159</v>
      </c>
      <c r="E742" t="s">
        <v>23</v>
      </c>
      <c r="F742" t="s">
        <v>31</v>
      </c>
      <c r="G742" t="s">
        <v>17</v>
      </c>
      <c r="H742" t="s">
        <v>168</v>
      </c>
      <c r="I742">
        <v>1</v>
      </c>
      <c r="J742">
        <v>41200</v>
      </c>
      <c r="K742">
        <v>0</v>
      </c>
      <c r="L742" t="s">
        <v>27</v>
      </c>
    </row>
    <row r="743" spans="1:12" x14ac:dyDescent="0.3">
      <c r="A743" t="s">
        <v>891</v>
      </c>
      <c r="B743" s="1">
        <v>44980</v>
      </c>
      <c r="C743" t="s">
        <v>95</v>
      </c>
      <c r="D743" t="s">
        <v>96</v>
      </c>
      <c r="E743" t="s">
        <v>37</v>
      </c>
      <c r="F743" t="s">
        <v>38</v>
      </c>
      <c r="G743" t="s">
        <v>39</v>
      </c>
      <c r="H743" t="s">
        <v>68</v>
      </c>
      <c r="I743">
        <v>1</v>
      </c>
      <c r="J743">
        <v>29900</v>
      </c>
      <c r="K743">
        <v>20</v>
      </c>
      <c r="L743" t="s">
        <v>62</v>
      </c>
    </row>
    <row r="744" spans="1:12" x14ac:dyDescent="0.3">
      <c r="A744" t="s">
        <v>892</v>
      </c>
      <c r="B744" s="1">
        <v>45008</v>
      </c>
      <c r="C744" t="s">
        <v>158</v>
      </c>
      <c r="D744" t="s">
        <v>159</v>
      </c>
      <c r="E744" t="s">
        <v>23</v>
      </c>
      <c r="F744" t="s">
        <v>44</v>
      </c>
      <c r="G744" t="s">
        <v>39</v>
      </c>
      <c r="H744" t="s">
        <v>68</v>
      </c>
      <c r="I744">
        <v>2</v>
      </c>
      <c r="J744">
        <v>18200</v>
      </c>
      <c r="K744">
        <v>25</v>
      </c>
      <c r="L744" t="s">
        <v>62</v>
      </c>
    </row>
    <row r="745" spans="1:12" x14ac:dyDescent="0.3">
      <c r="A745" t="s">
        <v>893</v>
      </c>
      <c r="B745" s="1">
        <v>45039</v>
      </c>
      <c r="C745" t="s">
        <v>147</v>
      </c>
      <c r="D745" t="s">
        <v>148</v>
      </c>
      <c r="E745" t="s">
        <v>81</v>
      </c>
      <c r="F745" t="s">
        <v>82</v>
      </c>
      <c r="G745" t="s">
        <v>45</v>
      </c>
      <c r="H745" t="s">
        <v>46</v>
      </c>
      <c r="I745">
        <v>1</v>
      </c>
      <c r="J745">
        <v>34600</v>
      </c>
      <c r="K745">
        <v>20</v>
      </c>
      <c r="L745" t="s">
        <v>62</v>
      </c>
    </row>
    <row r="746" spans="1:12" x14ac:dyDescent="0.3">
      <c r="A746" t="s">
        <v>894</v>
      </c>
      <c r="B746" s="1">
        <v>45039</v>
      </c>
      <c r="C746" t="s">
        <v>143</v>
      </c>
      <c r="D746" t="s">
        <v>144</v>
      </c>
      <c r="E746" t="s">
        <v>15</v>
      </c>
      <c r="F746" t="s">
        <v>119</v>
      </c>
      <c r="G746" t="s">
        <v>45</v>
      </c>
      <c r="H746" t="s">
        <v>46</v>
      </c>
      <c r="I746">
        <v>1</v>
      </c>
      <c r="J746">
        <v>43900</v>
      </c>
      <c r="K746">
        <v>0</v>
      </c>
      <c r="L746" t="s">
        <v>53</v>
      </c>
    </row>
    <row r="747" spans="1:12" x14ac:dyDescent="0.3">
      <c r="A747" t="s">
        <v>895</v>
      </c>
      <c r="B747" s="1">
        <v>45069</v>
      </c>
      <c r="C747" t="s">
        <v>126</v>
      </c>
      <c r="D747" t="s">
        <v>127</v>
      </c>
      <c r="E747" t="s">
        <v>81</v>
      </c>
      <c r="F747" t="s">
        <v>117</v>
      </c>
      <c r="G747" t="s">
        <v>39</v>
      </c>
      <c r="H747" t="s">
        <v>40</v>
      </c>
      <c r="I747">
        <v>1</v>
      </c>
      <c r="J747">
        <v>22300</v>
      </c>
      <c r="K747">
        <v>5</v>
      </c>
      <c r="L747" t="s">
        <v>103</v>
      </c>
    </row>
    <row r="748" spans="1:12" x14ac:dyDescent="0.3">
      <c r="A748" t="s">
        <v>896</v>
      </c>
      <c r="B748" s="1">
        <v>45069</v>
      </c>
      <c r="C748" t="s">
        <v>21</v>
      </c>
      <c r="D748" t="s">
        <v>22</v>
      </c>
      <c r="E748" t="s">
        <v>15</v>
      </c>
      <c r="F748" t="s">
        <v>128</v>
      </c>
      <c r="G748" t="s">
        <v>25</v>
      </c>
      <c r="H748" t="s">
        <v>108</v>
      </c>
      <c r="I748">
        <v>1</v>
      </c>
      <c r="J748">
        <v>1000</v>
      </c>
      <c r="K748">
        <v>25</v>
      </c>
      <c r="L748" t="s">
        <v>103</v>
      </c>
    </row>
    <row r="749" spans="1:12" x14ac:dyDescent="0.3">
      <c r="A749" t="s">
        <v>897</v>
      </c>
      <c r="B749" s="1">
        <v>45069</v>
      </c>
      <c r="C749" t="s">
        <v>112</v>
      </c>
      <c r="D749" t="s">
        <v>113</v>
      </c>
      <c r="E749" t="s">
        <v>23</v>
      </c>
      <c r="F749" t="s">
        <v>31</v>
      </c>
      <c r="G749" t="s">
        <v>97</v>
      </c>
      <c r="H749" t="s">
        <v>154</v>
      </c>
      <c r="I749">
        <v>1</v>
      </c>
      <c r="J749">
        <v>64500</v>
      </c>
      <c r="K749">
        <v>5</v>
      </c>
      <c r="L749" t="s">
        <v>53</v>
      </c>
    </row>
    <row r="750" spans="1:12" x14ac:dyDescent="0.3">
      <c r="A750" t="s">
        <v>898</v>
      </c>
      <c r="B750" s="1">
        <v>45069</v>
      </c>
      <c r="C750" t="s">
        <v>130</v>
      </c>
      <c r="D750" t="s">
        <v>53</v>
      </c>
      <c r="E750" t="s">
        <v>37</v>
      </c>
      <c r="F750" t="s">
        <v>101</v>
      </c>
      <c r="G750" t="s">
        <v>97</v>
      </c>
      <c r="H750" t="s">
        <v>154</v>
      </c>
      <c r="I750">
        <v>1</v>
      </c>
      <c r="J750">
        <v>55600</v>
      </c>
      <c r="K750">
        <v>15</v>
      </c>
      <c r="L750" t="s">
        <v>27</v>
      </c>
    </row>
    <row r="751" spans="1:12" x14ac:dyDescent="0.3">
      <c r="A751" t="s">
        <v>899</v>
      </c>
      <c r="B751" s="1">
        <v>45069</v>
      </c>
      <c r="C751" t="s">
        <v>64</v>
      </c>
      <c r="D751" t="s">
        <v>65</v>
      </c>
      <c r="E751" t="s">
        <v>15</v>
      </c>
      <c r="F751" t="s">
        <v>128</v>
      </c>
      <c r="G751" t="s">
        <v>97</v>
      </c>
      <c r="H751" t="s">
        <v>133</v>
      </c>
      <c r="I751">
        <v>2</v>
      </c>
      <c r="J751">
        <v>73200</v>
      </c>
      <c r="K751">
        <v>0</v>
      </c>
      <c r="L751" t="s">
        <v>19</v>
      </c>
    </row>
    <row r="752" spans="1:12" x14ac:dyDescent="0.3">
      <c r="A752" t="s">
        <v>900</v>
      </c>
      <c r="B752" s="1">
        <v>45069</v>
      </c>
      <c r="C752" t="s">
        <v>105</v>
      </c>
      <c r="D752" t="s">
        <v>106</v>
      </c>
      <c r="E752" t="s">
        <v>66</v>
      </c>
      <c r="F752" t="s">
        <v>87</v>
      </c>
      <c r="G752" t="s">
        <v>39</v>
      </c>
      <c r="H752" t="s">
        <v>57</v>
      </c>
      <c r="I752">
        <v>1</v>
      </c>
      <c r="J752">
        <v>20100</v>
      </c>
      <c r="K752">
        <v>25</v>
      </c>
      <c r="L752" t="s">
        <v>73</v>
      </c>
    </row>
    <row r="753" spans="1:12" x14ac:dyDescent="0.3">
      <c r="A753" t="s">
        <v>901</v>
      </c>
      <c r="B753" s="1">
        <v>45100</v>
      </c>
      <c r="C753" t="s">
        <v>84</v>
      </c>
      <c r="D753" t="s">
        <v>85</v>
      </c>
      <c r="E753" t="s">
        <v>66</v>
      </c>
      <c r="F753" t="s">
        <v>87</v>
      </c>
      <c r="G753" t="s">
        <v>39</v>
      </c>
      <c r="H753" t="s">
        <v>68</v>
      </c>
      <c r="I753">
        <v>1</v>
      </c>
      <c r="J753">
        <v>11500</v>
      </c>
      <c r="K753">
        <v>0</v>
      </c>
      <c r="L753" t="s">
        <v>19</v>
      </c>
    </row>
    <row r="754" spans="1:12" x14ac:dyDescent="0.3">
      <c r="A754" t="s">
        <v>902</v>
      </c>
      <c r="B754" s="1">
        <v>45100</v>
      </c>
      <c r="C754" t="s">
        <v>130</v>
      </c>
      <c r="D754" t="s">
        <v>53</v>
      </c>
      <c r="E754" t="s">
        <v>15</v>
      </c>
      <c r="F754" t="s">
        <v>131</v>
      </c>
      <c r="G754" t="s">
        <v>17</v>
      </c>
      <c r="H754" t="s">
        <v>77</v>
      </c>
      <c r="I754">
        <v>1</v>
      </c>
      <c r="J754">
        <v>35000</v>
      </c>
      <c r="K754">
        <v>0</v>
      </c>
      <c r="L754" t="s">
        <v>62</v>
      </c>
    </row>
    <row r="755" spans="1:12" x14ac:dyDescent="0.3">
      <c r="A755" t="s">
        <v>903</v>
      </c>
      <c r="B755" s="1">
        <v>45161</v>
      </c>
      <c r="C755" t="s">
        <v>84</v>
      </c>
      <c r="D755" t="s">
        <v>85</v>
      </c>
      <c r="E755" t="s">
        <v>23</v>
      </c>
      <c r="F755" t="s">
        <v>31</v>
      </c>
      <c r="G755" t="s">
        <v>25</v>
      </c>
      <c r="H755" t="s">
        <v>108</v>
      </c>
      <c r="I755">
        <v>2</v>
      </c>
      <c r="J755">
        <v>900</v>
      </c>
      <c r="K755">
        <v>10</v>
      </c>
      <c r="L755" t="s">
        <v>27</v>
      </c>
    </row>
    <row r="756" spans="1:12" x14ac:dyDescent="0.3">
      <c r="A756" t="s">
        <v>904</v>
      </c>
      <c r="B756" s="1">
        <v>45161</v>
      </c>
      <c r="C756" t="s">
        <v>163</v>
      </c>
      <c r="D756" t="s">
        <v>73</v>
      </c>
      <c r="E756" t="s">
        <v>15</v>
      </c>
      <c r="F756" t="s">
        <v>119</v>
      </c>
      <c r="G756" t="s">
        <v>39</v>
      </c>
      <c r="H756" t="s">
        <v>102</v>
      </c>
      <c r="I756">
        <v>1</v>
      </c>
      <c r="J756">
        <v>11800</v>
      </c>
      <c r="K756">
        <v>25</v>
      </c>
      <c r="L756" t="s">
        <v>47</v>
      </c>
    </row>
    <row r="757" spans="1:12" x14ac:dyDescent="0.3">
      <c r="A757" t="s">
        <v>905</v>
      </c>
      <c r="B757" s="1">
        <v>45161</v>
      </c>
      <c r="C757" t="s">
        <v>95</v>
      </c>
      <c r="D757" t="s">
        <v>96</v>
      </c>
      <c r="E757" t="s">
        <v>23</v>
      </c>
      <c r="F757" t="s">
        <v>51</v>
      </c>
      <c r="G757" t="s">
        <v>45</v>
      </c>
      <c r="H757" t="s">
        <v>207</v>
      </c>
      <c r="I757">
        <v>1</v>
      </c>
      <c r="J757">
        <v>30900</v>
      </c>
      <c r="K757">
        <v>10</v>
      </c>
      <c r="L757" t="s">
        <v>27</v>
      </c>
    </row>
    <row r="758" spans="1:12" x14ac:dyDescent="0.3">
      <c r="A758" t="s">
        <v>906</v>
      </c>
      <c r="B758" s="1">
        <v>45161</v>
      </c>
      <c r="C758" t="s">
        <v>64</v>
      </c>
      <c r="D758" t="s">
        <v>65</v>
      </c>
      <c r="E758" t="s">
        <v>15</v>
      </c>
      <c r="F758" t="s">
        <v>128</v>
      </c>
      <c r="G758" t="s">
        <v>25</v>
      </c>
      <c r="H758" t="s">
        <v>26</v>
      </c>
      <c r="I758">
        <v>3</v>
      </c>
      <c r="J758">
        <v>1700</v>
      </c>
      <c r="K758">
        <v>20</v>
      </c>
      <c r="L758" t="s">
        <v>27</v>
      </c>
    </row>
    <row r="759" spans="1:12" x14ac:dyDescent="0.3">
      <c r="A759" t="s">
        <v>907</v>
      </c>
      <c r="B759" s="1">
        <v>45161</v>
      </c>
      <c r="C759" t="s">
        <v>115</v>
      </c>
      <c r="D759" t="s">
        <v>116</v>
      </c>
      <c r="E759" t="s">
        <v>81</v>
      </c>
      <c r="F759" t="s">
        <v>82</v>
      </c>
      <c r="G759" t="s">
        <v>39</v>
      </c>
      <c r="H759" t="s">
        <v>68</v>
      </c>
      <c r="I759">
        <v>1</v>
      </c>
      <c r="J759">
        <v>14500</v>
      </c>
      <c r="K759">
        <v>5</v>
      </c>
      <c r="L759" t="s">
        <v>33</v>
      </c>
    </row>
    <row r="760" spans="1:12" x14ac:dyDescent="0.3">
      <c r="A760" t="s">
        <v>908</v>
      </c>
      <c r="B760" s="1">
        <v>45192</v>
      </c>
      <c r="C760" t="s">
        <v>232</v>
      </c>
      <c r="D760" t="s">
        <v>233</v>
      </c>
      <c r="E760" t="s">
        <v>81</v>
      </c>
      <c r="F760" t="s">
        <v>82</v>
      </c>
      <c r="G760" t="s">
        <v>45</v>
      </c>
      <c r="H760" t="s">
        <v>46</v>
      </c>
      <c r="I760">
        <v>1</v>
      </c>
      <c r="J760">
        <v>40700</v>
      </c>
      <c r="K760">
        <v>20</v>
      </c>
      <c r="L760" t="s">
        <v>62</v>
      </c>
    </row>
    <row r="761" spans="1:12" x14ac:dyDescent="0.3">
      <c r="A761" t="s">
        <v>909</v>
      </c>
      <c r="B761" s="1">
        <v>45192</v>
      </c>
      <c r="C761" t="s">
        <v>232</v>
      </c>
      <c r="D761" t="s">
        <v>233</v>
      </c>
      <c r="E761" t="s">
        <v>81</v>
      </c>
      <c r="F761" t="s">
        <v>110</v>
      </c>
      <c r="G761" t="s">
        <v>25</v>
      </c>
      <c r="H761" t="s">
        <v>26</v>
      </c>
      <c r="I761">
        <v>2</v>
      </c>
      <c r="J761">
        <v>700</v>
      </c>
      <c r="K761">
        <v>5</v>
      </c>
      <c r="L761" t="s">
        <v>62</v>
      </c>
    </row>
    <row r="762" spans="1:12" x14ac:dyDescent="0.3">
      <c r="A762" t="s">
        <v>910</v>
      </c>
      <c r="B762" s="1">
        <v>45192</v>
      </c>
      <c r="C762" t="s">
        <v>90</v>
      </c>
      <c r="D762" t="s">
        <v>91</v>
      </c>
      <c r="E762" t="s">
        <v>37</v>
      </c>
      <c r="F762" t="s">
        <v>61</v>
      </c>
      <c r="G762" t="s">
        <v>17</v>
      </c>
      <c r="H762" t="s">
        <v>196</v>
      </c>
      <c r="I762">
        <v>1</v>
      </c>
      <c r="J762">
        <v>35000</v>
      </c>
      <c r="K762">
        <v>10</v>
      </c>
      <c r="L762" t="s">
        <v>53</v>
      </c>
    </row>
    <row r="763" spans="1:12" x14ac:dyDescent="0.3">
      <c r="A763" t="s">
        <v>911</v>
      </c>
      <c r="B763" s="1">
        <v>45192</v>
      </c>
      <c r="C763" t="s">
        <v>115</v>
      </c>
      <c r="D763" t="s">
        <v>116</v>
      </c>
      <c r="E763" t="s">
        <v>66</v>
      </c>
      <c r="F763" t="s">
        <v>67</v>
      </c>
      <c r="G763" t="s">
        <v>97</v>
      </c>
      <c r="H763" t="s">
        <v>98</v>
      </c>
      <c r="I763">
        <v>1</v>
      </c>
      <c r="J763">
        <v>80000</v>
      </c>
      <c r="K763">
        <v>0</v>
      </c>
      <c r="L763" t="s">
        <v>62</v>
      </c>
    </row>
    <row r="764" spans="1:12" x14ac:dyDescent="0.3">
      <c r="A764" t="s">
        <v>912</v>
      </c>
      <c r="B764" s="1">
        <v>45222</v>
      </c>
      <c r="C764" t="s">
        <v>21</v>
      </c>
      <c r="D764" t="s">
        <v>22</v>
      </c>
      <c r="E764" t="s">
        <v>66</v>
      </c>
      <c r="F764" t="s">
        <v>87</v>
      </c>
      <c r="G764" t="s">
        <v>25</v>
      </c>
      <c r="H764" t="s">
        <v>124</v>
      </c>
      <c r="I764">
        <v>2</v>
      </c>
      <c r="J764">
        <v>700</v>
      </c>
      <c r="K764">
        <v>20</v>
      </c>
      <c r="L764" t="s">
        <v>27</v>
      </c>
    </row>
    <row r="765" spans="1:12" x14ac:dyDescent="0.3">
      <c r="A765" t="s">
        <v>913</v>
      </c>
      <c r="B765" s="1">
        <v>45222</v>
      </c>
      <c r="C765" t="s">
        <v>35</v>
      </c>
      <c r="D765" t="s">
        <v>36</v>
      </c>
      <c r="E765" t="s">
        <v>15</v>
      </c>
      <c r="F765" t="s">
        <v>16</v>
      </c>
      <c r="G765" t="s">
        <v>17</v>
      </c>
      <c r="H765" t="s">
        <v>168</v>
      </c>
      <c r="I765">
        <v>1</v>
      </c>
      <c r="J765">
        <v>40300</v>
      </c>
      <c r="K765">
        <v>0</v>
      </c>
      <c r="L765" t="s">
        <v>33</v>
      </c>
    </row>
    <row r="766" spans="1:12" x14ac:dyDescent="0.3">
      <c r="A766" t="s">
        <v>914</v>
      </c>
      <c r="B766" s="1">
        <v>45253</v>
      </c>
      <c r="C766" t="s">
        <v>147</v>
      </c>
      <c r="D766" t="s">
        <v>148</v>
      </c>
      <c r="E766" t="s">
        <v>81</v>
      </c>
      <c r="F766" t="s">
        <v>110</v>
      </c>
      <c r="G766" t="s">
        <v>45</v>
      </c>
      <c r="H766" t="s">
        <v>207</v>
      </c>
      <c r="I766">
        <v>1</v>
      </c>
      <c r="J766">
        <v>29700</v>
      </c>
      <c r="K766">
        <v>15</v>
      </c>
      <c r="L766" t="s">
        <v>62</v>
      </c>
    </row>
    <row r="767" spans="1:12" x14ac:dyDescent="0.3">
      <c r="A767" t="s">
        <v>915</v>
      </c>
      <c r="B767" s="1">
        <v>45253</v>
      </c>
      <c r="C767" t="s">
        <v>79</v>
      </c>
      <c r="D767" t="s">
        <v>80</v>
      </c>
      <c r="E767" t="s">
        <v>81</v>
      </c>
      <c r="F767" t="s">
        <v>82</v>
      </c>
      <c r="G767" t="s">
        <v>25</v>
      </c>
      <c r="H767" t="s">
        <v>26</v>
      </c>
      <c r="I767">
        <v>3</v>
      </c>
      <c r="J767">
        <v>2200</v>
      </c>
      <c r="K767">
        <v>5</v>
      </c>
      <c r="L767" t="s">
        <v>73</v>
      </c>
    </row>
    <row r="768" spans="1:12" x14ac:dyDescent="0.3">
      <c r="A768" t="s">
        <v>916</v>
      </c>
      <c r="B768" s="1">
        <v>45253</v>
      </c>
      <c r="C768" t="s">
        <v>75</v>
      </c>
      <c r="D768" t="s">
        <v>76</v>
      </c>
      <c r="E768" t="s">
        <v>66</v>
      </c>
      <c r="F768" t="s">
        <v>67</v>
      </c>
      <c r="G768" t="s">
        <v>39</v>
      </c>
      <c r="H768" t="s">
        <v>102</v>
      </c>
      <c r="I768">
        <v>1</v>
      </c>
      <c r="J768">
        <v>13200</v>
      </c>
      <c r="K768">
        <v>10</v>
      </c>
      <c r="L768" t="s">
        <v>33</v>
      </c>
    </row>
    <row r="769" spans="1:12" x14ac:dyDescent="0.3">
      <c r="A769" t="s">
        <v>917</v>
      </c>
      <c r="B769" s="1">
        <v>45253</v>
      </c>
      <c r="C769" t="s">
        <v>126</v>
      </c>
      <c r="D769" t="s">
        <v>127</v>
      </c>
      <c r="E769" t="s">
        <v>37</v>
      </c>
      <c r="F769" t="s">
        <v>38</v>
      </c>
      <c r="G769" t="s">
        <v>39</v>
      </c>
      <c r="H769" t="s">
        <v>40</v>
      </c>
      <c r="I769">
        <v>1</v>
      </c>
      <c r="J769">
        <v>22900</v>
      </c>
      <c r="K769">
        <v>0</v>
      </c>
      <c r="L769" t="s">
        <v>19</v>
      </c>
    </row>
    <row r="770" spans="1:12" x14ac:dyDescent="0.3">
      <c r="A770" t="s">
        <v>918</v>
      </c>
      <c r="B770" s="1">
        <v>45283</v>
      </c>
      <c r="C770" t="s">
        <v>79</v>
      </c>
      <c r="D770" t="s">
        <v>80</v>
      </c>
      <c r="E770" t="s">
        <v>37</v>
      </c>
      <c r="F770" t="s">
        <v>61</v>
      </c>
      <c r="G770" t="s">
        <v>97</v>
      </c>
      <c r="H770" t="s">
        <v>174</v>
      </c>
      <c r="I770">
        <v>1</v>
      </c>
      <c r="J770">
        <v>69800</v>
      </c>
      <c r="K770">
        <v>0</v>
      </c>
      <c r="L770" t="s">
        <v>27</v>
      </c>
    </row>
    <row r="771" spans="1:12" x14ac:dyDescent="0.3">
      <c r="A771" t="s">
        <v>919</v>
      </c>
      <c r="B771" s="1">
        <v>44950</v>
      </c>
      <c r="C771" t="s">
        <v>115</v>
      </c>
      <c r="D771" t="s">
        <v>116</v>
      </c>
      <c r="E771" t="s">
        <v>81</v>
      </c>
      <c r="F771" t="s">
        <v>82</v>
      </c>
      <c r="G771" t="s">
        <v>45</v>
      </c>
      <c r="H771" t="s">
        <v>52</v>
      </c>
      <c r="I771">
        <v>1</v>
      </c>
      <c r="J771">
        <v>41900</v>
      </c>
      <c r="K771">
        <v>10</v>
      </c>
      <c r="L771" t="s">
        <v>62</v>
      </c>
    </row>
    <row r="772" spans="1:12" x14ac:dyDescent="0.3">
      <c r="A772" t="s">
        <v>920</v>
      </c>
      <c r="B772" s="1">
        <v>44950</v>
      </c>
      <c r="C772" t="s">
        <v>236</v>
      </c>
      <c r="D772" t="s">
        <v>237</v>
      </c>
      <c r="E772" t="s">
        <v>37</v>
      </c>
      <c r="F772" t="s">
        <v>61</v>
      </c>
      <c r="G772" t="s">
        <v>97</v>
      </c>
      <c r="H772" t="s">
        <v>171</v>
      </c>
      <c r="I772">
        <v>1</v>
      </c>
      <c r="J772">
        <v>51200</v>
      </c>
      <c r="K772">
        <v>0</v>
      </c>
      <c r="L772" t="s">
        <v>47</v>
      </c>
    </row>
    <row r="773" spans="1:12" x14ac:dyDescent="0.3">
      <c r="A773" t="s">
        <v>921</v>
      </c>
      <c r="B773" s="1">
        <v>44950</v>
      </c>
      <c r="C773" t="s">
        <v>244</v>
      </c>
      <c r="D773" t="s">
        <v>245</v>
      </c>
      <c r="E773" t="s">
        <v>15</v>
      </c>
      <c r="F773" t="s">
        <v>128</v>
      </c>
      <c r="G773" t="s">
        <v>17</v>
      </c>
      <c r="H773" t="s">
        <v>88</v>
      </c>
      <c r="I773">
        <v>1</v>
      </c>
      <c r="J773">
        <v>54300</v>
      </c>
      <c r="K773">
        <v>5</v>
      </c>
      <c r="L773" t="s">
        <v>27</v>
      </c>
    </row>
    <row r="774" spans="1:12" x14ac:dyDescent="0.3">
      <c r="A774" t="s">
        <v>922</v>
      </c>
      <c r="B774" s="1">
        <v>44950</v>
      </c>
      <c r="C774" t="s">
        <v>158</v>
      </c>
      <c r="D774" t="s">
        <v>159</v>
      </c>
      <c r="E774" t="s">
        <v>23</v>
      </c>
      <c r="F774" t="s">
        <v>51</v>
      </c>
      <c r="G774" t="s">
        <v>17</v>
      </c>
      <c r="H774" t="s">
        <v>168</v>
      </c>
      <c r="I774">
        <v>1</v>
      </c>
      <c r="J774">
        <v>44600</v>
      </c>
      <c r="K774">
        <v>10</v>
      </c>
      <c r="L774" t="s">
        <v>47</v>
      </c>
    </row>
    <row r="775" spans="1:12" x14ac:dyDescent="0.3">
      <c r="A775" t="s">
        <v>923</v>
      </c>
      <c r="B775" s="1">
        <v>44950</v>
      </c>
      <c r="C775" t="s">
        <v>55</v>
      </c>
      <c r="D775" t="s">
        <v>56</v>
      </c>
      <c r="E775" t="s">
        <v>23</v>
      </c>
      <c r="F775" t="s">
        <v>51</v>
      </c>
      <c r="G775" t="s">
        <v>45</v>
      </c>
      <c r="H775" t="s">
        <v>156</v>
      </c>
      <c r="I775">
        <v>1</v>
      </c>
      <c r="J775">
        <v>49300</v>
      </c>
      <c r="K775">
        <v>20</v>
      </c>
      <c r="L775" t="s">
        <v>62</v>
      </c>
    </row>
    <row r="776" spans="1:12" x14ac:dyDescent="0.3">
      <c r="A776" t="s">
        <v>924</v>
      </c>
      <c r="B776" s="1">
        <v>44981</v>
      </c>
      <c r="C776" t="s">
        <v>210</v>
      </c>
      <c r="D776" t="s">
        <v>211</v>
      </c>
      <c r="E776" t="s">
        <v>81</v>
      </c>
      <c r="F776" t="s">
        <v>82</v>
      </c>
      <c r="G776" t="s">
        <v>45</v>
      </c>
      <c r="H776" t="s">
        <v>156</v>
      </c>
      <c r="I776">
        <v>1</v>
      </c>
      <c r="J776">
        <v>43200</v>
      </c>
      <c r="K776">
        <v>10</v>
      </c>
      <c r="L776" t="s">
        <v>27</v>
      </c>
    </row>
    <row r="777" spans="1:12" x14ac:dyDescent="0.3">
      <c r="A777" t="s">
        <v>925</v>
      </c>
      <c r="B777" s="1">
        <v>44981</v>
      </c>
      <c r="C777" t="s">
        <v>232</v>
      </c>
      <c r="D777" t="s">
        <v>233</v>
      </c>
      <c r="E777" t="s">
        <v>23</v>
      </c>
      <c r="F777" t="s">
        <v>24</v>
      </c>
      <c r="G777" t="s">
        <v>45</v>
      </c>
      <c r="H777" t="s">
        <v>156</v>
      </c>
      <c r="I777">
        <v>1</v>
      </c>
      <c r="J777">
        <v>40200</v>
      </c>
      <c r="K777">
        <v>10</v>
      </c>
      <c r="L777" t="s">
        <v>19</v>
      </c>
    </row>
    <row r="778" spans="1:12" x14ac:dyDescent="0.3">
      <c r="A778" t="s">
        <v>926</v>
      </c>
      <c r="B778" s="1">
        <v>45009</v>
      </c>
      <c r="C778" t="s">
        <v>115</v>
      </c>
      <c r="D778" t="s">
        <v>116</v>
      </c>
      <c r="E778" t="s">
        <v>23</v>
      </c>
      <c r="F778" t="s">
        <v>24</v>
      </c>
      <c r="G778" t="s">
        <v>45</v>
      </c>
      <c r="H778" t="s">
        <v>156</v>
      </c>
      <c r="I778">
        <v>1</v>
      </c>
      <c r="J778">
        <v>48800</v>
      </c>
      <c r="K778">
        <v>0</v>
      </c>
      <c r="L778" t="s">
        <v>62</v>
      </c>
    </row>
    <row r="779" spans="1:12" x14ac:dyDescent="0.3">
      <c r="A779" t="s">
        <v>927</v>
      </c>
      <c r="B779" s="1">
        <v>45040</v>
      </c>
      <c r="C779" t="s">
        <v>79</v>
      </c>
      <c r="D779" t="s">
        <v>80</v>
      </c>
      <c r="E779" t="s">
        <v>66</v>
      </c>
      <c r="F779" t="s">
        <v>92</v>
      </c>
      <c r="G779" t="s">
        <v>97</v>
      </c>
      <c r="H779" t="s">
        <v>133</v>
      </c>
      <c r="I779">
        <v>1</v>
      </c>
      <c r="J779">
        <v>50800</v>
      </c>
      <c r="K779">
        <v>0</v>
      </c>
      <c r="L779" t="s">
        <v>53</v>
      </c>
    </row>
    <row r="780" spans="1:12" x14ac:dyDescent="0.3">
      <c r="A780" t="s">
        <v>928</v>
      </c>
      <c r="B780" s="1">
        <v>45040</v>
      </c>
      <c r="C780" t="s">
        <v>42</v>
      </c>
      <c r="D780" t="s">
        <v>43</v>
      </c>
      <c r="E780" t="s">
        <v>37</v>
      </c>
      <c r="F780" t="s">
        <v>61</v>
      </c>
      <c r="G780" t="s">
        <v>97</v>
      </c>
      <c r="H780" t="s">
        <v>98</v>
      </c>
      <c r="I780">
        <v>1</v>
      </c>
      <c r="J780">
        <v>66000</v>
      </c>
      <c r="K780">
        <v>20</v>
      </c>
      <c r="L780" t="s">
        <v>62</v>
      </c>
    </row>
    <row r="781" spans="1:12" x14ac:dyDescent="0.3">
      <c r="A781" t="s">
        <v>929</v>
      </c>
      <c r="B781" s="1">
        <v>45040</v>
      </c>
      <c r="C781" t="s">
        <v>95</v>
      </c>
      <c r="D781" t="s">
        <v>96</v>
      </c>
      <c r="E781" t="s">
        <v>66</v>
      </c>
      <c r="F781" t="s">
        <v>92</v>
      </c>
      <c r="G781" t="s">
        <v>25</v>
      </c>
      <c r="H781" t="s">
        <v>32</v>
      </c>
      <c r="I781">
        <v>2</v>
      </c>
      <c r="J781">
        <v>1200</v>
      </c>
      <c r="K781">
        <v>0</v>
      </c>
      <c r="L781" t="s">
        <v>19</v>
      </c>
    </row>
    <row r="782" spans="1:12" x14ac:dyDescent="0.3">
      <c r="A782" t="s">
        <v>930</v>
      </c>
      <c r="B782" s="1">
        <v>45101</v>
      </c>
      <c r="C782" t="s">
        <v>126</v>
      </c>
      <c r="D782" t="s">
        <v>127</v>
      </c>
      <c r="E782" t="s">
        <v>37</v>
      </c>
      <c r="F782" t="s">
        <v>38</v>
      </c>
      <c r="G782" t="s">
        <v>17</v>
      </c>
      <c r="H782" t="s">
        <v>88</v>
      </c>
      <c r="I782">
        <v>1</v>
      </c>
      <c r="J782">
        <v>47200</v>
      </c>
      <c r="K782">
        <v>25</v>
      </c>
      <c r="L782" t="s">
        <v>19</v>
      </c>
    </row>
    <row r="783" spans="1:12" x14ac:dyDescent="0.3">
      <c r="A783" t="s">
        <v>931</v>
      </c>
      <c r="B783" s="1">
        <v>45101</v>
      </c>
      <c r="C783" t="s">
        <v>95</v>
      </c>
      <c r="D783" t="s">
        <v>96</v>
      </c>
      <c r="E783" t="s">
        <v>66</v>
      </c>
      <c r="F783" t="s">
        <v>67</v>
      </c>
      <c r="G783" t="s">
        <v>17</v>
      </c>
      <c r="H783" t="s">
        <v>196</v>
      </c>
      <c r="I783">
        <v>1</v>
      </c>
      <c r="J783">
        <v>32600</v>
      </c>
      <c r="K783">
        <v>10</v>
      </c>
      <c r="L783" t="s">
        <v>73</v>
      </c>
    </row>
    <row r="784" spans="1:12" x14ac:dyDescent="0.3">
      <c r="A784" t="s">
        <v>932</v>
      </c>
      <c r="B784" s="1">
        <v>45101</v>
      </c>
      <c r="C784" t="s">
        <v>236</v>
      </c>
      <c r="D784" t="s">
        <v>237</v>
      </c>
      <c r="E784" t="s">
        <v>23</v>
      </c>
      <c r="F784" t="s">
        <v>31</v>
      </c>
      <c r="G784" t="s">
        <v>39</v>
      </c>
      <c r="H784" t="s">
        <v>40</v>
      </c>
      <c r="I784">
        <v>1</v>
      </c>
      <c r="J784">
        <v>18400</v>
      </c>
      <c r="K784">
        <v>15</v>
      </c>
      <c r="L784" t="s">
        <v>73</v>
      </c>
    </row>
    <row r="785" spans="1:12" x14ac:dyDescent="0.3">
      <c r="A785" t="s">
        <v>933</v>
      </c>
      <c r="B785" s="1">
        <v>45101</v>
      </c>
      <c r="C785" t="s">
        <v>90</v>
      </c>
      <c r="D785" t="s">
        <v>91</v>
      </c>
      <c r="E785" t="s">
        <v>37</v>
      </c>
      <c r="F785" t="s">
        <v>101</v>
      </c>
      <c r="G785" t="s">
        <v>17</v>
      </c>
      <c r="H785" t="s">
        <v>196</v>
      </c>
      <c r="I785">
        <v>1</v>
      </c>
      <c r="J785">
        <v>37100</v>
      </c>
      <c r="K785">
        <v>20</v>
      </c>
      <c r="L785" t="s">
        <v>33</v>
      </c>
    </row>
    <row r="786" spans="1:12" x14ac:dyDescent="0.3">
      <c r="A786" t="s">
        <v>934</v>
      </c>
      <c r="B786" s="1">
        <v>45101</v>
      </c>
      <c r="C786" t="s">
        <v>21</v>
      </c>
      <c r="D786" t="s">
        <v>22</v>
      </c>
      <c r="E786" t="s">
        <v>66</v>
      </c>
      <c r="F786" t="s">
        <v>87</v>
      </c>
      <c r="G786" t="s">
        <v>97</v>
      </c>
      <c r="H786" t="s">
        <v>133</v>
      </c>
      <c r="I786">
        <v>1</v>
      </c>
      <c r="J786">
        <v>49000</v>
      </c>
      <c r="K786">
        <v>20</v>
      </c>
      <c r="L786" t="s">
        <v>33</v>
      </c>
    </row>
    <row r="787" spans="1:12" x14ac:dyDescent="0.3">
      <c r="A787" t="s">
        <v>935</v>
      </c>
      <c r="B787" s="1">
        <v>45101</v>
      </c>
      <c r="C787" t="s">
        <v>284</v>
      </c>
      <c r="D787" t="s">
        <v>285</v>
      </c>
      <c r="E787" t="s">
        <v>37</v>
      </c>
      <c r="F787" t="s">
        <v>141</v>
      </c>
      <c r="G787" t="s">
        <v>25</v>
      </c>
      <c r="H787" t="s">
        <v>108</v>
      </c>
      <c r="I787">
        <v>2</v>
      </c>
      <c r="J787">
        <v>1000</v>
      </c>
      <c r="K787">
        <v>10</v>
      </c>
      <c r="L787" t="s">
        <v>33</v>
      </c>
    </row>
    <row r="788" spans="1:12" x14ac:dyDescent="0.3">
      <c r="A788" t="s">
        <v>936</v>
      </c>
      <c r="B788" s="1">
        <v>45162</v>
      </c>
      <c r="C788" t="s">
        <v>70</v>
      </c>
      <c r="D788" t="s">
        <v>71</v>
      </c>
      <c r="E788" t="s">
        <v>66</v>
      </c>
      <c r="F788" t="s">
        <v>72</v>
      </c>
      <c r="G788" t="s">
        <v>97</v>
      </c>
      <c r="H788" t="s">
        <v>133</v>
      </c>
      <c r="I788">
        <v>1</v>
      </c>
      <c r="J788">
        <v>58800</v>
      </c>
      <c r="K788">
        <v>15</v>
      </c>
      <c r="L788" t="s">
        <v>19</v>
      </c>
    </row>
    <row r="789" spans="1:12" x14ac:dyDescent="0.3">
      <c r="A789" t="s">
        <v>937</v>
      </c>
      <c r="B789" s="1">
        <v>45193</v>
      </c>
      <c r="C789" t="s">
        <v>59</v>
      </c>
      <c r="D789" t="s">
        <v>60</v>
      </c>
      <c r="E789" t="s">
        <v>66</v>
      </c>
      <c r="F789" t="s">
        <v>67</v>
      </c>
      <c r="G789" t="s">
        <v>39</v>
      </c>
      <c r="H789" t="s">
        <v>68</v>
      </c>
      <c r="I789">
        <v>1</v>
      </c>
      <c r="J789">
        <v>32400</v>
      </c>
      <c r="K789">
        <v>0</v>
      </c>
      <c r="L789" t="s">
        <v>62</v>
      </c>
    </row>
    <row r="790" spans="1:12" x14ac:dyDescent="0.3">
      <c r="A790" t="s">
        <v>938</v>
      </c>
      <c r="B790" s="1">
        <v>45193</v>
      </c>
      <c r="C790" t="s">
        <v>147</v>
      </c>
      <c r="D790" t="s">
        <v>148</v>
      </c>
      <c r="E790" t="s">
        <v>66</v>
      </c>
      <c r="F790" t="s">
        <v>72</v>
      </c>
      <c r="G790" t="s">
        <v>17</v>
      </c>
      <c r="H790" t="s">
        <v>18</v>
      </c>
      <c r="I790">
        <v>1</v>
      </c>
      <c r="J790">
        <v>30600</v>
      </c>
      <c r="K790">
        <v>5</v>
      </c>
      <c r="L790" t="s">
        <v>33</v>
      </c>
    </row>
    <row r="791" spans="1:12" x14ac:dyDescent="0.3">
      <c r="A791" t="s">
        <v>939</v>
      </c>
      <c r="B791" s="1">
        <v>45193</v>
      </c>
      <c r="C791" t="s">
        <v>183</v>
      </c>
      <c r="D791" t="s">
        <v>27</v>
      </c>
      <c r="E791" t="s">
        <v>66</v>
      </c>
      <c r="F791" t="s">
        <v>92</v>
      </c>
      <c r="G791" t="s">
        <v>25</v>
      </c>
      <c r="H791" t="s">
        <v>26</v>
      </c>
      <c r="I791">
        <v>3</v>
      </c>
      <c r="J791">
        <v>1900</v>
      </c>
      <c r="K791">
        <v>25</v>
      </c>
      <c r="L791" t="s">
        <v>62</v>
      </c>
    </row>
    <row r="792" spans="1:12" x14ac:dyDescent="0.3">
      <c r="A792" t="s">
        <v>940</v>
      </c>
      <c r="B792" s="1">
        <v>45223</v>
      </c>
      <c r="C792" t="s">
        <v>59</v>
      </c>
      <c r="D792" t="s">
        <v>60</v>
      </c>
      <c r="E792" t="s">
        <v>81</v>
      </c>
      <c r="F792" t="s">
        <v>117</v>
      </c>
      <c r="G792" t="s">
        <v>97</v>
      </c>
      <c r="H792" t="s">
        <v>98</v>
      </c>
      <c r="I792">
        <v>1</v>
      </c>
      <c r="J792">
        <v>59000</v>
      </c>
      <c r="K792">
        <v>10</v>
      </c>
      <c r="L792" t="s">
        <v>62</v>
      </c>
    </row>
    <row r="793" spans="1:12" x14ac:dyDescent="0.3">
      <c r="A793" t="s">
        <v>941</v>
      </c>
      <c r="B793" s="1">
        <v>45223</v>
      </c>
      <c r="C793" t="s">
        <v>210</v>
      </c>
      <c r="D793" t="s">
        <v>211</v>
      </c>
      <c r="E793" t="s">
        <v>15</v>
      </c>
      <c r="F793" t="s">
        <v>128</v>
      </c>
      <c r="G793" t="s">
        <v>25</v>
      </c>
      <c r="H793" t="s">
        <v>212</v>
      </c>
      <c r="I793">
        <v>2</v>
      </c>
      <c r="J793">
        <v>1800</v>
      </c>
      <c r="K793">
        <v>10</v>
      </c>
      <c r="L793" t="s">
        <v>19</v>
      </c>
    </row>
    <row r="794" spans="1:12" x14ac:dyDescent="0.3">
      <c r="A794" t="s">
        <v>942</v>
      </c>
      <c r="B794" s="1">
        <v>45254</v>
      </c>
      <c r="C794" t="s">
        <v>75</v>
      </c>
      <c r="D794" t="s">
        <v>76</v>
      </c>
      <c r="E794" t="s">
        <v>23</v>
      </c>
      <c r="F794" t="s">
        <v>24</v>
      </c>
      <c r="G794" t="s">
        <v>45</v>
      </c>
      <c r="H794" t="s">
        <v>46</v>
      </c>
      <c r="I794">
        <v>1</v>
      </c>
      <c r="J794">
        <v>34000</v>
      </c>
      <c r="K794">
        <v>5</v>
      </c>
      <c r="L794" t="s">
        <v>19</v>
      </c>
    </row>
    <row r="795" spans="1:12" x14ac:dyDescent="0.3">
      <c r="A795" t="s">
        <v>943</v>
      </c>
      <c r="B795" s="1">
        <v>45284</v>
      </c>
      <c r="C795" t="s">
        <v>64</v>
      </c>
      <c r="D795" t="s">
        <v>65</v>
      </c>
      <c r="E795" t="s">
        <v>15</v>
      </c>
      <c r="F795" t="s">
        <v>128</v>
      </c>
      <c r="G795" t="s">
        <v>97</v>
      </c>
      <c r="H795" t="s">
        <v>154</v>
      </c>
      <c r="I795">
        <v>1</v>
      </c>
      <c r="J795">
        <v>49900</v>
      </c>
      <c r="K795">
        <v>10</v>
      </c>
      <c r="L795" t="s">
        <v>53</v>
      </c>
    </row>
    <row r="796" spans="1:12" x14ac:dyDescent="0.3">
      <c r="A796" t="s">
        <v>944</v>
      </c>
      <c r="B796" s="1">
        <v>45284</v>
      </c>
      <c r="C796" t="s">
        <v>29</v>
      </c>
      <c r="D796" t="s">
        <v>30</v>
      </c>
      <c r="E796" t="s">
        <v>81</v>
      </c>
      <c r="F796" t="s">
        <v>82</v>
      </c>
      <c r="G796" t="s">
        <v>45</v>
      </c>
      <c r="H796" t="s">
        <v>46</v>
      </c>
      <c r="I796">
        <v>1</v>
      </c>
      <c r="J796">
        <v>30700</v>
      </c>
      <c r="K796">
        <v>25</v>
      </c>
      <c r="L796" t="s">
        <v>73</v>
      </c>
    </row>
    <row r="797" spans="1:12" x14ac:dyDescent="0.3">
      <c r="A797" t="s">
        <v>945</v>
      </c>
      <c r="B797" s="1">
        <v>44951</v>
      </c>
      <c r="C797" t="s">
        <v>163</v>
      </c>
      <c r="D797" t="s">
        <v>73</v>
      </c>
      <c r="E797" t="s">
        <v>37</v>
      </c>
      <c r="F797" t="s">
        <v>141</v>
      </c>
      <c r="G797" t="s">
        <v>39</v>
      </c>
      <c r="H797" t="s">
        <v>68</v>
      </c>
      <c r="I797">
        <v>1</v>
      </c>
      <c r="J797">
        <v>15500</v>
      </c>
      <c r="K797">
        <v>0</v>
      </c>
      <c r="L797" t="s">
        <v>73</v>
      </c>
    </row>
    <row r="798" spans="1:12" x14ac:dyDescent="0.3">
      <c r="A798" t="s">
        <v>946</v>
      </c>
      <c r="B798" s="1">
        <v>44951</v>
      </c>
      <c r="C798" t="s">
        <v>79</v>
      </c>
      <c r="D798" t="s">
        <v>80</v>
      </c>
      <c r="E798" t="s">
        <v>81</v>
      </c>
      <c r="F798" t="s">
        <v>160</v>
      </c>
      <c r="G798" t="s">
        <v>97</v>
      </c>
      <c r="H798" t="s">
        <v>98</v>
      </c>
      <c r="I798">
        <v>2</v>
      </c>
      <c r="J798">
        <v>37700</v>
      </c>
      <c r="K798">
        <v>10</v>
      </c>
      <c r="L798" t="s">
        <v>73</v>
      </c>
    </row>
    <row r="799" spans="1:12" x14ac:dyDescent="0.3">
      <c r="A799" t="s">
        <v>947</v>
      </c>
      <c r="B799" s="1">
        <v>44982</v>
      </c>
      <c r="C799" t="s">
        <v>75</v>
      </c>
      <c r="D799" t="s">
        <v>76</v>
      </c>
      <c r="E799" t="s">
        <v>37</v>
      </c>
      <c r="F799" t="s">
        <v>38</v>
      </c>
      <c r="G799" t="s">
        <v>17</v>
      </c>
      <c r="H799" t="s">
        <v>18</v>
      </c>
      <c r="I799">
        <v>1</v>
      </c>
      <c r="J799">
        <v>34000</v>
      </c>
      <c r="K799">
        <v>15</v>
      </c>
      <c r="L799" t="s">
        <v>27</v>
      </c>
    </row>
    <row r="800" spans="1:12" x14ac:dyDescent="0.3">
      <c r="A800" t="s">
        <v>948</v>
      </c>
      <c r="B800" s="1">
        <v>44982</v>
      </c>
      <c r="C800" t="s">
        <v>84</v>
      </c>
      <c r="D800" t="s">
        <v>85</v>
      </c>
      <c r="E800" t="s">
        <v>66</v>
      </c>
      <c r="F800" t="s">
        <v>87</v>
      </c>
      <c r="G800" t="s">
        <v>17</v>
      </c>
      <c r="H800" t="s">
        <v>168</v>
      </c>
      <c r="I800">
        <v>1</v>
      </c>
      <c r="J800">
        <v>45100</v>
      </c>
      <c r="K800">
        <v>25</v>
      </c>
      <c r="L800" t="s">
        <v>62</v>
      </c>
    </row>
    <row r="801" spans="1:12" x14ac:dyDescent="0.3">
      <c r="A801" t="s">
        <v>949</v>
      </c>
      <c r="B801" s="1">
        <v>45010</v>
      </c>
      <c r="C801" t="s">
        <v>130</v>
      </c>
      <c r="D801" t="s">
        <v>53</v>
      </c>
      <c r="E801" t="s">
        <v>66</v>
      </c>
      <c r="F801" t="s">
        <v>72</v>
      </c>
      <c r="G801" t="s">
        <v>17</v>
      </c>
      <c r="H801" t="s">
        <v>18</v>
      </c>
      <c r="I801">
        <v>1</v>
      </c>
      <c r="J801">
        <v>48800</v>
      </c>
      <c r="K801">
        <v>25</v>
      </c>
      <c r="L801" t="s">
        <v>62</v>
      </c>
    </row>
    <row r="802" spans="1:12" x14ac:dyDescent="0.3">
      <c r="A802" t="s">
        <v>950</v>
      </c>
      <c r="B802" s="1">
        <v>45010</v>
      </c>
      <c r="C802" t="s">
        <v>188</v>
      </c>
      <c r="D802" t="s">
        <v>189</v>
      </c>
      <c r="E802" t="s">
        <v>37</v>
      </c>
      <c r="F802" t="s">
        <v>38</v>
      </c>
      <c r="G802" t="s">
        <v>25</v>
      </c>
      <c r="H802" t="s">
        <v>26</v>
      </c>
      <c r="I802">
        <v>2</v>
      </c>
      <c r="J802">
        <v>1400</v>
      </c>
      <c r="K802">
        <v>10</v>
      </c>
      <c r="L802" t="s">
        <v>33</v>
      </c>
    </row>
    <row r="803" spans="1:12" x14ac:dyDescent="0.3">
      <c r="A803" t="s">
        <v>951</v>
      </c>
      <c r="B803" s="1">
        <v>45041</v>
      </c>
      <c r="C803" t="s">
        <v>95</v>
      </c>
      <c r="D803" t="s">
        <v>96</v>
      </c>
      <c r="E803" t="s">
        <v>37</v>
      </c>
      <c r="F803" t="s">
        <v>61</v>
      </c>
      <c r="G803" t="s">
        <v>45</v>
      </c>
      <c r="H803" t="s">
        <v>156</v>
      </c>
      <c r="I803">
        <v>1</v>
      </c>
      <c r="J803">
        <v>48900</v>
      </c>
      <c r="K803">
        <v>0</v>
      </c>
      <c r="L803" t="s">
        <v>53</v>
      </c>
    </row>
    <row r="804" spans="1:12" x14ac:dyDescent="0.3">
      <c r="A804" t="s">
        <v>952</v>
      </c>
      <c r="B804" s="1">
        <v>45041</v>
      </c>
      <c r="C804" t="s">
        <v>115</v>
      </c>
      <c r="D804" t="s">
        <v>116</v>
      </c>
      <c r="E804" t="s">
        <v>23</v>
      </c>
      <c r="F804" t="s">
        <v>24</v>
      </c>
      <c r="G804" t="s">
        <v>45</v>
      </c>
      <c r="H804" t="s">
        <v>156</v>
      </c>
      <c r="I804">
        <v>1</v>
      </c>
      <c r="J804">
        <v>20000</v>
      </c>
      <c r="K804">
        <v>20</v>
      </c>
      <c r="L804" t="s">
        <v>27</v>
      </c>
    </row>
    <row r="805" spans="1:12" x14ac:dyDescent="0.3">
      <c r="A805" t="s">
        <v>953</v>
      </c>
      <c r="B805" s="1">
        <v>45071</v>
      </c>
      <c r="C805" t="s">
        <v>115</v>
      </c>
      <c r="D805" t="s">
        <v>116</v>
      </c>
      <c r="E805" t="s">
        <v>66</v>
      </c>
      <c r="F805" t="s">
        <v>72</v>
      </c>
      <c r="G805" t="s">
        <v>45</v>
      </c>
      <c r="H805" t="s">
        <v>207</v>
      </c>
      <c r="I805">
        <v>1</v>
      </c>
      <c r="J805">
        <v>46100</v>
      </c>
      <c r="K805">
        <v>0</v>
      </c>
      <c r="L805" t="s">
        <v>62</v>
      </c>
    </row>
    <row r="806" spans="1:12" x14ac:dyDescent="0.3">
      <c r="A806" t="s">
        <v>954</v>
      </c>
      <c r="B806" s="1">
        <v>45071</v>
      </c>
      <c r="C806" t="s">
        <v>29</v>
      </c>
      <c r="D806" t="s">
        <v>30</v>
      </c>
      <c r="E806" t="s">
        <v>23</v>
      </c>
      <c r="F806" t="s">
        <v>24</v>
      </c>
      <c r="G806" t="s">
        <v>25</v>
      </c>
      <c r="H806" t="s">
        <v>32</v>
      </c>
      <c r="I806">
        <v>1</v>
      </c>
      <c r="J806">
        <v>1600</v>
      </c>
      <c r="K806">
        <v>25</v>
      </c>
      <c r="L806" t="s">
        <v>47</v>
      </c>
    </row>
    <row r="807" spans="1:12" x14ac:dyDescent="0.3">
      <c r="A807" t="s">
        <v>955</v>
      </c>
      <c r="B807" s="1">
        <v>45102</v>
      </c>
      <c r="C807" t="s">
        <v>244</v>
      </c>
      <c r="D807" t="s">
        <v>245</v>
      </c>
      <c r="E807" t="s">
        <v>37</v>
      </c>
      <c r="F807" t="s">
        <v>141</v>
      </c>
      <c r="G807" t="s">
        <v>45</v>
      </c>
      <c r="H807" t="s">
        <v>52</v>
      </c>
      <c r="I807">
        <v>1</v>
      </c>
      <c r="J807">
        <v>38400</v>
      </c>
      <c r="K807">
        <v>0</v>
      </c>
      <c r="L807" t="s">
        <v>62</v>
      </c>
    </row>
    <row r="808" spans="1:12" x14ac:dyDescent="0.3">
      <c r="A808" t="s">
        <v>956</v>
      </c>
      <c r="B808" s="1">
        <v>45163</v>
      </c>
      <c r="C808" t="s">
        <v>232</v>
      </c>
      <c r="D808" t="s">
        <v>233</v>
      </c>
      <c r="E808" t="s">
        <v>23</v>
      </c>
      <c r="F808" t="s">
        <v>51</v>
      </c>
      <c r="G808" t="s">
        <v>25</v>
      </c>
      <c r="H808" t="s">
        <v>124</v>
      </c>
      <c r="I808">
        <v>2</v>
      </c>
      <c r="J808">
        <v>2200</v>
      </c>
      <c r="K808">
        <v>20</v>
      </c>
      <c r="L808" t="s">
        <v>27</v>
      </c>
    </row>
    <row r="809" spans="1:12" x14ac:dyDescent="0.3">
      <c r="A809" t="s">
        <v>957</v>
      </c>
      <c r="B809" s="1">
        <v>45163</v>
      </c>
      <c r="C809" t="s">
        <v>70</v>
      </c>
      <c r="D809" t="s">
        <v>71</v>
      </c>
      <c r="E809" t="s">
        <v>66</v>
      </c>
      <c r="F809" t="s">
        <v>67</v>
      </c>
      <c r="G809" t="s">
        <v>39</v>
      </c>
      <c r="H809" t="s">
        <v>40</v>
      </c>
      <c r="I809">
        <v>1</v>
      </c>
      <c r="J809">
        <v>20000</v>
      </c>
      <c r="K809">
        <v>25</v>
      </c>
      <c r="L809" t="s">
        <v>103</v>
      </c>
    </row>
    <row r="810" spans="1:12" x14ac:dyDescent="0.3">
      <c r="A810" t="s">
        <v>958</v>
      </c>
      <c r="B810" s="1">
        <v>45163</v>
      </c>
      <c r="C810" t="s">
        <v>183</v>
      </c>
      <c r="D810" t="s">
        <v>27</v>
      </c>
      <c r="E810" t="s">
        <v>37</v>
      </c>
      <c r="F810" t="s">
        <v>61</v>
      </c>
      <c r="G810" t="s">
        <v>45</v>
      </c>
      <c r="H810" t="s">
        <v>46</v>
      </c>
      <c r="I810">
        <v>1</v>
      </c>
      <c r="J810">
        <v>27800</v>
      </c>
      <c r="K810">
        <v>20</v>
      </c>
      <c r="L810" t="s">
        <v>27</v>
      </c>
    </row>
    <row r="811" spans="1:12" x14ac:dyDescent="0.3">
      <c r="A811" t="s">
        <v>959</v>
      </c>
      <c r="B811" s="1">
        <v>45194</v>
      </c>
      <c r="C811" t="s">
        <v>232</v>
      </c>
      <c r="D811" t="s">
        <v>233</v>
      </c>
      <c r="E811" t="s">
        <v>81</v>
      </c>
      <c r="F811" t="s">
        <v>110</v>
      </c>
      <c r="G811" t="s">
        <v>25</v>
      </c>
      <c r="H811" t="s">
        <v>212</v>
      </c>
      <c r="I811">
        <v>2</v>
      </c>
      <c r="J811">
        <v>2000</v>
      </c>
      <c r="K811">
        <v>25</v>
      </c>
      <c r="L811" t="s">
        <v>53</v>
      </c>
    </row>
    <row r="812" spans="1:12" x14ac:dyDescent="0.3">
      <c r="A812" t="s">
        <v>960</v>
      </c>
      <c r="B812" s="1">
        <v>45194</v>
      </c>
      <c r="C812" t="s">
        <v>176</v>
      </c>
      <c r="D812" t="s">
        <v>177</v>
      </c>
      <c r="E812" t="s">
        <v>37</v>
      </c>
      <c r="F812" t="s">
        <v>61</v>
      </c>
      <c r="G812" t="s">
        <v>25</v>
      </c>
      <c r="H812" t="s">
        <v>124</v>
      </c>
      <c r="I812">
        <v>3</v>
      </c>
      <c r="J812">
        <v>2200</v>
      </c>
      <c r="K812">
        <v>0</v>
      </c>
      <c r="L812" t="s">
        <v>73</v>
      </c>
    </row>
    <row r="813" spans="1:12" x14ac:dyDescent="0.3">
      <c r="A813" t="s">
        <v>961</v>
      </c>
      <c r="B813" s="1">
        <v>45224</v>
      </c>
      <c r="C813" t="s">
        <v>244</v>
      </c>
      <c r="D813" t="s">
        <v>245</v>
      </c>
      <c r="E813" t="s">
        <v>23</v>
      </c>
      <c r="F813" t="s">
        <v>31</v>
      </c>
      <c r="G813" t="s">
        <v>45</v>
      </c>
      <c r="H813" t="s">
        <v>52</v>
      </c>
      <c r="I813">
        <v>1</v>
      </c>
      <c r="J813">
        <v>24700</v>
      </c>
      <c r="K813">
        <v>0</v>
      </c>
      <c r="L813" t="s">
        <v>47</v>
      </c>
    </row>
    <row r="814" spans="1:12" x14ac:dyDescent="0.3">
      <c r="A814" t="s">
        <v>962</v>
      </c>
      <c r="B814" s="1">
        <v>45224</v>
      </c>
      <c r="C814" t="s">
        <v>95</v>
      </c>
      <c r="D814" t="s">
        <v>96</v>
      </c>
      <c r="E814" t="s">
        <v>37</v>
      </c>
      <c r="F814" t="s">
        <v>61</v>
      </c>
      <c r="G814" t="s">
        <v>17</v>
      </c>
      <c r="H814" t="s">
        <v>18</v>
      </c>
      <c r="I814">
        <v>1</v>
      </c>
      <c r="J814">
        <v>43100</v>
      </c>
      <c r="K814">
        <v>15</v>
      </c>
      <c r="L814" t="s">
        <v>73</v>
      </c>
    </row>
    <row r="815" spans="1:12" x14ac:dyDescent="0.3">
      <c r="A815" t="s">
        <v>963</v>
      </c>
      <c r="B815" s="1">
        <v>45224</v>
      </c>
      <c r="C815" t="s">
        <v>183</v>
      </c>
      <c r="D815" t="s">
        <v>27</v>
      </c>
      <c r="E815" t="s">
        <v>66</v>
      </c>
      <c r="F815" t="s">
        <v>92</v>
      </c>
      <c r="G815" t="s">
        <v>45</v>
      </c>
      <c r="H815" t="s">
        <v>46</v>
      </c>
      <c r="I815">
        <v>1</v>
      </c>
      <c r="J815">
        <v>37700</v>
      </c>
      <c r="K815">
        <v>5</v>
      </c>
      <c r="L815" t="s">
        <v>47</v>
      </c>
    </row>
    <row r="816" spans="1:12" x14ac:dyDescent="0.3">
      <c r="A816" t="s">
        <v>964</v>
      </c>
      <c r="B816" s="1">
        <v>45255</v>
      </c>
      <c r="C816" t="s">
        <v>21</v>
      </c>
      <c r="D816" t="s">
        <v>22</v>
      </c>
      <c r="E816" t="s">
        <v>15</v>
      </c>
      <c r="F816" t="s">
        <v>16</v>
      </c>
      <c r="G816" t="s">
        <v>17</v>
      </c>
      <c r="H816" t="s">
        <v>18</v>
      </c>
      <c r="I816">
        <v>1</v>
      </c>
      <c r="J816">
        <v>52900</v>
      </c>
      <c r="K816">
        <v>10</v>
      </c>
      <c r="L816" t="s">
        <v>103</v>
      </c>
    </row>
    <row r="817" spans="1:12" x14ac:dyDescent="0.3">
      <c r="A817" t="s">
        <v>965</v>
      </c>
      <c r="B817" s="1">
        <v>45255</v>
      </c>
      <c r="C817" t="s">
        <v>163</v>
      </c>
      <c r="D817" t="s">
        <v>73</v>
      </c>
      <c r="E817" t="s">
        <v>15</v>
      </c>
      <c r="F817" t="s">
        <v>119</v>
      </c>
      <c r="G817" t="s">
        <v>39</v>
      </c>
      <c r="H817" t="s">
        <v>40</v>
      </c>
      <c r="I817">
        <v>1</v>
      </c>
      <c r="J817">
        <v>17500</v>
      </c>
      <c r="K817">
        <v>0</v>
      </c>
      <c r="L817" t="s">
        <v>47</v>
      </c>
    </row>
    <row r="818" spans="1:12" x14ac:dyDescent="0.3">
      <c r="A818" t="s">
        <v>966</v>
      </c>
      <c r="B818" s="1">
        <v>45285</v>
      </c>
      <c r="C818" t="s">
        <v>143</v>
      </c>
      <c r="D818" t="s">
        <v>144</v>
      </c>
      <c r="E818" t="s">
        <v>23</v>
      </c>
      <c r="F818" t="s">
        <v>31</v>
      </c>
      <c r="G818" t="s">
        <v>39</v>
      </c>
      <c r="H818" t="s">
        <v>68</v>
      </c>
      <c r="I818">
        <v>1</v>
      </c>
      <c r="J818">
        <v>25200</v>
      </c>
      <c r="K818">
        <v>15</v>
      </c>
      <c r="L818" t="s">
        <v>47</v>
      </c>
    </row>
    <row r="819" spans="1:12" x14ac:dyDescent="0.3">
      <c r="A819" t="s">
        <v>967</v>
      </c>
      <c r="B819" s="1">
        <v>44952</v>
      </c>
      <c r="C819" t="s">
        <v>55</v>
      </c>
      <c r="D819" t="s">
        <v>56</v>
      </c>
      <c r="E819" t="s">
        <v>15</v>
      </c>
      <c r="F819" t="s">
        <v>128</v>
      </c>
      <c r="G819" t="s">
        <v>97</v>
      </c>
      <c r="H819" t="s">
        <v>133</v>
      </c>
      <c r="I819">
        <v>1</v>
      </c>
      <c r="J819">
        <v>51100</v>
      </c>
      <c r="K819">
        <v>0</v>
      </c>
      <c r="L819" t="s">
        <v>53</v>
      </c>
    </row>
    <row r="820" spans="1:12" x14ac:dyDescent="0.3">
      <c r="A820" t="s">
        <v>968</v>
      </c>
      <c r="B820" s="1">
        <v>44952</v>
      </c>
      <c r="C820" t="s">
        <v>59</v>
      </c>
      <c r="D820" t="s">
        <v>60</v>
      </c>
      <c r="E820" t="s">
        <v>15</v>
      </c>
      <c r="F820" t="s">
        <v>131</v>
      </c>
      <c r="G820" t="s">
        <v>97</v>
      </c>
      <c r="H820" t="s">
        <v>171</v>
      </c>
      <c r="I820">
        <v>1</v>
      </c>
      <c r="J820">
        <v>55400</v>
      </c>
      <c r="K820">
        <v>0</v>
      </c>
      <c r="L820" t="s">
        <v>73</v>
      </c>
    </row>
    <row r="821" spans="1:12" x14ac:dyDescent="0.3">
      <c r="A821" t="s">
        <v>969</v>
      </c>
      <c r="B821" s="1">
        <v>44952</v>
      </c>
      <c r="C821" t="s">
        <v>70</v>
      </c>
      <c r="D821" t="s">
        <v>71</v>
      </c>
      <c r="E821" t="s">
        <v>81</v>
      </c>
      <c r="F821" t="s">
        <v>110</v>
      </c>
      <c r="G821" t="s">
        <v>45</v>
      </c>
      <c r="H821" t="s">
        <v>46</v>
      </c>
      <c r="I821">
        <v>1</v>
      </c>
      <c r="J821">
        <v>25100</v>
      </c>
      <c r="K821">
        <v>15</v>
      </c>
      <c r="L821" t="s">
        <v>53</v>
      </c>
    </row>
    <row r="822" spans="1:12" x14ac:dyDescent="0.3">
      <c r="A822" t="s">
        <v>970</v>
      </c>
      <c r="B822" s="1">
        <v>44952</v>
      </c>
      <c r="C822" t="s">
        <v>236</v>
      </c>
      <c r="D822" t="s">
        <v>237</v>
      </c>
      <c r="E822" t="s">
        <v>37</v>
      </c>
      <c r="F822" t="s">
        <v>101</v>
      </c>
      <c r="G822" t="s">
        <v>25</v>
      </c>
      <c r="H822" t="s">
        <v>26</v>
      </c>
      <c r="I822">
        <v>1</v>
      </c>
      <c r="J822">
        <v>1600</v>
      </c>
      <c r="K822">
        <v>0</v>
      </c>
      <c r="L822" t="s">
        <v>103</v>
      </c>
    </row>
    <row r="823" spans="1:12" x14ac:dyDescent="0.3">
      <c r="A823" t="s">
        <v>971</v>
      </c>
      <c r="B823" s="1">
        <v>44952</v>
      </c>
      <c r="C823" t="s">
        <v>143</v>
      </c>
      <c r="D823" t="s">
        <v>144</v>
      </c>
      <c r="E823" t="s">
        <v>15</v>
      </c>
      <c r="F823" t="s">
        <v>128</v>
      </c>
      <c r="G823" t="s">
        <v>39</v>
      </c>
      <c r="H823" t="s">
        <v>68</v>
      </c>
      <c r="I823">
        <v>1</v>
      </c>
      <c r="J823">
        <v>25200</v>
      </c>
      <c r="K823">
        <v>10</v>
      </c>
      <c r="L823" t="s">
        <v>19</v>
      </c>
    </row>
    <row r="824" spans="1:12" x14ac:dyDescent="0.3">
      <c r="A824" t="s">
        <v>972</v>
      </c>
      <c r="B824" s="1">
        <v>44983</v>
      </c>
      <c r="C824" t="s">
        <v>244</v>
      </c>
      <c r="D824" t="s">
        <v>245</v>
      </c>
      <c r="E824" t="s">
        <v>15</v>
      </c>
      <c r="F824" t="s">
        <v>128</v>
      </c>
      <c r="G824" t="s">
        <v>25</v>
      </c>
      <c r="H824" t="s">
        <v>124</v>
      </c>
      <c r="I824">
        <v>2</v>
      </c>
      <c r="J824">
        <v>800</v>
      </c>
      <c r="K824">
        <v>5</v>
      </c>
      <c r="L824" t="s">
        <v>103</v>
      </c>
    </row>
    <row r="825" spans="1:12" x14ac:dyDescent="0.3">
      <c r="A825" t="s">
        <v>973</v>
      </c>
      <c r="B825" s="1">
        <v>44983</v>
      </c>
      <c r="C825" t="s">
        <v>55</v>
      </c>
      <c r="D825" t="s">
        <v>56</v>
      </c>
      <c r="E825" t="s">
        <v>37</v>
      </c>
      <c r="F825" t="s">
        <v>61</v>
      </c>
      <c r="G825" t="s">
        <v>45</v>
      </c>
      <c r="H825" t="s">
        <v>156</v>
      </c>
      <c r="I825">
        <v>1</v>
      </c>
      <c r="J825">
        <v>29000</v>
      </c>
      <c r="K825">
        <v>0</v>
      </c>
      <c r="L825" t="s">
        <v>47</v>
      </c>
    </row>
    <row r="826" spans="1:12" x14ac:dyDescent="0.3">
      <c r="A826" t="s">
        <v>974</v>
      </c>
      <c r="B826" s="1">
        <v>44983</v>
      </c>
      <c r="C826" t="s">
        <v>90</v>
      </c>
      <c r="D826" t="s">
        <v>91</v>
      </c>
      <c r="E826" t="s">
        <v>66</v>
      </c>
      <c r="F826" t="s">
        <v>72</v>
      </c>
      <c r="G826" t="s">
        <v>25</v>
      </c>
      <c r="H826" t="s">
        <v>32</v>
      </c>
      <c r="I826">
        <v>3</v>
      </c>
      <c r="J826">
        <v>2700</v>
      </c>
      <c r="K826">
        <v>10</v>
      </c>
      <c r="L826" t="s">
        <v>47</v>
      </c>
    </row>
    <row r="827" spans="1:12" x14ac:dyDescent="0.3">
      <c r="A827" t="s">
        <v>975</v>
      </c>
      <c r="B827" s="1">
        <v>44983</v>
      </c>
      <c r="C827" t="s">
        <v>79</v>
      </c>
      <c r="D827" t="s">
        <v>80</v>
      </c>
      <c r="E827" t="s">
        <v>81</v>
      </c>
      <c r="F827" t="s">
        <v>82</v>
      </c>
      <c r="G827" t="s">
        <v>17</v>
      </c>
      <c r="H827" t="s">
        <v>77</v>
      </c>
      <c r="I827">
        <v>1</v>
      </c>
      <c r="J827">
        <v>42800</v>
      </c>
      <c r="K827">
        <v>25</v>
      </c>
      <c r="L827" t="s">
        <v>53</v>
      </c>
    </row>
    <row r="828" spans="1:12" x14ac:dyDescent="0.3">
      <c r="A828" t="s">
        <v>976</v>
      </c>
      <c r="B828" s="1">
        <v>44983</v>
      </c>
      <c r="C828" t="s">
        <v>210</v>
      </c>
      <c r="D828" t="s">
        <v>211</v>
      </c>
      <c r="E828" t="s">
        <v>15</v>
      </c>
      <c r="F828" t="s">
        <v>16</v>
      </c>
      <c r="G828" t="s">
        <v>97</v>
      </c>
      <c r="H828" t="s">
        <v>98</v>
      </c>
      <c r="I828">
        <v>2</v>
      </c>
      <c r="J828">
        <v>77700</v>
      </c>
      <c r="K828">
        <v>10</v>
      </c>
      <c r="L828" t="s">
        <v>19</v>
      </c>
    </row>
    <row r="829" spans="1:12" x14ac:dyDescent="0.3">
      <c r="A829" t="s">
        <v>977</v>
      </c>
      <c r="B829" s="1">
        <v>45011</v>
      </c>
      <c r="C829" t="s">
        <v>284</v>
      </c>
      <c r="D829" t="s">
        <v>285</v>
      </c>
      <c r="E829" t="s">
        <v>66</v>
      </c>
      <c r="F829" t="s">
        <v>72</v>
      </c>
      <c r="G829" t="s">
        <v>45</v>
      </c>
      <c r="H829" t="s">
        <v>156</v>
      </c>
      <c r="I829">
        <v>1</v>
      </c>
      <c r="J829">
        <v>45600</v>
      </c>
      <c r="K829">
        <v>0</v>
      </c>
      <c r="L829" t="s">
        <v>53</v>
      </c>
    </row>
    <row r="830" spans="1:12" x14ac:dyDescent="0.3">
      <c r="A830" t="s">
        <v>978</v>
      </c>
      <c r="B830" s="1">
        <v>45011</v>
      </c>
      <c r="C830" t="s">
        <v>180</v>
      </c>
      <c r="D830" t="s">
        <v>181</v>
      </c>
      <c r="E830" t="s">
        <v>81</v>
      </c>
      <c r="F830" t="s">
        <v>110</v>
      </c>
      <c r="G830" t="s">
        <v>97</v>
      </c>
      <c r="H830" t="s">
        <v>171</v>
      </c>
      <c r="I830">
        <v>1</v>
      </c>
      <c r="J830">
        <v>80000</v>
      </c>
      <c r="K830">
        <v>25</v>
      </c>
      <c r="L830" t="s">
        <v>19</v>
      </c>
    </row>
    <row r="831" spans="1:12" x14ac:dyDescent="0.3">
      <c r="A831" t="s">
        <v>979</v>
      </c>
      <c r="B831" s="1">
        <v>45011</v>
      </c>
      <c r="C831" t="s">
        <v>122</v>
      </c>
      <c r="D831" t="s">
        <v>123</v>
      </c>
      <c r="E831" t="s">
        <v>81</v>
      </c>
      <c r="F831" t="s">
        <v>160</v>
      </c>
      <c r="G831" t="s">
        <v>25</v>
      </c>
      <c r="H831" t="s">
        <v>26</v>
      </c>
      <c r="I831">
        <v>2</v>
      </c>
      <c r="J831">
        <v>2100</v>
      </c>
      <c r="K831">
        <v>15</v>
      </c>
      <c r="L831" t="s">
        <v>27</v>
      </c>
    </row>
    <row r="832" spans="1:12" x14ac:dyDescent="0.3">
      <c r="A832" t="s">
        <v>980</v>
      </c>
      <c r="B832" s="1">
        <v>45011</v>
      </c>
      <c r="C832" t="s">
        <v>105</v>
      </c>
      <c r="D832" t="s">
        <v>106</v>
      </c>
      <c r="E832" t="s">
        <v>15</v>
      </c>
      <c r="F832" t="s">
        <v>128</v>
      </c>
      <c r="G832" t="s">
        <v>17</v>
      </c>
      <c r="H832" t="s">
        <v>196</v>
      </c>
      <c r="I832">
        <v>1</v>
      </c>
      <c r="J832">
        <v>28700</v>
      </c>
      <c r="K832">
        <v>0</v>
      </c>
      <c r="L832" t="s">
        <v>53</v>
      </c>
    </row>
    <row r="833" spans="1:12" x14ac:dyDescent="0.3">
      <c r="A833" t="s">
        <v>981</v>
      </c>
      <c r="B833" s="1">
        <v>45042</v>
      </c>
      <c r="C833" t="s">
        <v>59</v>
      </c>
      <c r="D833" t="s">
        <v>60</v>
      </c>
      <c r="E833" t="s">
        <v>81</v>
      </c>
      <c r="F833" t="s">
        <v>117</v>
      </c>
      <c r="G833" t="s">
        <v>25</v>
      </c>
      <c r="H833" t="s">
        <v>26</v>
      </c>
      <c r="I833">
        <v>2</v>
      </c>
      <c r="J833">
        <v>2000</v>
      </c>
      <c r="K833">
        <v>20</v>
      </c>
      <c r="L833" t="s">
        <v>27</v>
      </c>
    </row>
    <row r="834" spans="1:12" x14ac:dyDescent="0.3">
      <c r="A834" t="s">
        <v>982</v>
      </c>
      <c r="B834" s="1">
        <v>45042</v>
      </c>
      <c r="C834" t="s">
        <v>95</v>
      </c>
      <c r="D834" t="s">
        <v>96</v>
      </c>
      <c r="E834" t="s">
        <v>15</v>
      </c>
      <c r="F834" t="s">
        <v>131</v>
      </c>
      <c r="G834" t="s">
        <v>39</v>
      </c>
      <c r="H834" t="s">
        <v>102</v>
      </c>
      <c r="I834">
        <v>1</v>
      </c>
      <c r="J834">
        <v>18300</v>
      </c>
      <c r="K834">
        <v>25</v>
      </c>
      <c r="L834" t="s">
        <v>47</v>
      </c>
    </row>
    <row r="835" spans="1:12" x14ac:dyDescent="0.3">
      <c r="A835" t="s">
        <v>983</v>
      </c>
      <c r="B835" s="1">
        <v>45042</v>
      </c>
      <c r="C835" t="s">
        <v>203</v>
      </c>
      <c r="D835" t="s">
        <v>204</v>
      </c>
      <c r="E835" t="s">
        <v>37</v>
      </c>
      <c r="F835" t="s">
        <v>38</v>
      </c>
      <c r="G835" t="s">
        <v>97</v>
      </c>
      <c r="H835" t="s">
        <v>174</v>
      </c>
      <c r="I835">
        <v>1</v>
      </c>
      <c r="J835">
        <v>47300</v>
      </c>
      <c r="K835">
        <v>5</v>
      </c>
      <c r="L835" t="s">
        <v>19</v>
      </c>
    </row>
    <row r="836" spans="1:12" x14ac:dyDescent="0.3">
      <c r="A836" t="s">
        <v>984</v>
      </c>
      <c r="B836" s="1">
        <v>45042</v>
      </c>
      <c r="C836" t="s">
        <v>151</v>
      </c>
      <c r="D836" t="s">
        <v>152</v>
      </c>
      <c r="E836" t="s">
        <v>81</v>
      </c>
      <c r="F836" t="s">
        <v>82</v>
      </c>
      <c r="G836" t="s">
        <v>17</v>
      </c>
      <c r="H836" t="s">
        <v>88</v>
      </c>
      <c r="I836">
        <v>1</v>
      </c>
      <c r="J836">
        <v>33100</v>
      </c>
      <c r="K836">
        <v>0</v>
      </c>
      <c r="L836" t="s">
        <v>27</v>
      </c>
    </row>
    <row r="837" spans="1:12" x14ac:dyDescent="0.3">
      <c r="A837" t="s">
        <v>985</v>
      </c>
      <c r="B837" s="1">
        <v>45072</v>
      </c>
      <c r="C837" t="s">
        <v>90</v>
      </c>
      <c r="D837" t="s">
        <v>91</v>
      </c>
      <c r="E837" t="s">
        <v>15</v>
      </c>
      <c r="F837" t="s">
        <v>119</v>
      </c>
      <c r="G837" t="s">
        <v>39</v>
      </c>
      <c r="H837" t="s">
        <v>40</v>
      </c>
      <c r="I837">
        <v>1</v>
      </c>
      <c r="J837">
        <v>19000</v>
      </c>
      <c r="K837">
        <v>0</v>
      </c>
      <c r="L837" t="s">
        <v>27</v>
      </c>
    </row>
    <row r="838" spans="1:12" x14ac:dyDescent="0.3">
      <c r="A838" t="s">
        <v>986</v>
      </c>
      <c r="B838" s="1">
        <v>45103</v>
      </c>
      <c r="C838" t="s">
        <v>135</v>
      </c>
      <c r="D838" t="s">
        <v>136</v>
      </c>
      <c r="E838" t="s">
        <v>15</v>
      </c>
      <c r="F838" t="s">
        <v>16</v>
      </c>
      <c r="G838" t="s">
        <v>25</v>
      </c>
      <c r="H838" t="s">
        <v>124</v>
      </c>
      <c r="I838">
        <v>2</v>
      </c>
      <c r="J838">
        <v>3000</v>
      </c>
      <c r="K838">
        <v>0</v>
      </c>
      <c r="L838" t="s">
        <v>53</v>
      </c>
    </row>
    <row r="839" spans="1:12" x14ac:dyDescent="0.3">
      <c r="A839" t="s">
        <v>987</v>
      </c>
      <c r="B839" s="1">
        <v>45103</v>
      </c>
      <c r="C839" t="s">
        <v>143</v>
      </c>
      <c r="D839" t="s">
        <v>144</v>
      </c>
      <c r="E839" t="s">
        <v>81</v>
      </c>
      <c r="F839" t="s">
        <v>110</v>
      </c>
      <c r="G839" t="s">
        <v>25</v>
      </c>
      <c r="H839" t="s">
        <v>124</v>
      </c>
      <c r="I839">
        <v>1</v>
      </c>
      <c r="J839">
        <v>1900</v>
      </c>
      <c r="K839">
        <v>5</v>
      </c>
      <c r="L839" t="s">
        <v>27</v>
      </c>
    </row>
    <row r="840" spans="1:12" x14ac:dyDescent="0.3">
      <c r="A840" t="s">
        <v>988</v>
      </c>
      <c r="B840" s="1">
        <v>45103</v>
      </c>
      <c r="C840" t="s">
        <v>163</v>
      </c>
      <c r="D840" t="s">
        <v>73</v>
      </c>
      <c r="E840" t="s">
        <v>15</v>
      </c>
      <c r="F840" t="s">
        <v>16</v>
      </c>
      <c r="G840" t="s">
        <v>97</v>
      </c>
      <c r="H840" t="s">
        <v>133</v>
      </c>
      <c r="I840">
        <v>1</v>
      </c>
      <c r="J840">
        <v>52300</v>
      </c>
      <c r="K840">
        <v>20</v>
      </c>
      <c r="L840" t="s">
        <v>27</v>
      </c>
    </row>
    <row r="841" spans="1:12" x14ac:dyDescent="0.3">
      <c r="A841" t="s">
        <v>989</v>
      </c>
      <c r="B841" s="1">
        <v>45133</v>
      </c>
      <c r="C841" t="s">
        <v>115</v>
      </c>
      <c r="D841" t="s">
        <v>116</v>
      </c>
      <c r="E841" t="s">
        <v>81</v>
      </c>
      <c r="F841" t="s">
        <v>117</v>
      </c>
      <c r="G841" t="s">
        <v>97</v>
      </c>
      <c r="H841" t="s">
        <v>98</v>
      </c>
      <c r="I841">
        <v>1</v>
      </c>
      <c r="J841">
        <v>60700</v>
      </c>
      <c r="K841">
        <v>15</v>
      </c>
      <c r="L841" t="s">
        <v>47</v>
      </c>
    </row>
    <row r="842" spans="1:12" x14ac:dyDescent="0.3">
      <c r="A842" t="s">
        <v>990</v>
      </c>
      <c r="B842" s="1">
        <v>45164</v>
      </c>
      <c r="C842" t="s">
        <v>165</v>
      </c>
      <c r="D842" t="s">
        <v>166</v>
      </c>
      <c r="E842" t="s">
        <v>15</v>
      </c>
      <c r="F842" t="s">
        <v>131</v>
      </c>
      <c r="G842" t="s">
        <v>25</v>
      </c>
      <c r="H842" t="s">
        <v>124</v>
      </c>
      <c r="I842">
        <v>3</v>
      </c>
      <c r="J842">
        <v>2000</v>
      </c>
      <c r="K842">
        <v>20</v>
      </c>
      <c r="L842" t="s">
        <v>33</v>
      </c>
    </row>
    <row r="843" spans="1:12" x14ac:dyDescent="0.3">
      <c r="A843" t="s">
        <v>991</v>
      </c>
      <c r="B843" s="1">
        <v>45164</v>
      </c>
      <c r="C843" t="s">
        <v>112</v>
      </c>
      <c r="D843" t="s">
        <v>113</v>
      </c>
      <c r="E843" t="s">
        <v>37</v>
      </c>
      <c r="F843" t="s">
        <v>61</v>
      </c>
      <c r="G843" t="s">
        <v>97</v>
      </c>
      <c r="H843" t="s">
        <v>171</v>
      </c>
      <c r="I843">
        <v>1</v>
      </c>
      <c r="J843">
        <v>70300</v>
      </c>
      <c r="K843">
        <v>0</v>
      </c>
      <c r="L843" t="s">
        <v>73</v>
      </c>
    </row>
    <row r="844" spans="1:12" x14ac:dyDescent="0.3">
      <c r="A844" t="s">
        <v>992</v>
      </c>
      <c r="B844" s="1">
        <v>45164</v>
      </c>
      <c r="C844" t="s">
        <v>105</v>
      </c>
      <c r="D844" t="s">
        <v>106</v>
      </c>
      <c r="E844" t="s">
        <v>37</v>
      </c>
      <c r="F844" t="s">
        <v>38</v>
      </c>
      <c r="G844" t="s">
        <v>45</v>
      </c>
      <c r="H844" t="s">
        <v>156</v>
      </c>
      <c r="I844">
        <v>1</v>
      </c>
      <c r="J844">
        <v>37800</v>
      </c>
      <c r="K844">
        <v>25</v>
      </c>
      <c r="L844" t="s">
        <v>27</v>
      </c>
    </row>
    <row r="845" spans="1:12" x14ac:dyDescent="0.3">
      <c r="A845" t="s">
        <v>993</v>
      </c>
      <c r="B845" s="1">
        <v>45195</v>
      </c>
      <c r="C845" t="s">
        <v>75</v>
      </c>
      <c r="D845" t="s">
        <v>76</v>
      </c>
      <c r="E845" t="s">
        <v>23</v>
      </c>
      <c r="F845" t="s">
        <v>24</v>
      </c>
      <c r="G845" t="s">
        <v>97</v>
      </c>
      <c r="H845" t="s">
        <v>174</v>
      </c>
      <c r="I845">
        <v>1</v>
      </c>
      <c r="J845">
        <v>65700</v>
      </c>
      <c r="K845">
        <v>10</v>
      </c>
      <c r="L845" t="s">
        <v>33</v>
      </c>
    </row>
    <row r="846" spans="1:12" x14ac:dyDescent="0.3">
      <c r="A846" t="s">
        <v>994</v>
      </c>
      <c r="B846" s="1">
        <v>45195</v>
      </c>
      <c r="C846" t="s">
        <v>203</v>
      </c>
      <c r="D846" t="s">
        <v>204</v>
      </c>
      <c r="E846" t="s">
        <v>81</v>
      </c>
      <c r="F846" t="s">
        <v>82</v>
      </c>
      <c r="G846" t="s">
        <v>39</v>
      </c>
      <c r="H846" t="s">
        <v>102</v>
      </c>
      <c r="I846">
        <v>1</v>
      </c>
      <c r="J846">
        <v>23200</v>
      </c>
      <c r="K846">
        <v>10</v>
      </c>
      <c r="L846" t="s">
        <v>103</v>
      </c>
    </row>
    <row r="847" spans="1:12" x14ac:dyDescent="0.3">
      <c r="A847" t="s">
        <v>995</v>
      </c>
      <c r="B847" s="1">
        <v>45225</v>
      </c>
      <c r="C847" t="s">
        <v>70</v>
      </c>
      <c r="D847" t="s">
        <v>71</v>
      </c>
      <c r="E847" t="s">
        <v>66</v>
      </c>
      <c r="F847" t="s">
        <v>67</v>
      </c>
      <c r="G847" t="s">
        <v>97</v>
      </c>
      <c r="H847" t="s">
        <v>133</v>
      </c>
      <c r="I847">
        <v>1</v>
      </c>
      <c r="J847">
        <v>60200</v>
      </c>
      <c r="K847">
        <v>0</v>
      </c>
      <c r="L847" t="s">
        <v>27</v>
      </c>
    </row>
    <row r="848" spans="1:12" x14ac:dyDescent="0.3">
      <c r="A848" t="s">
        <v>996</v>
      </c>
      <c r="B848" s="1">
        <v>45225</v>
      </c>
      <c r="C848" t="s">
        <v>122</v>
      </c>
      <c r="D848" t="s">
        <v>123</v>
      </c>
      <c r="E848" t="s">
        <v>15</v>
      </c>
      <c r="F848" t="s">
        <v>128</v>
      </c>
      <c r="G848" t="s">
        <v>25</v>
      </c>
      <c r="H848" t="s">
        <v>32</v>
      </c>
      <c r="I848">
        <v>2</v>
      </c>
      <c r="J848">
        <v>2400</v>
      </c>
      <c r="K848">
        <v>0</v>
      </c>
      <c r="L848" t="s">
        <v>53</v>
      </c>
    </row>
    <row r="849" spans="1:12" x14ac:dyDescent="0.3">
      <c r="A849" t="s">
        <v>997</v>
      </c>
      <c r="B849" s="1">
        <v>45225</v>
      </c>
      <c r="C849" t="s">
        <v>29</v>
      </c>
      <c r="D849" t="s">
        <v>30</v>
      </c>
      <c r="E849" t="s">
        <v>15</v>
      </c>
      <c r="F849" t="s">
        <v>16</v>
      </c>
      <c r="G849" t="s">
        <v>97</v>
      </c>
      <c r="H849" t="s">
        <v>174</v>
      </c>
      <c r="I849">
        <v>1</v>
      </c>
      <c r="J849">
        <v>48900</v>
      </c>
      <c r="K849">
        <v>0</v>
      </c>
      <c r="L849" t="s">
        <v>73</v>
      </c>
    </row>
    <row r="850" spans="1:12" x14ac:dyDescent="0.3">
      <c r="A850" t="s">
        <v>998</v>
      </c>
      <c r="B850" s="1">
        <v>45225</v>
      </c>
      <c r="C850" t="s">
        <v>105</v>
      </c>
      <c r="D850" t="s">
        <v>106</v>
      </c>
      <c r="E850" t="s">
        <v>37</v>
      </c>
      <c r="F850" t="s">
        <v>38</v>
      </c>
      <c r="G850" t="s">
        <v>45</v>
      </c>
      <c r="H850" t="s">
        <v>52</v>
      </c>
      <c r="I850">
        <v>1</v>
      </c>
      <c r="J850">
        <v>37900</v>
      </c>
      <c r="K850">
        <v>0</v>
      </c>
      <c r="L850" t="s">
        <v>27</v>
      </c>
    </row>
    <row r="851" spans="1:12" x14ac:dyDescent="0.3">
      <c r="A851" t="s">
        <v>999</v>
      </c>
      <c r="B851" s="1">
        <v>45256</v>
      </c>
      <c r="C851" t="s">
        <v>180</v>
      </c>
      <c r="D851" t="s">
        <v>181</v>
      </c>
      <c r="E851" t="s">
        <v>66</v>
      </c>
      <c r="F851" t="s">
        <v>92</v>
      </c>
      <c r="G851" t="s">
        <v>25</v>
      </c>
      <c r="H851" t="s">
        <v>108</v>
      </c>
      <c r="I851">
        <v>1</v>
      </c>
      <c r="J851">
        <v>1300</v>
      </c>
      <c r="K851">
        <v>10</v>
      </c>
      <c r="L851" t="s">
        <v>47</v>
      </c>
    </row>
    <row r="852" spans="1:12" x14ac:dyDescent="0.3">
      <c r="A852" t="s">
        <v>1000</v>
      </c>
      <c r="B852" s="1">
        <v>45256</v>
      </c>
      <c r="C852" t="s">
        <v>250</v>
      </c>
      <c r="D852" t="s">
        <v>251</v>
      </c>
      <c r="E852" t="s">
        <v>37</v>
      </c>
      <c r="F852" t="s">
        <v>141</v>
      </c>
      <c r="G852" t="s">
        <v>25</v>
      </c>
      <c r="H852" t="s">
        <v>32</v>
      </c>
      <c r="I852">
        <v>2</v>
      </c>
      <c r="J852">
        <v>2400</v>
      </c>
      <c r="K852">
        <v>0</v>
      </c>
      <c r="L852" t="s">
        <v>73</v>
      </c>
    </row>
    <row r="853" spans="1:12" x14ac:dyDescent="0.3">
      <c r="A853" t="s">
        <v>1001</v>
      </c>
      <c r="B853" s="1">
        <v>45256</v>
      </c>
      <c r="C853" t="s">
        <v>183</v>
      </c>
      <c r="D853" t="s">
        <v>27</v>
      </c>
      <c r="E853" t="s">
        <v>23</v>
      </c>
      <c r="F853" t="s">
        <v>24</v>
      </c>
      <c r="G853" t="s">
        <v>25</v>
      </c>
      <c r="H853" t="s">
        <v>212</v>
      </c>
      <c r="I853">
        <v>2</v>
      </c>
      <c r="J853">
        <v>1800</v>
      </c>
      <c r="K853">
        <v>10</v>
      </c>
      <c r="L853" t="s">
        <v>73</v>
      </c>
    </row>
    <row r="854" spans="1:12" x14ac:dyDescent="0.3">
      <c r="A854" t="s">
        <v>1002</v>
      </c>
      <c r="B854" s="1">
        <v>45256</v>
      </c>
      <c r="C854" t="s">
        <v>64</v>
      </c>
      <c r="D854" t="s">
        <v>65</v>
      </c>
      <c r="E854" t="s">
        <v>37</v>
      </c>
      <c r="F854" t="s">
        <v>141</v>
      </c>
      <c r="G854" t="s">
        <v>45</v>
      </c>
      <c r="H854" t="s">
        <v>52</v>
      </c>
      <c r="I854">
        <v>1</v>
      </c>
      <c r="J854">
        <v>30100</v>
      </c>
      <c r="K854">
        <v>15</v>
      </c>
      <c r="L854" t="s">
        <v>19</v>
      </c>
    </row>
    <row r="855" spans="1:12" x14ac:dyDescent="0.3">
      <c r="A855" t="s">
        <v>1003</v>
      </c>
      <c r="B855" s="1">
        <v>45286</v>
      </c>
      <c r="C855" t="s">
        <v>59</v>
      </c>
      <c r="D855" t="s">
        <v>60</v>
      </c>
      <c r="E855" t="s">
        <v>23</v>
      </c>
      <c r="F855" t="s">
        <v>24</v>
      </c>
      <c r="G855" t="s">
        <v>17</v>
      </c>
      <c r="H855" t="s">
        <v>77</v>
      </c>
      <c r="I855">
        <v>1</v>
      </c>
      <c r="J855">
        <v>21000</v>
      </c>
      <c r="K855">
        <v>0</v>
      </c>
      <c r="L855" t="s">
        <v>19</v>
      </c>
    </row>
    <row r="856" spans="1:12" x14ac:dyDescent="0.3">
      <c r="A856" t="s">
        <v>1004</v>
      </c>
      <c r="B856" s="1">
        <v>45286</v>
      </c>
      <c r="C856" t="s">
        <v>183</v>
      </c>
      <c r="D856" t="s">
        <v>27</v>
      </c>
      <c r="E856" t="s">
        <v>37</v>
      </c>
      <c r="F856" t="s">
        <v>101</v>
      </c>
      <c r="G856" t="s">
        <v>17</v>
      </c>
      <c r="H856" t="s">
        <v>88</v>
      </c>
      <c r="I856">
        <v>1</v>
      </c>
      <c r="J856">
        <v>42300</v>
      </c>
      <c r="K856">
        <v>5</v>
      </c>
      <c r="L856" t="s">
        <v>73</v>
      </c>
    </row>
    <row r="857" spans="1:12" x14ac:dyDescent="0.3">
      <c r="A857" t="s">
        <v>1005</v>
      </c>
      <c r="B857" s="1">
        <v>44953</v>
      </c>
      <c r="C857" t="s">
        <v>165</v>
      </c>
      <c r="D857" t="s">
        <v>166</v>
      </c>
      <c r="E857" t="s">
        <v>37</v>
      </c>
      <c r="F857" t="s">
        <v>101</v>
      </c>
      <c r="G857" t="s">
        <v>17</v>
      </c>
      <c r="H857" t="s">
        <v>77</v>
      </c>
      <c r="I857">
        <v>1</v>
      </c>
      <c r="J857">
        <v>27400</v>
      </c>
      <c r="K857">
        <v>10</v>
      </c>
      <c r="L857" t="s">
        <v>62</v>
      </c>
    </row>
    <row r="858" spans="1:12" x14ac:dyDescent="0.3">
      <c r="A858" t="s">
        <v>1006</v>
      </c>
      <c r="B858" s="1">
        <v>44953</v>
      </c>
      <c r="C858" t="s">
        <v>163</v>
      </c>
      <c r="D858" t="s">
        <v>73</v>
      </c>
      <c r="E858" t="s">
        <v>66</v>
      </c>
      <c r="F858" t="s">
        <v>92</v>
      </c>
      <c r="G858" t="s">
        <v>39</v>
      </c>
      <c r="H858" t="s">
        <v>102</v>
      </c>
      <c r="I858">
        <v>1</v>
      </c>
      <c r="J858">
        <v>31000</v>
      </c>
      <c r="K858">
        <v>20</v>
      </c>
      <c r="L858" t="s">
        <v>47</v>
      </c>
    </row>
    <row r="859" spans="1:12" x14ac:dyDescent="0.3">
      <c r="A859" t="s">
        <v>1007</v>
      </c>
      <c r="B859" s="1">
        <v>44953</v>
      </c>
      <c r="C859" t="s">
        <v>203</v>
      </c>
      <c r="D859" t="s">
        <v>204</v>
      </c>
      <c r="E859" t="s">
        <v>37</v>
      </c>
      <c r="F859" t="s">
        <v>141</v>
      </c>
      <c r="G859" t="s">
        <v>25</v>
      </c>
      <c r="H859" t="s">
        <v>212</v>
      </c>
      <c r="I859">
        <v>2</v>
      </c>
      <c r="J859">
        <v>2200</v>
      </c>
      <c r="K859">
        <v>5</v>
      </c>
      <c r="L859" t="s">
        <v>33</v>
      </c>
    </row>
    <row r="860" spans="1:12" x14ac:dyDescent="0.3">
      <c r="A860" t="s">
        <v>1008</v>
      </c>
      <c r="B860" s="1">
        <v>44953</v>
      </c>
      <c r="C860" t="s">
        <v>176</v>
      </c>
      <c r="D860" t="s">
        <v>177</v>
      </c>
      <c r="E860" t="s">
        <v>23</v>
      </c>
      <c r="F860" t="s">
        <v>44</v>
      </c>
      <c r="G860" t="s">
        <v>45</v>
      </c>
      <c r="H860" t="s">
        <v>156</v>
      </c>
      <c r="I860">
        <v>1</v>
      </c>
      <c r="J860">
        <v>36300</v>
      </c>
      <c r="K860">
        <v>25</v>
      </c>
      <c r="L860" t="s">
        <v>53</v>
      </c>
    </row>
    <row r="861" spans="1:12" x14ac:dyDescent="0.3">
      <c r="A861" t="s">
        <v>1009</v>
      </c>
      <c r="B861" s="1">
        <v>44984</v>
      </c>
      <c r="C861" t="s">
        <v>112</v>
      </c>
      <c r="D861" t="s">
        <v>113</v>
      </c>
      <c r="E861" t="s">
        <v>23</v>
      </c>
      <c r="F861" t="s">
        <v>51</v>
      </c>
      <c r="G861" t="s">
        <v>97</v>
      </c>
      <c r="H861" t="s">
        <v>171</v>
      </c>
      <c r="I861">
        <v>1</v>
      </c>
      <c r="J861">
        <v>66000</v>
      </c>
      <c r="K861">
        <v>15</v>
      </c>
      <c r="L861" t="s">
        <v>33</v>
      </c>
    </row>
    <row r="862" spans="1:12" x14ac:dyDescent="0.3">
      <c r="A862" t="s">
        <v>1010</v>
      </c>
      <c r="B862" s="1">
        <v>44984</v>
      </c>
      <c r="C862" t="s">
        <v>188</v>
      </c>
      <c r="D862" t="s">
        <v>189</v>
      </c>
      <c r="E862" t="s">
        <v>15</v>
      </c>
      <c r="F862" t="s">
        <v>128</v>
      </c>
      <c r="G862" t="s">
        <v>39</v>
      </c>
      <c r="H862" t="s">
        <v>57</v>
      </c>
      <c r="I862">
        <v>1</v>
      </c>
      <c r="J862">
        <v>29800</v>
      </c>
      <c r="K862">
        <v>15</v>
      </c>
      <c r="L862" t="s">
        <v>62</v>
      </c>
    </row>
    <row r="863" spans="1:12" x14ac:dyDescent="0.3">
      <c r="A863" t="s">
        <v>1011</v>
      </c>
      <c r="B863" s="1">
        <v>44984</v>
      </c>
      <c r="C863" t="s">
        <v>70</v>
      </c>
      <c r="D863" t="s">
        <v>71</v>
      </c>
      <c r="E863" t="s">
        <v>66</v>
      </c>
      <c r="F863" t="s">
        <v>72</v>
      </c>
      <c r="G863" t="s">
        <v>97</v>
      </c>
      <c r="H863" t="s">
        <v>174</v>
      </c>
      <c r="I863">
        <v>1</v>
      </c>
      <c r="J863">
        <v>52100</v>
      </c>
      <c r="K863">
        <v>5</v>
      </c>
      <c r="L863" t="s">
        <v>103</v>
      </c>
    </row>
    <row r="864" spans="1:12" x14ac:dyDescent="0.3">
      <c r="A864" t="s">
        <v>1012</v>
      </c>
      <c r="B864" s="1">
        <v>45012</v>
      </c>
      <c r="C864" t="s">
        <v>236</v>
      </c>
      <c r="D864" t="s">
        <v>237</v>
      </c>
      <c r="E864" t="s">
        <v>81</v>
      </c>
      <c r="F864" t="s">
        <v>110</v>
      </c>
      <c r="G864" t="s">
        <v>39</v>
      </c>
      <c r="H864" t="s">
        <v>102</v>
      </c>
      <c r="I864">
        <v>1</v>
      </c>
      <c r="J864">
        <v>12200</v>
      </c>
      <c r="K864">
        <v>5</v>
      </c>
      <c r="L864" t="s">
        <v>27</v>
      </c>
    </row>
    <row r="865" spans="1:12" x14ac:dyDescent="0.3">
      <c r="A865" t="s">
        <v>1013</v>
      </c>
      <c r="B865" s="1">
        <v>45012</v>
      </c>
      <c r="C865" t="s">
        <v>236</v>
      </c>
      <c r="D865" t="s">
        <v>237</v>
      </c>
      <c r="E865" t="s">
        <v>66</v>
      </c>
      <c r="F865" t="s">
        <v>72</v>
      </c>
      <c r="G865" t="s">
        <v>25</v>
      </c>
      <c r="H865" t="s">
        <v>124</v>
      </c>
      <c r="I865">
        <v>2</v>
      </c>
      <c r="J865">
        <v>2500</v>
      </c>
      <c r="K865">
        <v>20</v>
      </c>
      <c r="L865" t="s">
        <v>19</v>
      </c>
    </row>
    <row r="866" spans="1:12" x14ac:dyDescent="0.3">
      <c r="A866" t="s">
        <v>1014</v>
      </c>
      <c r="B866" s="1">
        <v>45012</v>
      </c>
      <c r="C866" t="s">
        <v>115</v>
      </c>
      <c r="D866" t="s">
        <v>116</v>
      </c>
      <c r="E866" t="s">
        <v>15</v>
      </c>
      <c r="F866" t="s">
        <v>131</v>
      </c>
      <c r="G866" t="s">
        <v>39</v>
      </c>
      <c r="H866" t="s">
        <v>68</v>
      </c>
      <c r="I866">
        <v>1</v>
      </c>
      <c r="J866">
        <v>15400</v>
      </c>
      <c r="K866">
        <v>10</v>
      </c>
      <c r="L866" t="s">
        <v>19</v>
      </c>
    </row>
    <row r="867" spans="1:12" x14ac:dyDescent="0.3">
      <c r="A867" t="s">
        <v>1015</v>
      </c>
      <c r="B867" s="1">
        <v>45012</v>
      </c>
      <c r="C867" t="s">
        <v>21</v>
      </c>
      <c r="D867" t="s">
        <v>22</v>
      </c>
      <c r="E867" t="s">
        <v>66</v>
      </c>
      <c r="F867" t="s">
        <v>92</v>
      </c>
      <c r="G867" t="s">
        <v>25</v>
      </c>
      <c r="H867" t="s">
        <v>26</v>
      </c>
      <c r="I867">
        <v>3</v>
      </c>
      <c r="J867">
        <v>900</v>
      </c>
      <c r="K867">
        <v>10</v>
      </c>
      <c r="L867" t="s">
        <v>27</v>
      </c>
    </row>
    <row r="868" spans="1:12" x14ac:dyDescent="0.3">
      <c r="A868" t="s">
        <v>1016</v>
      </c>
      <c r="B868" s="1">
        <v>45073</v>
      </c>
      <c r="C868" t="s">
        <v>165</v>
      </c>
      <c r="D868" t="s">
        <v>166</v>
      </c>
      <c r="E868" t="s">
        <v>66</v>
      </c>
      <c r="F868" t="s">
        <v>67</v>
      </c>
      <c r="G868" t="s">
        <v>25</v>
      </c>
      <c r="H868" t="s">
        <v>212</v>
      </c>
      <c r="I868">
        <v>3</v>
      </c>
      <c r="J868">
        <v>2000</v>
      </c>
      <c r="K868">
        <v>5</v>
      </c>
      <c r="L868" t="s">
        <v>27</v>
      </c>
    </row>
    <row r="869" spans="1:12" x14ac:dyDescent="0.3">
      <c r="A869" t="s">
        <v>1017</v>
      </c>
      <c r="B869" s="1">
        <v>45104</v>
      </c>
      <c r="C869" t="s">
        <v>232</v>
      </c>
      <c r="D869" t="s">
        <v>233</v>
      </c>
      <c r="E869" t="s">
        <v>81</v>
      </c>
      <c r="F869" t="s">
        <v>160</v>
      </c>
      <c r="G869" t="s">
        <v>45</v>
      </c>
      <c r="H869" t="s">
        <v>46</v>
      </c>
      <c r="I869">
        <v>1</v>
      </c>
      <c r="J869">
        <v>39000</v>
      </c>
      <c r="K869">
        <v>20</v>
      </c>
      <c r="L869" t="s">
        <v>103</v>
      </c>
    </row>
    <row r="870" spans="1:12" x14ac:dyDescent="0.3">
      <c r="A870" t="s">
        <v>1018</v>
      </c>
      <c r="B870" s="1">
        <v>45104</v>
      </c>
      <c r="C870" t="s">
        <v>188</v>
      </c>
      <c r="D870" t="s">
        <v>189</v>
      </c>
      <c r="E870" t="s">
        <v>66</v>
      </c>
      <c r="F870" t="s">
        <v>87</v>
      </c>
      <c r="G870" t="s">
        <v>97</v>
      </c>
      <c r="H870" t="s">
        <v>133</v>
      </c>
      <c r="I870">
        <v>1</v>
      </c>
      <c r="J870">
        <v>53900</v>
      </c>
      <c r="K870">
        <v>5</v>
      </c>
      <c r="L870" t="s">
        <v>27</v>
      </c>
    </row>
    <row r="871" spans="1:12" x14ac:dyDescent="0.3">
      <c r="A871" t="s">
        <v>1019</v>
      </c>
      <c r="B871" s="1">
        <v>45104</v>
      </c>
      <c r="C871" t="s">
        <v>232</v>
      </c>
      <c r="D871" t="s">
        <v>233</v>
      </c>
      <c r="E871" t="s">
        <v>15</v>
      </c>
      <c r="F871" t="s">
        <v>16</v>
      </c>
      <c r="G871" t="s">
        <v>17</v>
      </c>
      <c r="H871" t="s">
        <v>168</v>
      </c>
      <c r="I871">
        <v>1</v>
      </c>
      <c r="J871">
        <v>42700</v>
      </c>
      <c r="K871">
        <v>0</v>
      </c>
      <c r="L871" t="s">
        <v>19</v>
      </c>
    </row>
    <row r="872" spans="1:12" x14ac:dyDescent="0.3">
      <c r="A872" t="s">
        <v>1020</v>
      </c>
      <c r="B872" s="1">
        <v>45104</v>
      </c>
      <c r="C872" t="s">
        <v>185</v>
      </c>
      <c r="D872" t="s">
        <v>186</v>
      </c>
      <c r="E872" t="s">
        <v>66</v>
      </c>
      <c r="F872" t="s">
        <v>87</v>
      </c>
      <c r="G872" t="s">
        <v>39</v>
      </c>
      <c r="H872" t="s">
        <v>102</v>
      </c>
      <c r="I872">
        <v>1</v>
      </c>
      <c r="J872">
        <v>18900</v>
      </c>
      <c r="K872">
        <v>0</v>
      </c>
      <c r="L872" t="s">
        <v>73</v>
      </c>
    </row>
    <row r="873" spans="1:12" x14ac:dyDescent="0.3">
      <c r="A873" t="s">
        <v>1021</v>
      </c>
      <c r="B873" s="1">
        <v>45104</v>
      </c>
      <c r="C873" t="s">
        <v>79</v>
      </c>
      <c r="D873" t="s">
        <v>80</v>
      </c>
      <c r="E873" t="s">
        <v>81</v>
      </c>
      <c r="F873" t="s">
        <v>117</v>
      </c>
      <c r="G873" t="s">
        <v>39</v>
      </c>
      <c r="H873" t="s">
        <v>57</v>
      </c>
      <c r="I873">
        <v>1</v>
      </c>
      <c r="J873">
        <v>25900</v>
      </c>
      <c r="K873">
        <v>15</v>
      </c>
      <c r="L873" t="s">
        <v>103</v>
      </c>
    </row>
    <row r="874" spans="1:12" x14ac:dyDescent="0.3">
      <c r="A874" t="s">
        <v>1022</v>
      </c>
      <c r="B874" s="1">
        <v>45165</v>
      </c>
      <c r="C874" t="s">
        <v>70</v>
      </c>
      <c r="D874" t="s">
        <v>71</v>
      </c>
      <c r="E874" t="s">
        <v>23</v>
      </c>
      <c r="F874" t="s">
        <v>44</v>
      </c>
      <c r="G874" t="s">
        <v>45</v>
      </c>
      <c r="H874" t="s">
        <v>46</v>
      </c>
      <c r="I874">
        <v>1</v>
      </c>
      <c r="J874">
        <v>25700</v>
      </c>
      <c r="K874">
        <v>10</v>
      </c>
      <c r="L874" t="s">
        <v>27</v>
      </c>
    </row>
    <row r="875" spans="1:12" x14ac:dyDescent="0.3">
      <c r="A875" t="s">
        <v>1023</v>
      </c>
      <c r="B875" s="1">
        <v>45165</v>
      </c>
      <c r="C875" t="s">
        <v>163</v>
      </c>
      <c r="D875" t="s">
        <v>73</v>
      </c>
      <c r="E875" t="s">
        <v>81</v>
      </c>
      <c r="F875" t="s">
        <v>160</v>
      </c>
      <c r="G875" t="s">
        <v>17</v>
      </c>
      <c r="H875" t="s">
        <v>18</v>
      </c>
      <c r="I875">
        <v>1</v>
      </c>
      <c r="J875">
        <v>29500</v>
      </c>
      <c r="K875">
        <v>25</v>
      </c>
      <c r="L875" t="s">
        <v>62</v>
      </c>
    </row>
    <row r="876" spans="1:12" x14ac:dyDescent="0.3">
      <c r="A876" t="s">
        <v>1024</v>
      </c>
      <c r="B876" s="1">
        <v>45196</v>
      </c>
      <c r="C876" t="s">
        <v>250</v>
      </c>
      <c r="D876" t="s">
        <v>251</v>
      </c>
      <c r="E876" t="s">
        <v>66</v>
      </c>
      <c r="F876" t="s">
        <v>67</v>
      </c>
      <c r="G876" t="s">
        <v>17</v>
      </c>
      <c r="H876" t="s">
        <v>77</v>
      </c>
      <c r="I876">
        <v>1</v>
      </c>
      <c r="J876">
        <v>47200</v>
      </c>
      <c r="K876">
        <v>0</v>
      </c>
      <c r="L876" t="s">
        <v>73</v>
      </c>
    </row>
    <row r="877" spans="1:12" x14ac:dyDescent="0.3">
      <c r="A877" t="s">
        <v>1025</v>
      </c>
      <c r="B877" s="1">
        <v>45226</v>
      </c>
      <c r="C877" t="s">
        <v>13</v>
      </c>
      <c r="D877" t="s">
        <v>14</v>
      </c>
      <c r="E877" t="s">
        <v>66</v>
      </c>
      <c r="F877" t="s">
        <v>87</v>
      </c>
      <c r="G877" t="s">
        <v>97</v>
      </c>
      <c r="H877" t="s">
        <v>154</v>
      </c>
      <c r="I877">
        <v>1</v>
      </c>
      <c r="J877">
        <v>50200</v>
      </c>
      <c r="K877">
        <v>0</v>
      </c>
      <c r="L877" t="s">
        <v>19</v>
      </c>
    </row>
    <row r="878" spans="1:12" x14ac:dyDescent="0.3">
      <c r="A878" t="s">
        <v>1026</v>
      </c>
      <c r="B878" s="1">
        <v>45226</v>
      </c>
      <c r="C878" t="s">
        <v>232</v>
      </c>
      <c r="D878" t="s">
        <v>233</v>
      </c>
      <c r="E878" t="s">
        <v>37</v>
      </c>
      <c r="F878" t="s">
        <v>38</v>
      </c>
      <c r="G878" t="s">
        <v>97</v>
      </c>
      <c r="H878" t="s">
        <v>171</v>
      </c>
      <c r="I878">
        <v>1</v>
      </c>
      <c r="J878">
        <v>51200</v>
      </c>
      <c r="K878">
        <v>5</v>
      </c>
      <c r="L878" t="s">
        <v>103</v>
      </c>
    </row>
    <row r="879" spans="1:12" x14ac:dyDescent="0.3">
      <c r="A879" t="s">
        <v>1027</v>
      </c>
      <c r="B879" s="1">
        <v>45226</v>
      </c>
      <c r="C879" t="s">
        <v>122</v>
      </c>
      <c r="D879" t="s">
        <v>123</v>
      </c>
      <c r="E879" t="s">
        <v>23</v>
      </c>
      <c r="F879" t="s">
        <v>44</v>
      </c>
      <c r="G879" t="s">
        <v>25</v>
      </c>
      <c r="H879" t="s">
        <v>26</v>
      </c>
      <c r="I879">
        <v>2</v>
      </c>
      <c r="J879">
        <v>1000</v>
      </c>
      <c r="K879">
        <v>10</v>
      </c>
      <c r="L879" t="s">
        <v>27</v>
      </c>
    </row>
    <row r="880" spans="1:12" x14ac:dyDescent="0.3">
      <c r="A880" t="s">
        <v>1028</v>
      </c>
      <c r="B880" s="1">
        <v>45226</v>
      </c>
      <c r="C880" t="s">
        <v>183</v>
      </c>
      <c r="D880" t="s">
        <v>27</v>
      </c>
      <c r="E880" t="s">
        <v>66</v>
      </c>
      <c r="F880" t="s">
        <v>87</v>
      </c>
      <c r="G880" t="s">
        <v>39</v>
      </c>
      <c r="H880" t="s">
        <v>57</v>
      </c>
      <c r="I880">
        <v>1</v>
      </c>
      <c r="J880">
        <v>28000</v>
      </c>
      <c r="K880">
        <v>0</v>
      </c>
      <c r="L880" t="s">
        <v>27</v>
      </c>
    </row>
    <row r="881" spans="1:12" x14ac:dyDescent="0.3">
      <c r="A881" t="s">
        <v>1029</v>
      </c>
      <c r="B881" s="1">
        <v>45257</v>
      </c>
      <c r="C881" t="s">
        <v>176</v>
      </c>
      <c r="D881" t="s">
        <v>177</v>
      </c>
      <c r="E881" t="s">
        <v>23</v>
      </c>
      <c r="F881" t="s">
        <v>44</v>
      </c>
      <c r="G881" t="s">
        <v>25</v>
      </c>
      <c r="H881" t="s">
        <v>108</v>
      </c>
      <c r="I881">
        <v>2</v>
      </c>
      <c r="J881">
        <v>1800</v>
      </c>
      <c r="K881">
        <v>20</v>
      </c>
      <c r="L881" t="s">
        <v>73</v>
      </c>
    </row>
    <row r="882" spans="1:12" x14ac:dyDescent="0.3">
      <c r="A882" t="s">
        <v>1030</v>
      </c>
      <c r="B882" s="1">
        <v>45287</v>
      </c>
      <c r="C882" t="s">
        <v>143</v>
      </c>
      <c r="D882" t="s">
        <v>144</v>
      </c>
      <c r="E882" t="s">
        <v>15</v>
      </c>
      <c r="F882" t="s">
        <v>128</v>
      </c>
      <c r="G882" t="s">
        <v>45</v>
      </c>
      <c r="H882" t="s">
        <v>207</v>
      </c>
      <c r="I882">
        <v>1</v>
      </c>
      <c r="J882">
        <v>38200</v>
      </c>
      <c r="K882">
        <v>10</v>
      </c>
      <c r="L882" t="s">
        <v>73</v>
      </c>
    </row>
    <row r="883" spans="1:12" x14ac:dyDescent="0.3">
      <c r="A883" t="s">
        <v>1031</v>
      </c>
      <c r="B883" s="1">
        <v>45287</v>
      </c>
      <c r="C883" t="s">
        <v>21</v>
      </c>
      <c r="D883" t="s">
        <v>22</v>
      </c>
      <c r="E883" t="s">
        <v>81</v>
      </c>
      <c r="F883" t="s">
        <v>160</v>
      </c>
      <c r="G883" t="s">
        <v>39</v>
      </c>
      <c r="H883" t="s">
        <v>68</v>
      </c>
      <c r="I883">
        <v>1</v>
      </c>
      <c r="J883">
        <v>13900</v>
      </c>
      <c r="K883">
        <v>15</v>
      </c>
      <c r="L883" t="s">
        <v>47</v>
      </c>
    </row>
    <row r="884" spans="1:12" x14ac:dyDescent="0.3">
      <c r="A884" t="s">
        <v>1032</v>
      </c>
      <c r="B884" s="1">
        <v>45287</v>
      </c>
      <c r="C884" t="s">
        <v>79</v>
      </c>
      <c r="D884" t="s">
        <v>80</v>
      </c>
      <c r="E884" t="s">
        <v>37</v>
      </c>
      <c r="F884" t="s">
        <v>61</v>
      </c>
      <c r="G884" t="s">
        <v>45</v>
      </c>
      <c r="H884" t="s">
        <v>156</v>
      </c>
      <c r="I884">
        <v>1</v>
      </c>
      <c r="J884">
        <v>20000</v>
      </c>
      <c r="K884">
        <v>20</v>
      </c>
      <c r="L884" t="s">
        <v>19</v>
      </c>
    </row>
    <row r="885" spans="1:12" x14ac:dyDescent="0.3">
      <c r="A885" t="s">
        <v>1033</v>
      </c>
      <c r="B885" s="1">
        <v>45287</v>
      </c>
      <c r="C885" t="s">
        <v>70</v>
      </c>
      <c r="D885" t="s">
        <v>71</v>
      </c>
      <c r="E885" t="s">
        <v>23</v>
      </c>
      <c r="F885" t="s">
        <v>24</v>
      </c>
      <c r="G885" t="s">
        <v>39</v>
      </c>
      <c r="H885" t="s">
        <v>57</v>
      </c>
      <c r="I885">
        <v>1</v>
      </c>
      <c r="J885">
        <v>29100</v>
      </c>
      <c r="K885">
        <v>10</v>
      </c>
      <c r="L885" t="s">
        <v>33</v>
      </c>
    </row>
    <row r="886" spans="1:12" x14ac:dyDescent="0.3">
      <c r="A886" t="s">
        <v>1034</v>
      </c>
      <c r="B886" s="1">
        <v>45287</v>
      </c>
      <c r="C886" t="s">
        <v>210</v>
      </c>
      <c r="D886" t="s">
        <v>211</v>
      </c>
      <c r="E886" t="s">
        <v>23</v>
      </c>
      <c r="F886" t="s">
        <v>24</v>
      </c>
      <c r="G886" t="s">
        <v>39</v>
      </c>
      <c r="H886" t="s">
        <v>40</v>
      </c>
      <c r="I886">
        <v>1</v>
      </c>
      <c r="J886">
        <v>19800</v>
      </c>
      <c r="K886">
        <v>20</v>
      </c>
      <c r="L886" t="s">
        <v>53</v>
      </c>
    </row>
    <row r="887" spans="1:12" x14ac:dyDescent="0.3">
      <c r="A887" t="s">
        <v>1035</v>
      </c>
      <c r="B887" s="1">
        <v>45287</v>
      </c>
      <c r="C887" t="s">
        <v>75</v>
      </c>
      <c r="D887" t="s">
        <v>76</v>
      </c>
      <c r="E887" t="s">
        <v>23</v>
      </c>
      <c r="F887" t="s">
        <v>24</v>
      </c>
      <c r="G887" t="s">
        <v>17</v>
      </c>
      <c r="H887" t="s">
        <v>77</v>
      </c>
      <c r="I887">
        <v>1</v>
      </c>
      <c r="J887">
        <v>49400</v>
      </c>
      <c r="K887">
        <v>0</v>
      </c>
      <c r="L887" t="s">
        <v>33</v>
      </c>
    </row>
    <row r="888" spans="1:12" x14ac:dyDescent="0.3">
      <c r="A888" t="s">
        <v>1036</v>
      </c>
      <c r="B888" s="1">
        <v>44954</v>
      </c>
      <c r="C888" t="s">
        <v>84</v>
      </c>
      <c r="D888" t="s">
        <v>85</v>
      </c>
      <c r="E888" t="s">
        <v>23</v>
      </c>
      <c r="F888" t="s">
        <v>44</v>
      </c>
      <c r="G888" t="s">
        <v>17</v>
      </c>
      <c r="H888" t="s">
        <v>88</v>
      </c>
      <c r="I888">
        <v>1</v>
      </c>
      <c r="J888">
        <v>56300</v>
      </c>
      <c r="K888">
        <v>10</v>
      </c>
      <c r="L888" t="s">
        <v>27</v>
      </c>
    </row>
    <row r="889" spans="1:12" x14ac:dyDescent="0.3">
      <c r="A889" t="s">
        <v>1037</v>
      </c>
      <c r="B889" s="1">
        <v>44954</v>
      </c>
      <c r="C889" t="s">
        <v>158</v>
      </c>
      <c r="D889" t="s">
        <v>159</v>
      </c>
      <c r="E889" t="s">
        <v>37</v>
      </c>
      <c r="F889" t="s">
        <v>141</v>
      </c>
      <c r="G889" t="s">
        <v>45</v>
      </c>
      <c r="H889" t="s">
        <v>156</v>
      </c>
      <c r="I889">
        <v>1</v>
      </c>
      <c r="J889">
        <v>39900</v>
      </c>
      <c r="K889">
        <v>10</v>
      </c>
      <c r="L889" t="s">
        <v>19</v>
      </c>
    </row>
    <row r="890" spans="1:12" x14ac:dyDescent="0.3">
      <c r="A890" t="s">
        <v>1038</v>
      </c>
      <c r="B890" s="1">
        <v>44954</v>
      </c>
      <c r="C890" t="s">
        <v>42</v>
      </c>
      <c r="D890" t="s">
        <v>43</v>
      </c>
      <c r="E890" t="s">
        <v>81</v>
      </c>
      <c r="F890" t="s">
        <v>82</v>
      </c>
      <c r="G890" t="s">
        <v>45</v>
      </c>
      <c r="H890" t="s">
        <v>46</v>
      </c>
      <c r="I890">
        <v>1</v>
      </c>
      <c r="J890">
        <v>33800</v>
      </c>
      <c r="K890">
        <v>10</v>
      </c>
      <c r="L890" t="s">
        <v>33</v>
      </c>
    </row>
    <row r="891" spans="1:12" x14ac:dyDescent="0.3">
      <c r="A891" t="s">
        <v>1039</v>
      </c>
      <c r="B891" s="1">
        <v>44985</v>
      </c>
      <c r="C891" t="s">
        <v>130</v>
      </c>
      <c r="D891" t="s">
        <v>53</v>
      </c>
      <c r="E891" t="s">
        <v>66</v>
      </c>
      <c r="F891" t="s">
        <v>87</v>
      </c>
      <c r="G891" t="s">
        <v>17</v>
      </c>
      <c r="H891" t="s">
        <v>77</v>
      </c>
      <c r="I891">
        <v>1</v>
      </c>
      <c r="J891">
        <v>42100</v>
      </c>
      <c r="K891">
        <v>0</v>
      </c>
      <c r="L891" t="s">
        <v>27</v>
      </c>
    </row>
    <row r="892" spans="1:12" x14ac:dyDescent="0.3">
      <c r="A892" t="s">
        <v>1040</v>
      </c>
      <c r="B892" s="1">
        <v>44985</v>
      </c>
      <c r="C892" t="s">
        <v>143</v>
      </c>
      <c r="D892" t="s">
        <v>144</v>
      </c>
      <c r="E892" t="s">
        <v>81</v>
      </c>
      <c r="F892" t="s">
        <v>110</v>
      </c>
      <c r="G892" t="s">
        <v>17</v>
      </c>
      <c r="H892" t="s">
        <v>18</v>
      </c>
      <c r="I892">
        <v>1</v>
      </c>
      <c r="J892">
        <v>60000</v>
      </c>
      <c r="K892">
        <v>25</v>
      </c>
      <c r="L892" t="s">
        <v>103</v>
      </c>
    </row>
    <row r="893" spans="1:12" x14ac:dyDescent="0.3">
      <c r="A893" t="s">
        <v>1041</v>
      </c>
      <c r="B893" s="1">
        <v>44985</v>
      </c>
      <c r="C893" t="s">
        <v>64</v>
      </c>
      <c r="D893" t="s">
        <v>65</v>
      </c>
      <c r="E893" t="s">
        <v>23</v>
      </c>
      <c r="F893" t="s">
        <v>44</v>
      </c>
      <c r="G893" t="s">
        <v>25</v>
      </c>
      <c r="H893" t="s">
        <v>26</v>
      </c>
      <c r="I893">
        <v>2</v>
      </c>
      <c r="J893">
        <v>2300</v>
      </c>
      <c r="K893">
        <v>25</v>
      </c>
      <c r="L893" t="s">
        <v>62</v>
      </c>
    </row>
    <row r="894" spans="1:12" x14ac:dyDescent="0.3">
      <c r="A894" t="s">
        <v>1042</v>
      </c>
      <c r="B894" s="1">
        <v>44985</v>
      </c>
      <c r="C894" t="s">
        <v>135</v>
      </c>
      <c r="D894" t="s">
        <v>136</v>
      </c>
      <c r="E894" t="s">
        <v>15</v>
      </c>
      <c r="F894" t="s">
        <v>128</v>
      </c>
      <c r="G894" t="s">
        <v>39</v>
      </c>
      <c r="H894" t="s">
        <v>57</v>
      </c>
      <c r="I894">
        <v>1</v>
      </c>
      <c r="J894">
        <v>10000</v>
      </c>
      <c r="K894">
        <v>20</v>
      </c>
      <c r="L894" t="s">
        <v>73</v>
      </c>
    </row>
    <row r="895" spans="1:12" x14ac:dyDescent="0.3">
      <c r="A895" t="s">
        <v>1043</v>
      </c>
      <c r="B895" s="1">
        <v>45013</v>
      </c>
      <c r="C895" t="s">
        <v>151</v>
      </c>
      <c r="D895" t="s">
        <v>152</v>
      </c>
      <c r="E895" t="s">
        <v>23</v>
      </c>
      <c r="F895" t="s">
        <v>24</v>
      </c>
      <c r="G895" t="s">
        <v>39</v>
      </c>
      <c r="H895" t="s">
        <v>57</v>
      </c>
      <c r="I895">
        <v>1</v>
      </c>
      <c r="J895">
        <v>16200</v>
      </c>
      <c r="K895">
        <v>10</v>
      </c>
      <c r="L895" t="s">
        <v>62</v>
      </c>
    </row>
    <row r="896" spans="1:12" x14ac:dyDescent="0.3">
      <c r="A896" t="s">
        <v>1044</v>
      </c>
      <c r="B896" s="1">
        <v>45013</v>
      </c>
      <c r="C896" t="s">
        <v>143</v>
      </c>
      <c r="D896" t="s">
        <v>144</v>
      </c>
      <c r="E896" t="s">
        <v>23</v>
      </c>
      <c r="F896" t="s">
        <v>31</v>
      </c>
      <c r="G896" t="s">
        <v>39</v>
      </c>
      <c r="H896" t="s">
        <v>40</v>
      </c>
      <c r="I896">
        <v>1</v>
      </c>
      <c r="J896">
        <v>27200</v>
      </c>
      <c r="K896">
        <v>0</v>
      </c>
      <c r="L896" t="s">
        <v>47</v>
      </c>
    </row>
    <row r="897" spans="1:12" x14ac:dyDescent="0.3">
      <c r="A897" t="s">
        <v>1045</v>
      </c>
      <c r="B897" s="1">
        <v>45013</v>
      </c>
      <c r="C897" t="s">
        <v>84</v>
      </c>
      <c r="D897" t="s">
        <v>85</v>
      </c>
      <c r="E897" t="s">
        <v>23</v>
      </c>
      <c r="F897" t="s">
        <v>31</v>
      </c>
      <c r="G897" t="s">
        <v>17</v>
      </c>
      <c r="H897" t="s">
        <v>168</v>
      </c>
      <c r="I897">
        <v>2</v>
      </c>
      <c r="J897">
        <v>47600</v>
      </c>
      <c r="K897">
        <v>5</v>
      </c>
      <c r="L897" t="s">
        <v>27</v>
      </c>
    </row>
    <row r="898" spans="1:12" x14ac:dyDescent="0.3">
      <c r="A898" t="s">
        <v>1046</v>
      </c>
      <c r="B898" s="1">
        <v>45044</v>
      </c>
      <c r="C898" t="s">
        <v>29</v>
      </c>
      <c r="D898" t="s">
        <v>30</v>
      </c>
      <c r="E898" t="s">
        <v>37</v>
      </c>
      <c r="F898" t="s">
        <v>141</v>
      </c>
      <c r="G898" t="s">
        <v>45</v>
      </c>
      <c r="H898" t="s">
        <v>46</v>
      </c>
      <c r="I898">
        <v>1</v>
      </c>
      <c r="J898">
        <v>40800</v>
      </c>
      <c r="K898">
        <v>5</v>
      </c>
      <c r="L898" t="s">
        <v>19</v>
      </c>
    </row>
    <row r="899" spans="1:12" x14ac:dyDescent="0.3">
      <c r="A899" t="s">
        <v>1047</v>
      </c>
      <c r="B899" s="1">
        <v>45074</v>
      </c>
      <c r="C899" t="s">
        <v>112</v>
      </c>
      <c r="D899" t="s">
        <v>113</v>
      </c>
      <c r="E899" t="s">
        <v>37</v>
      </c>
      <c r="F899" t="s">
        <v>38</v>
      </c>
      <c r="G899" t="s">
        <v>97</v>
      </c>
      <c r="H899" t="s">
        <v>174</v>
      </c>
      <c r="I899">
        <v>1</v>
      </c>
      <c r="J899">
        <v>55200</v>
      </c>
      <c r="K899">
        <v>0</v>
      </c>
      <c r="L899" t="s">
        <v>73</v>
      </c>
    </row>
    <row r="900" spans="1:12" x14ac:dyDescent="0.3">
      <c r="A900" t="s">
        <v>1048</v>
      </c>
      <c r="B900" s="1">
        <v>45074</v>
      </c>
      <c r="C900" t="s">
        <v>49</v>
      </c>
      <c r="D900" t="s">
        <v>50</v>
      </c>
      <c r="E900" t="s">
        <v>23</v>
      </c>
      <c r="F900" t="s">
        <v>31</v>
      </c>
      <c r="G900" t="s">
        <v>25</v>
      </c>
      <c r="H900" t="s">
        <v>124</v>
      </c>
      <c r="I900">
        <v>2</v>
      </c>
      <c r="J900">
        <v>600</v>
      </c>
      <c r="K900">
        <v>15</v>
      </c>
      <c r="L900" t="s">
        <v>33</v>
      </c>
    </row>
    <row r="901" spans="1:12" x14ac:dyDescent="0.3">
      <c r="A901" t="s">
        <v>1049</v>
      </c>
      <c r="B901" s="1">
        <v>45074</v>
      </c>
      <c r="C901" t="s">
        <v>284</v>
      </c>
      <c r="D901" t="s">
        <v>285</v>
      </c>
      <c r="E901" t="s">
        <v>66</v>
      </c>
      <c r="F901" t="s">
        <v>72</v>
      </c>
      <c r="G901" t="s">
        <v>45</v>
      </c>
      <c r="H901" t="s">
        <v>207</v>
      </c>
      <c r="I901">
        <v>1</v>
      </c>
      <c r="J901">
        <v>35600</v>
      </c>
      <c r="K901">
        <v>0</v>
      </c>
      <c r="L901" t="s">
        <v>53</v>
      </c>
    </row>
    <row r="902" spans="1:12" x14ac:dyDescent="0.3">
      <c r="A902" t="s">
        <v>1050</v>
      </c>
      <c r="B902" s="1">
        <v>45074</v>
      </c>
      <c r="C902" t="s">
        <v>42</v>
      </c>
      <c r="D902" t="s">
        <v>43</v>
      </c>
      <c r="E902" t="s">
        <v>15</v>
      </c>
      <c r="F902" t="s">
        <v>16</v>
      </c>
      <c r="G902" t="s">
        <v>45</v>
      </c>
      <c r="H902" t="s">
        <v>207</v>
      </c>
      <c r="I902">
        <v>1</v>
      </c>
      <c r="J902">
        <v>39500</v>
      </c>
      <c r="K902">
        <v>25</v>
      </c>
      <c r="L902" t="s">
        <v>33</v>
      </c>
    </row>
    <row r="903" spans="1:12" x14ac:dyDescent="0.3">
      <c r="A903" t="s">
        <v>1051</v>
      </c>
      <c r="B903" s="1">
        <v>45074</v>
      </c>
      <c r="C903" t="s">
        <v>147</v>
      </c>
      <c r="D903" t="s">
        <v>148</v>
      </c>
      <c r="E903" t="s">
        <v>23</v>
      </c>
      <c r="F903" t="s">
        <v>44</v>
      </c>
      <c r="G903" t="s">
        <v>25</v>
      </c>
      <c r="H903" t="s">
        <v>124</v>
      </c>
      <c r="I903">
        <v>2</v>
      </c>
      <c r="J903">
        <v>2100</v>
      </c>
      <c r="K903">
        <v>0</v>
      </c>
      <c r="L903" t="s">
        <v>103</v>
      </c>
    </row>
    <row r="904" spans="1:12" x14ac:dyDescent="0.3">
      <c r="A904" t="s">
        <v>1052</v>
      </c>
      <c r="B904" s="1">
        <v>45074</v>
      </c>
      <c r="C904" t="s">
        <v>143</v>
      </c>
      <c r="D904" t="s">
        <v>144</v>
      </c>
      <c r="E904" t="s">
        <v>66</v>
      </c>
      <c r="F904" t="s">
        <v>72</v>
      </c>
      <c r="G904" t="s">
        <v>97</v>
      </c>
      <c r="H904" t="s">
        <v>174</v>
      </c>
      <c r="I904">
        <v>1</v>
      </c>
      <c r="J904">
        <v>69800</v>
      </c>
      <c r="K904">
        <v>25</v>
      </c>
      <c r="L904" t="s">
        <v>62</v>
      </c>
    </row>
    <row r="905" spans="1:12" x14ac:dyDescent="0.3">
      <c r="A905" t="s">
        <v>1053</v>
      </c>
      <c r="B905" s="1">
        <v>45105</v>
      </c>
      <c r="C905" t="s">
        <v>165</v>
      </c>
      <c r="D905" t="s">
        <v>166</v>
      </c>
      <c r="E905" t="s">
        <v>66</v>
      </c>
      <c r="F905" t="s">
        <v>72</v>
      </c>
      <c r="G905" t="s">
        <v>97</v>
      </c>
      <c r="H905" t="s">
        <v>171</v>
      </c>
      <c r="I905">
        <v>1</v>
      </c>
      <c r="J905">
        <v>46600</v>
      </c>
      <c r="K905">
        <v>25</v>
      </c>
      <c r="L905" t="s">
        <v>27</v>
      </c>
    </row>
    <row r="906" spans="1:12" x14ac:dyDescent="0.3">
      <c r="A906" t="s">
        <v>1054</v>
      </c>
      <c r="B906" s="1">
        <v>45105</v>
      </c>
      <c r="C906" t="s">
        <v>203</v>
      </c>
      <c r="D906" t="s">
        <v>204</v>
      </c>
      <c r="E906" t="s">
        <v>81</v>
      </c>
      <c r="F906" t="s">
        <v>160</v>
      </c>
      <c r="G906" t="s">
        <v>25</v>
      </c>
      <c r="H906" t="s">
        <v>32</v>
      </c>
      <c r="I906">
        <v>2</v>
      </c>
      <c r="J906">
        <v>2000</v>
      </c>
      <c r="K906">
        <v>20</v>
      </c>
      <c r="L906" t="s">
        <v>53</v>
      </c>
    </row>
    <row r="907" spans="1:12" x14ac:dyDescent="0.3">
      <c r="A907" t="s">
        <v>1055</v>
      </c>
      <c r="B907" s="1">
        <v>45135</v>
      </c>
      <c r="C907" t="s">
        <v>135</v>
      </c>
      <c r="D907" t="s">
        <v>136</v>
      </c>
      <c r="E907" t="s">
        <v>66</v>
      </c>
      <c r="F907" t="s">
        <v>72</v>
      </c>
      <c r="G907" t="s">
        <v>25</v>
      </c>
      <c r="H907" t="s">
        <v>212</v>
      </c>
      <c r="I907">
        <v>2</v>
      </c>
      <c r="J907">
        <v>500</v>
      </c>
      <c r="K907">
        <v>10</v>
      </c>
      <c r="L907" t="s">
        <v>27</v>
      </c>
    </row>
    <row r="908" spans="1:12" x14ac:dyDescent="0.3">
      <c r="A908" t="s">
        <v>1056</v>
      </c>
      <c r="B908" s="1">
        <v>45135</v>
      </c>
      <c r="C908" t="s">
        <v>59</v>
      </c>
      <c r="D908" t="s">
        <v>60</v>
      </c>
      <c r="E908" t="s">
        <v>81</v>
      </c>
      <c r="F908" t="s">
        <v>110</v>
      </c>
      <c r="G908" t="s">
        <v>25</v>
      </c>
      <c r="H908" t="s">
        <v>26</v>
      </c>
      <c r="I908">
        <v>2</v>
      </c>
      <c r="J908">
        <v>1500</v>
      </c>
      <c r="K908">
        <v>5</v>
      </c>
      <c r="L908" t="s">
        <v>27</v>
      </c>
    </row>
    <row r="909" spans="1:12" x14ac:dyDescent="0.3">
      <c r="A909" t="s">
        <v>1057</v>
      </c>
      <c r="B909" s="1">
        <v>45166</v>
      </c>
      <c r="C909" t="s">
        <v>284</v>
      </c>
      <c r="D909" t="s">
        <v>285</v>
      </c>
      <c r="E909" t="s">
        <v>15</v>
      </c>
      <c r="F909" t="s">
        <v>16</v>
      </c>
      <c r="G909" t="s">
        <v>39</v>
      </c>
      <c r="H909" t="s">
        <v>68</v>
      </c>
      <c r="I909">
        <v>1</v>
      </c>
      <c r="J909">
        <v>30200</v>
      </c>
      <c r="K909">
        <v>0</v>
      </c>
      <c r="L909" t="s">
        <v>62</v>
      </c>
    </row>
    <row r="910" spans="1:12" x14ac:dyDescent="0.3">
      <c r="A910" t="s">
        <v>1058</v>
      </c>
      <c r="B910" s="1">
        <v>45197</v>
      </c>
      <c r="C910" t="s">
        <v>95</v>
      </c>
      <c r="D910" t="s">
        <v>96</v>
      </c>
      <c r="E910" t="s">
        <v>81</v>
      </c>
      <c r="F910" t="s">
        <v>82</v>
      </c>
      <c r="G910" t="s">
        <v>97</v>
      </c>
      <c r="H910" t="s">
        <v>154</v>
      </c>
      <c r="I910">
        <v>1</v>
      </c>
      <c r="J910">
        <v>78300</v>
      </c>
      <c r="K910">
        <v>5</v>
      </c>
      <c r="L910" t="s">
        <v>19</v>
      </c>
    </row>
    <row r="911" spans="1:12" x14ac:dyDescent="0.3">
      <c r="A911" t="s">
        <v>1059</v>
      </c>
      <c r="B911" s="1">
        <v>45197</v>
      </c>
      <c r="C911" t="s">
        <v>122</v>
      </c>
      <c r="D911" t="s">
        <v>123</v>
      </c>
      <c r="E911" t="s">
        <v>15</v>
      </c>
      <c r="F911" t="s">
        <v>119</v>
      </c>
      <c r="G911" t="s">
        <v>17</v>
      </c>
      <c r="H911" t="s">
        <v>18</v>
      </c>
      <c r="I911">
        <v>1</v>
      </c>
      <c r="J911">
        <v>34100</v>
      </c>
      <c r="K911">
        <v>5</v>
      </c>
      <c r="L911" t="s">
        <v>27</v>
      </c>
    </row>
    <row r="912" spans="1:12" x14ac:dyDescent="0.3">
      <c r="A912" t="s">
        <v>1060</v>
      </c>
      <c r="B912" s="1">
        <v>45227</v>
      </c>
      <c r="C912" t="s">
        <v>115</v>
      </c>
      <c r="D912" t="s">
        <v>116</v>
      </c>
      <c r="E912" t="s">
        <v>15</v>
      </c>
      <c r="F912" t="s">
        <v>16</v>
      </c>
      <c r="G912" t="s">
        <v>97</v>
      </c>
      <c r="H912" t="s">
        <v>133</v>
      </c>
      <c r="I912">
        <v>1</v>
      </c>
      <c r="J912">
        <v>56000</v>
      </c>
      <c r="K912">
        <v>10</v>
      </c>
      <c r="L912" t="s">
        <v>103</v>
      </c>
    </row>
    <row r="913" spans="1:12" x14ac:dyDescent="0.3">
      <c r="A913" t="s">
        <v>1061</v>
      </c>
      <c r="B913" s="1">
        <v>45227</v>
      </c>
      <c r="C913" t="s">
        <v>165</v>
      </c>
      <c r="D913" t="s">
        <v>166</v>
      </c>
      <c r="E913" t="s">
        <v>37</v>
      </c>
      <c r="F913" t="s">
        <v>38</v>
      </c>
      <c r="G913" t="s">
        <v>45</v>
      </c>
      <c r="H913" t="s">
        <v>46</v>
      </c>
      <c r="I913">
        <v>1</v>
      </c>
      <c r="J913">
        <v>29800</v>
      </c>
      <c r="K913">
        <v>25</v>
      </c>
      <c r="L913" t="s">
        <v>47</v>
      </c>
    </row>
    <row r="914" spans="1:12" x14ac:dyDescent="0.3">
      <c r="A914" t="s">
        <v>1062</v>
      </c>
      <c r="B914" s="1">
        <v>45227</v>
      </c>
      <c r="C914" t="s">
        <v>64</v>
      </c>
      <c r="D914" t="s">
        <v>65</v>
      </c>
      <c r="E914" t="s">
        <v>23</v>
      </c>
      <c r="F914" t="s">
        <v>24</v>
      </c>
      <c r="G914" t="s">
        <v>45</v>
      </c>
      <c r="H914" t="s">
        <v>46</v>
      </c>
      <c r="I914">
        <v>1</v>
      </c>
      <c r="J914">
        <v>23200</v>
      </c>
      <c r="K914">
        <v>0</v>
      </c>
      <c r="L914" t="s">
        <v>27</v>
      </c>
    </row>
    <row r="915" spans="1:12" x14ac:dyDescent="0.3">
      <c r="A915" t="s">
        <v>1063</v>
      </c>
      <c r="B915" s="1">
        <v>45258</v>
      </c>
      <c r="C915" t="s">
        <v>176</v>
      </c>
      <c r="D915" t="s">
        <v>177</v>
      </c>
      <c r="E915" t="s">
        <v>23</v>
      </c>
      <c r="F915" t="s">
        <v>51</v>
      </c>
      <c r="G915" t="s">
        <v>97</v>
      </c>
      <c r="H915" t="s">
        <v>133</v>
      </c>
      <c r="I915">
        <v>1</v>
      </c>
      <c r="J915">
        <v>58100</v>
      </c>
      <c r="K915">
        <v>10</v>
      </c>
      <c r="L915" t="s">
        <v>19</v>
      </c>
    </row>
    <row r="916" spans="1:12" x14ac:dyDescent="0.3">
      <c r="A916" t="s">
        <v>1064</v>
      </c>
      <c r="B916" s="1">
        <v>45258</v>
      </c>
      <c r="C916" t="s">
        <v>29</v>
      </c>
      <c r="D916" t="s">
        <v>30</v>
      </c>
      <c r="E916" t="s">
        <v>23</v>
      </c>
      <c r="F916" t="s">
        <v>44</v>
      </c>
      <c r="G916" t="s">
        <v>45</v>
      </c>
      <c r="H916" t="s">
        <v>207</v>
      </c>
      <c r="I916">
        <v>1</v>
      </c>
      <c r="J916">
        <v>27700</v>
      </c>
      <c r="K916">
        <v>20</v>
      </c>
      <c r="L916" t="s">
        <v>103</v>
      </c>
    </row>
    <row r="917" spans="1:12" x14ac:dyDescent="0.3">
      <c r="A917" t="s">
        <v>1065</v>
      </c>
      <c r="B917" s="1">
        <v>45288</v>
      </c>
      <c r="C917" t="s">
        <v>135</v>
      </c>
      <c r="D917" t="s">
        <v>136</v>
      </c>
      <c r="E917" t="s">
        <v>66</v>
      </c>
      <c r="F917" t="s">
        <v>72</v>
      </c>
      <c r="G917" t="s">
        <v>39</v>
      </c>
      <c r="H917" t="s">
        <v>102</v>
      </c>
      <c r="I917">
        <v>1</v>
      </c>
      <c r="J917">
        <v>21600</v>
      </c>
      <c r="K917">
        <v>0</v>
      </c>
      <c r="L917" t="s">
        <v>47</v>
      </c>
    </row>
    <row r="918" spans="1:12" x14ac:dyDescent="0.3">
      <c r="A918" t="s">
        <v>1066</v>
      </c>
      <c r="B918" s="1">
        <v>44955</v>
      </c>
      <c r="C918" t="s">
        <v>84</v>
      </c>
      <c r="D918" t="s">
        <v>85</v>
      </c>
      <c r="E918" t="s">
        <v>37</v>
      </c>
      <c r="F918" t="s">
        <v>61</v>
      </c>
      <c r="G918" t="s">
        <v>17</v>
      </c>
      <c r="H918" t="s">
        <v>18</v>
      </c>
      <c r="I918">
        <v>1</v>
      </c>
      <c r="J918">
        <v>60000</v>
      </c>
      <c r="K918">
        <v>10</v>
      </c>
      <c r="L918" t="s">
        <v>103</v>
      </c>
    </row>
    <row r="919" spans="1:12" x14ac:dyDescent="0.3">
      <c r="A919" t="s">
        <v>1067</v>
      </c>
      <c r="B919" s="1">
        <v>45014</v>
      </c>
      <c r="C919" t="s">
        <v>13</v>
      </c>
      <c r="D919" t="s">
        <v>14</v>
      </c>
      <c r="E919" t="s">
        <v>37</v>
      </c>
      <c r="F919" t="s">
        <v>141</v>
      </c>
      <c r="G919" t="s">
        <v>39</v>
      </c>
      <c r="H919" t="s">
        <v>57</v>
      </c>
      <c r="I919">
        <v>1</v>
      </c>
      <c r="J919">
        <v>35000</v>
      </c>
      <c r="K919">
        <v>25</v>
      </c>
      <c r="L919" t="s">
        <v>47</v>
      </c>
    </row>
    <row r="920" spans="1:12" x14ac:dyDescent="0.3">
      <c r="A920" t="s">
        <v>1068</v>
      </c>
      <c r="B920" s="1">
        <v>45014</v>
      </c>
      <c r="C920" t="s">
        <v>130</v>
      </c>
      <c r="D920" t="s">
        <v>53</v>
      </c>
      <c r="E920" t="s">
        <v>15</v>
      </c>
      <c r="F920" t="s">
        <v>16</v>
      </c>
      <c r="G920" t="s">
        <v>39</v>
      </c>
      <c r="H920" t="s">
        <v>102</v>
      </c>
      <c r="I920">
        <v>1</v>
      </c>
      <c r="J920">
        <v>10000</v>
      </c>
      <c r="K920">
        <v>0</v>
      </c>
      <c r="L920" t="s">
        <v>103</v>
      </c>
    </row>
    <row r="921" spans="1:12" x14ac:dyDescent="0.3">
      <c r="A921" t="s">
        <v>1069</v>
      </c>
      <c r="B921" s="1">
        <v>45014</v>
      </c>
      <c r="C921" t="s">
        <v>64</v>
      </c>
      <c r="D921" t="s">
        <v>65</v>
      </c>
      <c r="E921" t="s">
        <v>81</v>
      </c>
      <c r="F921" t="s">
        <v>117</v>
      </c>
      <c r="G921" t="s">
        <v>25</v>
      </c>
      <c r="H921" t="s">
        <v>124</v>
      </c>
      <c r="I921">
        <v>2</v>
      </c>
      <c r="J921">
        <v>1600</v>
      </c>
      <c r="K921">
        <v>5</v>
      </c>
      <c r="L921" t="s">
        <v>62</v>
      </c>
    </row>
    <row r="922" spans="1:12" x14ac:dyDescent="0.3">
      <c r="A922" t="s">
        <v>1070</v>
      </c>
      <c r="B922" s="1">
        <v>45014</v>
      </c>
      <c r="C922" t="s">
        <v>64</v>
      </c>
      <c r="D922" t="s">
        <v>65</v>
      </c>
      <c r="E922" t="s">
        <v>23</v>
      </c>
      <c r="F922" t="s">
        <v>31</v>
      </c>
      <c r="G922" t="s">
        <v>17</v>
      </c>
      <c r="H922" t="s">
        <v>18</v>
      </c>
      <c r="I922">
        <v>1</v>
      </c>
      <c r="J922">
        <v>29900</v>
      </c>
      <c r="K922">
        <v>5</v>
      </c>
      <c r="L922" t="s">
        <v>73</v>
      </c>
    </row>
    <row r="923" spans="1:12" x14ac:dyDescent="0.3">
      <c r="A923" t="s">
        <v>1071</v>
      </c>
      <c r="B923" s="1">
        <v>45045</v>
      </c>
      <c r="C923" t="s">
        <v>126</v>
      </c>
      <c r="D923" t="s">
        <v>127</v>
      </c>
      <c r="E923" t="s">
        <v>81</v>
      </c>
      <c r="F923" t="s">
        <v>160</v>
      </c>
      <c r="G923" t="s">
        <v>25</v>
      </c>
      <c r="H923" t="s">
        <v>26</v>
      </c>
      <c r="I923">
        <v>3</v>
      </c>
      <c r="J923">
        <v>2400</v>
      </c>
      <c r="K923">
        <v>5</v>
      </c>
      <c r="L923" t="s">
        <v>33</v>
      </c>
    </row>
    <row r="924" spans="1:12" x14ac:dyDescent="0.3">
      <c r="A924" t="s">
        <v>1072</v>
      </c>
      <c r="B924" s="1">
        <v>45075</v>
      </c>
      <c r="C924" t="s">
        <v>13</v>
      </c>
      <c r="D924" t="s">
        <v>14</v>
      </c>
      <c r="E924" t="s">
        <v>81</v>
      </c>
      <c r="F924" t="s">
        <v>82</v>
      </c>
      <c r="G924" t="s">
        <v>97</v>
      </c>
      <c r="H924" t="s">
        <v>133</v>
      </c>
      <c r="I924">
        <v>1</v>
      </c>
      <c r="J924">
        <v>51800</v>
      </c>
      <c r="K924">
        <v>10</v>
      </c>
      <c r="L924" t="s">
        <v>62</v>
      </c>
    </row>
    <row r="925" spans="1:12" x14ac:dyDescent="0.3">
      <c r="A925" t="s">
        <v>1073</v>
      </c>
      <c r="B925" s="1">
        <v>45075</v>
      </c>
      <c r="C925" t="s">
        <v>21</v>
      </c>
      <c r="D925" t="s">
        <v>22</v>
      </c>
      <c r="E925" t="s">
        <v>23</v>
      </c>
      <c r="F925" t="s">
        <v>44</v>
      </c>
      <c r="G925" t="s">
        <v>39</v>
      </c>
      <c r="H925" t="s">
        <v>68</v>
      </c>
      <c r="I925">
        <v>1</v>
      </c>
      <c r="J925">
        <v>25700</v>
      </c>
      <c r="K925">
        <v>5</v>
      </c>
      <c r="L925" t="s">
        <v>73</v>
      </c>
    </row>
    <row r="926" spans="1:12" x14ac:dyDescent="0.3">
      <c r="A926" t="s">
        <v>1074</v>
      </c>
      <c r="B926" s="1">
        <v>45075</v>
      </c>
      <c r="C926" t="s">
        <v>112</v>
      </c>
      <c r="D926" t="s">
        <v>113</v>
      </c>
      <c r="E926" t="s">
        <v>66</v>
      </c>
      <c r="F926" t="s">
        <v>72</v>
      </c>
      <c r="G926" t="s">
        <v>97</v>
      </c>
      <c r="H926" t="s">
        <v>133</v>
      </c>
      <c r="I926">
        <v>1</v>
      </c>
      <c r="J926">
        <v>35000</v>
      </c>
      <c r="K926">
        <v>5</v>
      </c>
      <c r="L926" t="s">
        <v>62</v>
      </c>
    </row>
    <row r="927" spans="1:12" x14ac:dyDescent="0.3">
      <c r="A927" t="s">
        <v>1075</v>
      </c>
      <c r="B927" s="1">
        <v>45106</v>
      </c>
      <c r="C927" t="s">
        <v>158</v>
      </c>
      <c r="D927" t="s">
        <v>159</v>
      </c>
      <c r="E927" t="s">
        <v>81</v>
      </c>
      <c r="F927" t="s">
        <v>82</v>
      </c>
      <c r="G927" t="s">
        <v>97</v>
      </c>
      <c r="H927" t="s">
        <v>174</v>
      </c>
      <c r="I927">
        <v>1</v>
      </c>
      <c r="J927">
        <v>60000</v>
      </c>
      <c r="K927">
        <v>10</v>
      </c>
      <c r="L927" t="s">
        <v>27</v>
      </c>
    </row>
    <row r="928" spans="1:12" x14ac:dyDescent="0.3">
      <c r="A928" t="s">
        <v>1076</v>
      </c>
      <c r="B928" s="1">
        <v>45106</v>
      </c>
      <c r="C928" t="s">
        <v>29</v>
      </c>
      <c r="D928" t="s">
        <v>30</v>
      </c>
      <c r="E928" t="s">
        <v>37</v>
      </c>
      <c r="F928" t="s">
        <v>101</v>
      </c>
      <c r="G928" t="s">
        <v>97</v>
      </c>
      <c r="H928" t="s">
        <v>174</v>
      </c>
      <c r="I928">
        <v>1</v>
      </c>
      <c r="J928">
        <v>61400</v>
      </c>
      <c r="K928">
        <v>5</v>
      </c>
      <c r="L928" t="s">
        <v>103</v>
      </c>
    </row>
    <row r="929" spans="1:12" x14ac:dyDescent="0.3">
      <c r="A929" t="s">
        <v>1077</v>
      </c>
      <c r="B929" s="1">
        <v>45136</v>
      </c>
      <c r="C929" t="s">
        <v>176</v>
      </c>
      <c r="D929" t="s">
        <v>177</v>
      </c>
      <c r="E929" t="s">
        <v>81</v>
      </c>
      <c r="F929" t="s">
        <v>82</v>
      </c>
      <c r="G929" t="s">
        <v>97</v>
      </c>
      <c r="H929" t="s">
        <v>154</v>
      </c>
      <c r="I929">
        <v>1</v>
      </c>
      <c r="J929">
        <v>55900</v>
      </c>
      <c r="K929">
        <v>0</v>
      </c>
      <c r="L929" t="s">
        <v>62</v>
      </c>
    </row>
    <row r="930" spans="1:12" x14ac:dyDescent="0.3">
      <c r="A930" t="s">
        <v>1078</v>
      </c>
      <c r="B930" s="1">
        <v>45136</v>
      </c>
      <c r="C930" t="s">
        <v>183</v>
      </c>
      <c r="D930" t="s">
        <v>27</v>
      </c>
      <c r="E930" t="s">
        <v>15</v>
      </c>
      <c r="F930" t="s">
        <v>16</v>
      </c>
      <c r="G930" t="s">
        <v>45</v>
      </c>
      <c r="H930" t="s">
        <v>52</v>
      </c>
      <c r="I930">
        <v>1</v>
      </c>
      <c r="J930">
        <v>43300</v>
      </c>
      <c r="K930">
        <v>5</v>
      </c>
      <c r="L930" t="s">
        <v>103</v>
      </c>
    </row>
    <row r="931" spans="1:12" x14ac:dyDescent="0.3">
      <c r="A931" t="s">
        <v>1079</v>
      </c>
      <c r="B931" s="1">
        <v>45136</v>
      </c>
      <c r="C931" t="s">
        <v>130</v>
      </c>
      <c r="D931" t="s">
        <v>53</v>
      </c>
      <c r="E931" t="s">
        <v>66</v>
      </c>
      <c r="F931" t="s">
        <v>72</v>
      </c>
      <c r="G931" t="s">
        <v>25</v>
      </c>
      <c r="H931" t="s">
        <v>212</v>
      </c>
      <c r="I931">
        <v>2</v>
      </c>
      <c r="J931">
        <v>1800</v>
      </c>
      <c r="K931">
        <v>0</v>
      </c>
      <c r="L931" t="s">
        <v>103</v>
      </c>
    </row>
    <row r="932" spans="1:12" x14ac:dyDescent="0.3">
      <c r="A932" t="s">
        <v>1080</v>
      </c>
      <c r="B932" s="1">
        <v>45136</v>
      </c>
      <c r="C932" t="s">
        <v>203</v>
      </c>
      <c r="D932" t="s">
        <v>204</v>
      </c>
      <c r="E932" t="s">
        <v>37</v>
      </c>
      <c r="F932" t="s">
        <v>61</v>
      </c>
      <c r="G932" t="s">
        <v>25</v>
      </c>
      <c r="H932" t="s">
        <v>32</v>
      </c>
      <c r="I932">
        <v>2</v>
      </c>
      <c r="J932">
        <v>1500</v>
      </c>
      <c r="K932">
        <v>20</v>
      </c>
      <c r="L932" t="s">
        <v>33</v>
      </c>
    </row>
    <row r="933" spans="1:12" x14ac:dyDescent="0.3">
      <c r="A933" t="s">
        <v>1081</v>
      </c>
      <c r="B933" s="1">
        <v>45167</v>
      </c>
      <c r="C933" t="s">
        <v>165</v>
      </c>
      <c r="D933" t="s">
        <v>166</v>
      </c>
      <c r="E933" t="s">
        <v>23</v>
      </c>
      <c r="F933" t="s">
        <v>31</v>
      </c>
      <c r="G933" t="s">
        <v>97</v>
      </c>
      <c r="H933" t="s">
        <v>174</v>
      </c>
      <c r="I933">
        <v>1</v>
      </c>
      <c r="J933">
        <v>72600</v>
      </c>
      <c r="K933">
        <v>5</v>
      </c>
      <c r="L933" t="s">
        <v>19</v>
      </c>
    </row>
    <row r="934" spans="1:12" x14ac:dyDescent="0.3">
      <c r="A934" t="s">
        <v>1082</v>
      </c>
      <c r="B934" s="1">
        <v>45167</v>
      </c>
      <c r="C934" t="s">
        <v>147</v>
      </c>
      <c r="D934" t="s">
        <v>148</v>
      </c>
      <c r="E934" t="s">
        <v>37</v>
      </c>
      <c r="F934" t="s">
        <v>61</v>
      </c>
      <c r="G934" t="s">
        <v>39</v>
      </c>
      <c r="H934" t="s">
        <v>68</v>
      </c>
      <c r="I934">
        <v>1</v>
      </c>
      <c r="J934">
        <v>33900</v>
      </c>
      <c r="K934">
        <v>15</v>
      </c>
      <c r="L934" t="s">
        <v>27</v>
      </c>
    </row>
    <row r="935" spans="1:12" x14ac:dyDescent="0.3">
      <c r="A935" t="s">
        <v>1083</v>
      </c>
      <c r="B935" s="1">
        <v>45167</v>
      </c>
      <c r="C935" t="s">
        <v>90</v>
      </c>
      <c r="D935" t="s">
        <v>91</v>
      </c>
      <c r="E935" t="s">
        <v>37</v>
      </c>
      <c r="F935" t="s">
        <v>38</v>
      </c>
      <c r="G935" t="s">
        <v>25</v>
      </c>
      <c r="H935" t="s">
        <v>124</v>
      </c>
      <c r="I935">
        <v>2</v>
      </c>
      <c r="J935">
        <v>1600</v>
      </c>
      <c r="K935">
        <v>5</v>
      </c>
      <c r="L935" t="s">
        <v>33</v>
      </c>
    </row>
    <row r="936" spans="1:12" x14ac:dyDescent="0.3">
      <c r="A936" t="s">
        <v>1084</v>
      </c>
      <c r="B936" s="1">
        <v>45167</v>
      </c>
      <c r="C936" t="s">
        <v>126</v>
      </c>
      <c r="D936" t="s">
        <v>127</v>
      </c>
      <c r="E936" t="s">
        <v>66</v>
      </c>
      <c r="F936" t="s">
        <v>72</v>
      </c>
      <c r="G936" t="s">
        <v>45</v>
      </c>
      <c r="H936" t="s">
        <v>46</v>
      </c>
      <c r="I936">
        <v>1</v>
      </c>
      <c r="J936">
        <v>23600</v>
      </c>
      <c r="K936">
        <v>0</v>
      </c>
      <c r="L936" t="s">
        <v>73</v>
      </c>
    </row>
    <row r="937" spans="1:12" x14ac:dyDescent="0.3">
      <c r="A937" t="s">
        <v>1085</v>
      </c>
      <c r="B937" s="1">
        <v>45228</v>
      </c>
      <c r="C937" t="s">
        <v>90</v>
      </c>
      <c r="D937" t="s">
        <v>91</v>
      </c>
      <c r="E937" t="s">
        <v>66</v>
      </c>
      <c r="F937" t="s">
        <v>67</v>
      </c>
      <c r="G937" t="s">
        <v>25</v>
      </c>
      <c r="H937" t="s">
        <v>124</v>
      </c>
      <c r="I937">
        <v>2</v>
      </c>
      <c r="J937">
        <v>1600</v>
      </c>
      <c r="K937">
        <v>10</v>
      </c>
      <c r="L937" t="s">
        <v>53</v>
      </c>
    </row>
    <row r="938" spans="1:12" x14ac:dyDescent="0.3">
      <c r="A938" t="s">
        <v>1086</v>
      </c>
      <c r="B938" s="1">
        <v>45228</v>
      </c>
      <c r="C938" t="s">
        <v>183</v>
      </c>
      <c r="D938" t="s">
        <v>27</v>
      </c>
      <c r="E938" t="s">
        <v>66</v>
      </c>
      <c r="F938" t="s">
        <v>92</v>
      </c>
      <c r="G938" t="s">
        <v>39</v>
      </c>
      <c r="H938" t="s">
        <v>102</v>
      </c>
      <c r="I938">
        <v>1</v>
      </c>
      <c r="J938">
        <v>23500</v>
      </c>
      <c r="K938">
        <v>25</v>
      </c>
      <c r="L938" t="s">
        <v>33</v>
      </c>
    </row>
    <row r="939" spans="1:12" x14ac:dyDescent="0.3">
      <c r="A939" t="s">
        <v>1087</v>
      </c>
      <c r="B939" s="1">
        <v>45228</v>
      </c>
      <c r="C939" t="s">
        <v>284</v>
      </c>
      <c r="D939" t="s">
        <v>285</v>
      </c>
      <c r="E939" t="s">
        <v>37</v>
      </c>
      <c r="F939" t="s">
        <v>101</v>
      </c>
      <c r="G939" t="s">
        <v>25</v>
      </c>
      <c r="H939" t="s">
        <v>108</v>
      </c>
      <c r="I939">
        <v>2</v>
      </c>
      <c r="J939">
        <v>2500</v>
      </c>
      <c r="K939">
        <v>10</v>
      </c>
      <c r="L939" t="s">
        <v>73</v>
      </c>
    </row>
    <row r="940" spans="1:12" x14ac:dyDescent="0.3">
      <c r="A940" t="s">
        <v>1088</v>
      </c>
      <c r="B940" s="1">
        <v>45259</v>
      </c>
      <c r="C940" t="s">
        <v>203</v>
      </c>
      <c r="D940" t="s">
        <v>204</v>
      </c>
      <c r="E940" t="s">
        <v>81</v>
      </c>
      <c r="F940" t="s">
        <v>117</v>
      </c>
      <c r="G940" t="s">
        <v>17</v>
      </c>
      <c r="H940" t="s">
        <v>88</v>
      </c>
      <c r="I940">
        <v>1</v>
      </c>
      <c r="J940">
        <v>44500</v>
      </c>
      <c r="K940">
        <v>5</v>
      </c>
      <c r="L940" t="s">
        <v>62</v>
      </c>
    </row>
    <row r="941" spans="1:12" x14ac:dyDescent="0.3">
      <c r="A941" t="s">
        <v>1089</v>
      </c>
      <c r="B941" s="1">
        <v>45259</v>
      </c>
      <c r="C941" t="s">
        <v>13</v>
      </c>
      <c r="D941" t="s">
        <v>14</v>
      </c>
      <c r="E941" t="s">
        <v>15</v>
      </c>
      <c r="F941" t="s">
        <v>16</v>
      </c>
      <c r="G941" t="s">
        <v>25</v>
      </c>
      <c r="H941" t="s">
        <v>32</v>
      </c>
      <c r="I941">
        <v>2</v>
      </c>
      <c r="J941">
        <v>900</v>
      </c>
      <c r="K941">
        <v>0</v>
      </c>
      <c r="L941" t="s">
        <v>62</v>
      </c>
    </row>
    <row r="942" spans="1:12" x14ac:dyDescent="0.3">
      <c r="A942" t="s">
        <v>1090</v>
      </c>
      <c r="B942" s="1">
        <v>45259</v>
      </c>
      <c r="C942" t="s">
        <v>126</v>
      </c>
      <c r="D942" t="s">
        <v>127</v>
      </c>
      <c r="E942" t="s">
        <v>81</v>
      </c>
      <c r="F942" t="s">
        <v>117</v>
      </c>
      <c r="G942" t="s">
        <v>45</v>
      </c>
      <c r="H942" t="s">
        <v>207</v>
      </c>
      <c r="I942">
        <v>1</v>
      </c>
      <c r="J942">
        <v>24400</v>
      </c>
      <c r="K942">
        <v>10</v>
      </c>
      <c r="L942" t="s">
        <v>19</v>
      </c>
    </row>
    <row r="943" spans="1:12" x14ac:dyDescent="0.3">
      <c r="A943" t="s">
        <v>1091</v>
      </c>
      <c r="B943" s="1">
        <v>45259</v>
      </c>
      <c r="C943" t="s">
        <v>122</v>
      </c>
      <c r="D943" t="s">
        <v>123</v>
      </c>
      <c r="E943" t="s">
        <v>66</v>
      </c>
      <c r="F943" t="s">
        <v>67</v>
      </c>
      <c r="G943" t="s">
        <v>17</v>
      </c>
      <c r="H943" t="s">
        <v>88</v>
      </c>
      <c r="I943">
        <v>1</v>
      </c>
      <c r="J943">
        <v>44900</v>
      </c>
      <c r="K943">
        <v>0</v>
      </c>
      <c r="L943" t="s">
        <v>73</v>
      </c>
    </row>
    <row r="944" spans="1:12" x14ac:dyDescent="0.3">
      <c r="A944" t="s">
        <v>1092</v>
      </c>
      <c r="B944" s="1">
        <v>45289</v>
      </c>
      <c r="C944" t="s">
        <v>143</v>
      </c>
      <c r="D944" t="s">
        <v>144</v>
      </c>
      <c r="E944" t="s">
        <v>81</v>
      </c>
      <c r="F944" t="s">
        <v>110</v>
      </c>
      <c r="G944" t="s">
        <v>97</v>
      </c>
      <c r="H944" t="s">
        <v>98</v>
      </c>
      <c r="I944">
        <v>1</v>
      </c>
      <c r="J944">
        <v>77700</v>
      </c>
      <c r="K944">
        <v>5</v>
      </c>
      <c r="L944" t="s">
        <v>19</v>
      </c>
    </row>
    <row r="945" spans="1:12" x14ac:dyDescent="0.3">
      <c r="A945" t="s">
        <v>1093</v>
      </c>
      <c r="B945" s="1">
        <v>45289</v>
      </c>
      <c r="C945" t="s">
        <v>42</v>
      </c>
      <c r="D945" t="s">
        <v>43</v>
      </c>
      <c r="E945" t="s">
        <v>81</v>
      </c>
      <c r="F945" t="s">
        <v>117</v>
      </c>
      <c r="G945" t="s">
        <v>17</v>
      </c>
      <c r="H945" t="s">
        <v>18</v>
      </c>
      <c r="I945">
        <v>1</v>
      </c>
      <c r="J945">
        <v>32700</v>
      </c>
      <c r="K945">
        <v>0</v>
      </c>
      <c r="L945" t="s">
        <v>62</v>
      </c>
    </row>
    <row r="946" spans="1:12" x14ac:dyDescent="0.3">
      <c r="A946" t="s">
        <v>1094</v>
      </c>
      <c r="B946" s="1">
        <v>45289</v>
      </c>
      <c r="C946" t="s">
        <v>188</v>
      </c>
      <c r="D946" t="s">
        <v>189</v>
      </c>
      <c r="E946" t="s">
        <v>66</v>
      </c>
      <c r="F946" t="s">
        <v>72</v>
      </c>
      <c r="G946" t="s">
        <v>39</v>
      </c>
      <c r="H946" t="s">
        <v>57</v>
      </c>
      <c r="I946">
        <v>1</v>
      </c>
      <c r="J946">
        <v>28500</v>
      </c>
      <c r="K946">
        <v>10</v>
      </c>
      <c r="L946" t="s">
        <v>47</v>
      </c>
    </row>
    <row r="947" spans="1:12" x14ac:dyDescent="0.3">
      <c r="A947" t="s">
        <v>1095</v>
      </c>
      <c r="B947" s="1">
        <v>45289</v>
      </c>
      <c r="C947" t="s">
        <v>115</v>
      </c>
      <c r="D947" t="s">
        <v>116</v>
      </c>
      <c r="E947" t="s">
        <v>66</v>
      </c>
      <c r="F947" t="s">
        <v>67</v>
      </c>
      <c r="G947" t="s">
        <v>39</v>
      </c>
      <c r="H947" t="s">
        <v>57</v>
      </c>
      <c r="I947">
        <v>1</v>
      </c>
      <c r="J947">
        <v>22000</v>
      </c>
      <c r="K947">
        <v>10</v>
      </c>
      <c r="L947" t="s">
        <v>19</v>
      </c>
    </row>
    <row r="948" spans="1:12" x14ac:dyDescent="0.3">
      <c r="A948" t="s">
        <v>1096</v>
      </c>
      <c r="B948" s="1">
        <v>45289</v>
      </c>
      <c r="C948" t="s">
        <v>180</v>
      </c>
      <c r="D948" t="s">
        <v>181</v>
      </c>
      <c r="E948" t="s">
        <v>37</v>
      </c>
      <c r="F948" t="s">
        <v>141</v>
      </c>
      <c r="G948" t="s">
        <v>45</v>
      </c>
      <c r="H948" t="s">
        <v>207</v>
      </c>
      <c r="I948">
        <v>1</v>
      </c>
      <c r="J948">
        <v>32200</v>
      </c>
      <c r="K948">
        <v>10</v>
      </c>
      <c r="L948" t="s">
        <v>62</v>
      </c>
    </row>
    <row r="949" spans="1:12" x14ac:dyDescent="0.3">
      <c r="A949" t="s">
        <v>1097</v>
      </c>
      <c r="B949" s="1">
        <v>44956</v>
      </c>
      <c r="C949" t="s">
        <v>180</v>
      </c>
      <c r="D949" t="s">
        <v>181</v>
      </c>
      <c r="E949" t="s">
        <v>15</v>
      </c>
      <c r="F949" t="s">
        <v>119</v>
      </c>
      <c r="G949" t="s">
        <v>45</v>
      </c>
      <c r="H949" t="s">
        <v>46</v>
      </c>
      <c r="I949">
        <v>1</v>
      </c>
      <c r="J949">
        <v>45800</v>
      </c>
      <c r="K949">
        <v>0</v>
      </c>
      <c r="L949" t="s">
        <v>47</v>
      </c>
    </row>
    <row r="950" spans="1:12" x14ac:dyDescent="0.3">
      <c r="A950" t="s">
        <v>1098</v>
      </c>
      <c r="B950" s="1">
        <v>45015</v>
      </c>
      <c r="C950" t="s">
        <v>112</v>
      </c>
      <c r="D950" t="s">
        <v>113</v>
      </c>
      <c r="E950" t="s">
        <v>81</v>
      </c>
      <c r="F950" t="s">
        <v>82</v>
      </c>
      <c r="G950" t="s">
        <v>97</v>
      </c>
      <c r="H950" t="s">
        <v>171</v>
      </c>
      <c r="I950">
        <v>1</v>
      </c>
      <c r="J950">
        <v>66000</v>
      </c>
      <c r="K950">
        <v>0</v>
      </c>
      <c r="L950" t="s">
        <v>33</v>
      </c>
    </row>
    <row r="951" spans="1:12" x14ac:dyDescent="0.3">
      <c r="A951" t="s">
        <v>1099</v>
      </c>
      <c r="B951" s="1">
        <v>45015</v>
      </c>
      <c r="C951" t="s">
        <v>55</v>
      </c>
      <c r="D951" t="s">
        <v>56</v>
      </c>
      <c r="E951" t="s">
        <v>23</v>
      </c>
      <c r="F951" t="s">
        <v>44</v>
      </c>
      <c r="G951" t="s">
        <v>97</v>
      </c>
      <c r="H951" t="s">
        <v>154</v>
      </c>
      <c r="I951">
        <v>1</v>
      </c>
      <c r="J951">
        <v>37600</v>
      </c>
      <c r="K951">
        <v>25</v>
      </c>
      <c r="L951" t="s">
        <v>53</v>
      </c>
    </row>
    <row r="952" spans="1:12" x14ac:dyDescent="0.3">
      <c r="A952" t="s">
        <v>1100</v>
      </c>
      <c r="B952" s="1">
        <v>45015</v>
      </c>
      <c r="C952" t="s">
        <v>59</v>
      </c>
      <c r="D952" t="s">
        <v>60</v>
      </c>
      <c r="E952" t="s">
        <v>15</v>
      </c>
      <c r="F952" t="s">
        <v>16</v>
      </c>
      <c r="G952" t="s">
        <v>45</v>
      </c>
      <c r="H952" t="s">
        <v>46</v>
      </c>
      <c r="I952">
        <v>1</v>
      </c>
      <c r="J952">
        <v>26500</v>
      </c>
      <c r="K952">
        <v>0</v>
      </c>
      <c r="L952" t="s">
        <v>53</v>
      </c>
    </row>
    <row r="953" spans="1:12" x14ac:dyDescent="0.3">
      <c r="A953" t="s">
        <v>1101</v>
      </c>
      <c r="B953" s="1">
        <v>45015</v>
      </c>
      <c r="C953" t="s">
        <v>79</v>
      </c>
      <c r="D953" t="s">
        <v>80</v>
      </c>
      <c r="E953" t="s">
        <v>81</v>
      </c>
      <c r="F953" t="s">
        <v>110</v>
      </c>
      <c r="G953" t="s">
        <v>17</v>
      </c>
      <c r="H953" t="s">
        <v>18</v>
      </c>
      <c r="I953">
        <v>1</v>
      </c>
      <c r="J953">
        <v>39700</v>
      </c>
      <c r="K953">
        <v>25</v>
      </c>
      <c r="L953" t="s">
        <v>103</v>
      </c>
    </row>
    <row r="954" spans="1:12" x14ac:dyDescent="0.3">
      <c r="A954" t="s">
        <v>1102</v>
      </c>
      <c r="B954" s="1">
        <v>45046</v>
      </c>
      <c r="C954" t="s">
        <v>236</v>
      </c>
      <c r="D954" t="s">
        <v>237</v>
      </c>
      <c r="E954" t="s">
        <v>66</v>
      </c>
      <c r="F954" t="s">
        <v>67</v>
      </c>
      <c r="G954" t="s">
        <v>45</v>
      </c>
      <c r="H954" t="s">
        <v>156</v>
      </c>
      <c r="I954">
        <v>1</v>
      </c>
      <c r="J954">
        <v>41400</v>
      </c>
      <c r="K954">
        <v>10</v>
      </c>
      <c r="L954" t="s">
        <v>62</v>
      </c>
    </row>
    <row r="955" spans="1:12" x14ac:dyDescent="0.3">
      <c r="A955" t="s">
        <v>1103</v>
      </c>
      <c r="B955" s="1">
        <v>45046</v>
      </c>
      <c r="C955" t="s">
        <v>112</v>
      </c>
      <c r="D955" t="s">
        <v>113</v>
      </c>
      <c r="E955" t="s">
        <v>23</v>
      </c>
      <c r="F955" t="s">
        <v>51</v>
      </c>
      <c r="G955" t="s">
        <v>17</v>
      </c>
      <c r="H955" t="s">
        <v>18</v>
      </c>
      <c r="I955">
        <v>1</v>
      </c>
      <c r="J955">
        <v>49500</v>
      </c>
      <c r="K955">
        <v>0</v>
      </c>
      <c r="L955" t="s">
        <v>19</v>
      </c>
    </row>
    <row r="956" spans="1:12" x14ac:dyDescent="0.3">
      <c r="A956" t="s">
        <v>1104</v>
      </c>
      <c r="B956" s="1">
        <v>45076</v>
      </c>
      <c r="C956" t="s">
        <v>70</v>
      </c>
      <c r="D956" t="s">
        <v>71</v>
      </c>
      <c r="E956" t="s">
        <v>66</v>
      </c>
      <c r="F956" t="s">
        <v>87</v>
      </c>
      <c r="G956" t="s">
        <v>25</v>
      </c>
      <c r="H956" t="s">
        <v>108</v>
      </c>
      <c r="I956">
        <v>2</v>
      </c>
      <c r="J956">
        <v>1900</v>
      </c>
      <c r="K956">
        <v>0</v>
      </c>
      <c r="L956" t="s">
        <v>73</v>
      </c>
    </row>
    <row r="957" spans="1:12" x14ac:dyDescent="0.3">
      <c r="A957" t="s">
        <v>1105</v>
      </c>
      <c r="B957" s="1">
        <v>45076</v>
      </c>
      <c r="C957" t="s">
        <v>29</v>
      </c>
      <c r="D957" t="s">
        <v>30</v>
      </c>
      <c r="E957" t="s">
        <v>15</v>
      </c>
      <c r="F957" t="s">
        <v>128</v>
      </c>
      <c r="G957" t="s">
        <v>97</v>
      </c>
      <c r="H957" t="s">
        <v>154</v>
      </c>
      <c r="I957">
        <v>1</v>
      </c>
      <c r="J957">
        <v>54000</v>
      </c>
      <c r="K957">
        <v>10</v>
      </c>
      <c r="L957" t="s">
        <v>27</v>
      </c>
    </row>
    <row r="958" spans="1:12" x14ac:dyDescent="0.3">
      <c r="A958" t="s">
        <v>1106</v>
      </c>
      <c r="B958" s="1">
        <v>45076</v>
      </c>
      <c r="C958" t="s">
        <v>158</v>
      </c>
      <c r="D958" t="s">
        <v>159</v>
      </c>
      <c r="E958" t="s">
        <v>81</v>
      </c>
      <c r="F958" t="s">
        <v>160</v>
      </c>
      <c r="G958" t="s">
        <v>25</v>
      </c>
      <c r="H958" t="s">
        <v>124</v>
      </c>
      <c r="I958">
        <v>2</v>
      </c>
      <c r="J958">
        <v>2300</v>
      </c>
      <c r="K958">
        <v>10</v>
      </c>
      <c r="L958" t="s">
        <v>47</v>
      </c>
    </row>
    <row r="959" spans="1:12" x14ac:dyDescent="0.3">
      <c r="A959" t="s">
        <v>1107</v>
      </c>
      <c r="B959" s="1">
        <v>45107</v>
      </c>
      <c r="C959" t="s">
        <v>284</v>
      </c>
      <c r="D959" t="s">
        <v>285</v>
      </c>
      <c r="E959" t="s">
        <v>37</v>
      </c>
      <c r="F959" t="s">
        <v>38</v>
      </c>
      <c r="G959" t="s">
        <v>39</v>
      </c>
      <c r="H959" t="s">
        <v>68</v>
      </c>
      <c r="I959">
        <v>2</v>
      </c>
      <c r="J959">
        <v>23300</v>
      </c>
      <c r="K959">
        <v>0</v>
      </c>
      <c r="L959" t="s">
        <v>103</v>
      </c>
    </row>
    <row r="960" spans="1:12" x14ac:dyDescent="0.3">
      <c r="A960" t="s">
        <v>1108</v>
      </c>
      <c r="B960" s="1">
        <v>45107</v>
      </c>
      <c r="C960" t="s">
        <v>284</v>
      </c>
      <c r="D960" t="s">
        <v>285</v>
      </c>
      <c r="E960" t="s">
        <v>81</v>
      </c>
      <c r="F960" t="s">
        <v>110</v>
      </c>
      <c r="G960" t="s">
        <v>17</v>
      </c>
      <c r="H960" t="s">
        <v>18</v>
      </c>
      <c r="I960">
        <v>1</v>
      </c>
      <c r="J960">
        <v>44400</v>
      </c>
      <c r="K960">
        <v>0</v>
      </c>
      <c r="L960" t="s">
        <v>47</v>
      </c>
    </row>
    <row r="961" spans="1:12" x14ac:dyDescent="0.3">
      <c r="A961" t="s">
        <v>1109</v>
      </c>
      <c r="B961" s="1">
        <v>45137</v>
      </c>
      <c r="C961" t="s">
        <v>203</v>
      </c>
      <c r="D961" t="s">
        <v>204</v>
      </c>
      <c r="E961" t="s">
        <v>81</v>
      </c>
      <c r="F961" t="s">
        <v>110</v>
      </c>
      <c r="G961" t="s">
        <v>25</v>
      </c>
      <c r="H961" t="s">
        <v>108</v>
      </c>
      <c r="I961">
        <v>2</v>
      </c>
      <c r="J961">
        <v>1900</v>
      </c>
      <c r="K961">
        <v>25</v>
      </c>
      <c r="L961" t="s">
        <v>103</v>
      </c>
    </row>
    <row r="962" spans="1:12" x14ac:dyDescent="0.3">
      <c r="A962" t="s">
        <v>1110</v>
      </c>
      <c r="B962" s="1">
        <v>45137</v>
      </c>
      <c r="C962" t="s">
        <v>13</v>
      </c>
      <c r="D962" t="s">
        <v>14</v>
      </c>
      <c r="E962" t="s">
        <v>37</v>
      </c>
      <c r="F962" t="s">
        <v>38</v>
      </c>
      <c r="G962" t="s">
        <v>39</v>
      </c>
      <c r="H962" t="s">
        <v>102</v>
      </c>
      <c r="I962">
        <v>1</v>
      </c>
      <c r="J962">
        <v>20300</v>
      </c>
      <c r="K962">
        <v>25</v>
      </c>
      <c r="L962" t="s">
        <v>73</v>
      </c>
    </row>
    <row r="963" spans="1:12" x14ac:dyDescent="0.3">
      <c r="A963" t="s">
        <v>1111</v>
      </c>
      <c r="B963" s="1">
        <v>45137</v>
      </c>
      <c r="C963" t="s">
        <v>147</v>
      </c>
      <c r="D963" t="s">
        <v>148</v>
      </c>
      <c r="E963" t="s">
        <v>23</v>
      </c>
      <c r="F963" t="s">
        <v>24</v>
      </c>
      <c r="G963" t="s">
        <v>25</v>
      </c>
      <c r="H963" t="s">
        <v>124</v>
      </c>
      <c r="I963">
        <v>2</v>
      </c>
      <c r="J963">
        <v>3000</v>
      </c>
      <c r="K963">
        <v>5</v>
      </c>
      <c r="L963" t="s">
        <v>47</v>
      </c>
    </row>
    <row r="964" spans="1:12" x14ac:dyDescent="0.3">
      <c r="A964" t="s">
        <v>1112</v>
      </c>
      <c r="B964" s="1">
        <v>45168</v>
      </c>
      <c r="C964" t="s">
        <v>55</v>
      </c>
      <c r="D964" t="s">
        <v>56</v>
      </c>
      <c r="E964" t="s">
        <v>23</v>
      </c>
      <c r="F964" t="s">
        <v>31</v>
      </c>
      <c r="G964" t="s">
        <v>39</v>
      </c>
      <c r="H964" t="s">
        <v>57</v>
      </c>
      <c r="I964">
        <v>1</v>
      </c>
      <c r="J964">
        <v>20100</v>
      </c>
      <c r="K964">
        <v>0</v>
      </c>
      <c r="L964" t="s">
        <v>47</v>
      </c>
    </row>
    <row r="965" spans="1:12" x14ac:dyDescent="0.3">
      <c r="A965" t="s">
        <v>1113</v>
      </c>
      <c r="B965" s="1">
        <v>45168</v>
      </c>
      <c r="C965" t="s">
        <v>59</v>
      </c>
      <c r="D965" t="s">
        <v>60</v>
      </c>
      <c r="E965" t="s">
        <v>23</v>
      </c>
      <c r="F965" t="s">
        <v>51</v>
      </c>
      <c r="G965" t="s">
        <v>97</v>
      </c>
      <c r="H965" t="s">
        <v>154</v>
      </c>
      <c r="I965">
        <v>1</v>
      </c>
      <c r="J965">
        <v>38800</v>
      </c>
      <c r="K965">
        <v>0</v>
      </c>
      <c r="L965" t="s">
        <v>73</v>
      </c>
    </row>
    <row r="966" spans="1:12" x14ac:dyDescent="0.3">
      <c r="A966" t="s">
        <v>1114</v>
      </c>
      <c r="B966" s="1">
        <v>45168</v>
      </c>
      <c r="C966" t="s">
        <v>90</v>
      </c>
      <c r="D966" t="s">
        <v>91</v>
      </c>
      <c r="E966" t="s">
        <v>15</v>
      </c>
      <c r="F966" t="s">
        <v>119</v>
      </c>
      <c r="G966" t="s">
        <v>97</v>
      </c>
      <c r="H966" t="s">
        <v>174</v>
      </c>
      <c r="I966">
        <v>1</v>
      </c>
      <c r="J966">
        <v>46600</v>
      </c>
      <c r="K966">
        <v>5</v>
      </c>
      <c r="L966" t="s">
        <v>53</v>
      </c>
    </row>
    <row r="967" spans="1:12" x14ac:dyDescent="0.3">
      <c r="A967" t="s">
        <v>1115</v>
      </c>
      <c r="B967" s="1">
        <v>45168</v>
      </c>
      <c r="C967" t="s">
        <v>59</v>
      </c>
      <c r="D967" t="s">
        <v>60</v>
      </c>
      <c r="E967" t="s">
        <v>37</v>
      </c>
      <c r="F967" t="s">
        <v>101</v>
      </c>
      <c r="G967" t="s">
        <v>25</v>
      </c>
      <c r="H967" t="s">
        <v>108</v>
      </c>
      <c r="I967">
        <v>2</v>
      </c>
      <c r="J967">
        <v>2600</v>
      </c>
      <c r="K967">
        <v>5</v>
      </c>
      <c r="L967" t="s">
        <v>103</v>
      </c>
    </row>
    <row r="968" spans="1:12" x14ac:dyDescent="0.3">
      <c r="A968" t="s">
        <v>1116</v>
      </c>
      <c r="B968" s="1">
        <v>45199</v>
      </c>
      <c r="C968" t="s">
        <v>165</v>
      </c>
      <c r="D968" t="s">
        <v>166</v>
      </c>
      <c r="E968" t="s">
        <v>66</v>
      </c>
      <c r="F968" t="s">
        <v>92</v>
      </c>
      <c r="G968" t="s">
        <v>97</v>
      </c>
      <c r="H968" t="s">
        <v>154</v>
      </c>
      <c r="I968">
        <v>1</v>
      </c>
      <c r="J968">
        <v>66400</v>
      </c>
      <c r="K968">
        <v>10</v>
      </c>
      <c r="L968" t="s">
        <v>27</v>
      </c>
    </row>
    <row r="969" spans="1:12" x14ac:dyDescent="0.3">
      <c r="A969" t="s">
        <v>1117</v>
      </c>
      <c r="B969" s="1">
        <v>45199</v>
      </c>
      <c r="C969" t="s">
        <v>105</v>
      </c>
      <c r="D969" t="s">
        <v>106</v>
      </c>
      <c r="E969" t="s">
        <v>66</v>
      </c>
      <c r="F969" t="s">
        <v>87</v>
      </c>
      <c r="G969" t="s">
        <v>17</v>
      </c>
      <c r="H969" t="s">
        <v>18</v>
      </c>
      <c r="I969">
        <v>1</v>
      </c>
      <c r="J969">
        <v>39400</v>
      </c>
      <c r="K969">
        <v>5</v>
      </c>
      <c r="L969" t="s">
        <v>62</v>
      </c>
    </row>
    <row r="970" spans="1:12" x14ac:dyDescent="0.3">
      <c r="A970" t="s">
        <v>1118</v>
      </c>
      <c r="B970" s="1">
        <v>45199</v>
      </c>
      <c r="C970" t="s">
        <v>105</v>
      </c>
      <c r="D970" t="s">
        <v>106</v>
      </c>
      <c r="E970" t="s">
        <v>81</v>
      </c>
      <c r="F970" t="s">
        <v>117</v>
      </c>
      <c r="G970" t="s">
        <v>45</v>
      </c>
      <c r="H970" t="s">
        <v>52</v>
      </c>
      <c r="I970">
        <v>1</v>
      </c>
      <c r="J970">
        <v>27700</v>
      </c>
      <c r="K970">
        <v>5</v>
      </c>
      <c r="L970" t="s">
        <v>47</v>
      </c>
    </row>
    <row r="971" spans="1:12" x14ac:dyDescent="0.3">
      <c r="A971" t="s">
        <v>1119</v>
      </c>
      <c r="B971" s="1">
        <v>45229</v>
      </c>
      <c r="C971" t="s">
        <v>284</v>
      </c>
      <c r="D971" t="s">
        <v>285</v>
      </c>
      <c r="E971" t="s">
        <v>37</v>
      </c>
      <c r="F971" t="s">
        <v>101</v>
      </c>
      <c r="G971" t="s">
        <v>39</v>
      </c>
      <c r="H971" t="s">
        <v>40</v>
      </c>
      <c r="I971">
        <v>1</v>
      </c>
      <c r="J971">
        <v>24600</v>
      </c>
      <c r="K971">
        <v>20</v>
      </c>
      <c r="L971" t="s">
        <v>73</v>
      </c>
    </row>
    <row r="972" spans="1:12" x14ac:dyDescent="0.3">
      <c r="A972" t="s">
        <v>1120</v>
      </c>
      <c r="B972" s="1">
        <v>45229</v>
      </c>
      <c r="C972" t="s">
        <v>135</v>
      </c>
      <c r="D972" t="s">
        <v>136</v>
      </c>
      <c r="E972" t="s">
        <v>66</v>
      </c>
      <c r="F972" t="s">
        <v>92</v>
      </c>
      <c r="G972" t="s">
        <v>45</v>
      </c>
      <c r="H972" t="s">
        <v>52</v>
      </c>
      <c r="I972">
        <v>1</v>
      </c>
      <c r="J972">
        <v>35800</v>
      </c>
      <c r="K972">
        <v>0</v>
      </c>
      <c r="L972" t="s">
        <v>103</v>
      </c>
    </row>
    <row r="973" spans="1:12" x14ac:dyDescent="0.3">
      <c r="A973" t="s">
        <v>1121</v>
      </c>
      <c r="B973" s="1">
        <v>45229</v>
      </c>
      <c r="C973" t="s">
        <v>284</v>
      </c>
      <c r="D973" t="s">
        <v>285</v>
      </c>
      <c r="E973" t="s">
        <v>15</v>
      </c>
      <c r="F973" t="s">
        <v>119</v>
      </c>
      <c r="G973" t="s">
        <v>39</v>
      </c>
      <c r="H973" t="s">
        <v>68</v>
      </c>
      <c r="I973">
        <v>1</v>
      </c>
      <c r="J973">
        <v>26300</v>
      </c>
      <c r="K973">
        <v>20</v>
      </c>
      <c r="L973" t="s">
        <v>47</v>
      </c>
    </row>
    <row r="974" spans="1:12" x14ac:dyDescent="0.3">
      <c r="A974" t="s">
        <v>1122</v>
      </c>
      <c r="B974" s="1">
        <v>45260</v>
      </c>
      <c r="C974" t="s">
        <v>185</v>
      </c>
      <c r="D974" t="s">
        <v>186</v>
      </c>
      <c r="E974" t="s">
        <v>37</v>
      </c>
      <c r="F974" t="s">
        <v>61</v>
      </c>
      <c r="G974" t="s">
        <v>39</v>
      </c>
      <c r="H974" t="s">
        <v>102</v>
      </c>
      <c r="I974">
        <v>1</v>
      </c>
      <c r="J974">
        <v>21300</v>
      </c>
      <c r="K974">
        <v>0</v>
      </c>
      <c r="L974" t="s">
        <v>103</v>
      </c>
    </row>
    <row r="975" spans="1:12" x14ac:dyDescent="0.3">
      <c r="A975" t="s">
        <v>1123</v>
      </c>
      <c r="B975" s="1">
        <v>45260</v>
      </c>
      <c r="C975" t="s">
        <v>188</v>
      </c>
      <c r="D975" t="s">
        <v>189</v>
      </c>
      <c r="E975" t="s">
        <v>15</v>
      </c>
      <c r="F975" t="s">
        <v>16</v>
      </c>
      <c r="G975" t="s">
        <v>45</v>
      </c>
      <c r="H975" t="s">
        <v>156</v>
      </c>
      <c r="I975">
        <v>1</v>
      </c>
      <c r="J975">
        <v>26700</v>
      </c>
      <c r="K975">
        <v>25</v>
      </c>
      <c r="L975" t="s">
        <v>47</v>
      </c>
    </row>
    <row r="976" spans="1:12" x14ac:dyDescent="0.3">
      <c r="A976" t="s">
        <v>1124</v>
      </c>
      <c r="B976" s="1">
        <v>45290</v>
      </c>
      <c r="C976" t="s">
        <v>70</v>
      </c>
      <c r="D976" t="s">
        <v>71</v>
      </c>
      <c r="E976" t="s">
        <v>66</v>
      </c>
      <c r="F976" t="s">
        <v>92</v>
      </c>
      <c r="G976" t="s">
        <v>97</v>
      </c>
      <c r="H976" t="s">
        <v>133</v>
      </c>
      <c r="I976">
        <v>1</v>
      </c>
      <c r="J976">
        <v>55100</v>
      </c>
      <c r="K976">
        <v>0</v>
      </c>
      <c r="L976" t="s">
        <v>62</v>
      </c>
    </row>
    <row r="977" spans="1:12" x14ac:dyDescent="0.3">
      <c r="A977" t="s">
        <v>1125</v>
      </c>
      <c r="B977" s="1">
        <v>45290</v>
      </c>
      <c r="C977" t="s">
        <v>147</v>
      </c>
      <c r="D977" t="s">
        <v>148</v>
      </c>
      <c r="E977" t="s">
        <v>15</v>
      </c>
      <c r="F977" t="s">
        <v>128</v>
      </c>
      <c r="G977" t="s">
        <v>17</v>
      </c>
      <c r="H977" t="s">
        <v>196</v>
      </c>
      <c r="I977">
        <v>1</v>
      </c>
      <c r="J977">
        <v>53000</v>
      </c>
      <c r="K977">
        <v>10</v>
      </c>
      <c r="L977" t="s">
        <v>73</v>
      </c>
    </row>
    <row r="978" spans="1:12" x14ac:dyDescent="0.3">
      <c r="A978" t="s">
        <v>1126</v>
      </c>
      <c r="B978" s="1">
        <v>45290</v>
      </c>
      <c r="C978" t="s">
        <v>143</v>
      </c>
      <c r="D978" t="s">
        <v>144</v>
      </c>
      <c r="E978" t="s">
        <v>23</v>
      </c>
      <c r="F978" t="s">
        <v>24</v>
      </c>
      <c r="G978" t="s">
        <v>45</v>
      </c>
      <c r="H978" t="s">
        <v>207</v>
      </c>
      <c r="I978">
        <v>1</v>
      </c>
      <c r="J978">
        <v>39600</v>
      </c>
      <c r="K978">
        <v>0</v>
      </c>
      <c r="L978" t="s">
        <v>62</v>
      </c>
    </row>
    <row r="979" spans="1:12" x14ac:dyDescent="0.3">
      <c r="A979" t="s">
        <v>1127</v>
      </c>
      <c r="B979" s="1">
        <v>45290</v>
      </c>
      <c r="C979" t="s">
        <v>210</v>
      </c>
      <c r="D979" t="s">
        <v>211</v>
      </c>
      <c r="E979" t="s">
        <v>81</v>
      </c>
      <c r="F979" t="s">
        <v>110</v>
      </c>
      <c r="G979" t="s">
        <v>45</v>
      </c>
      <c r="H979" t="s">
        <v>156</v>
      </c>
      <c r="I979">
        <v>2</v>
      </c>
      <c r="J979">
        <v>38100</v>
      </c>
      <c r="K979">
        <v>10</v>
      </c>
      <c r="L979" t="s">
        <v>73</v>
      </c>
    </row>
    <row r="980" spans="1:12" x14ac:dyDescent="0.3">
      <c r="A980" t="s">
        <v>1128</v>
      </c>
      <c r="B980" s="1">
        <v>45290</v>
      </c>
      <c r="C980" t="s">
        <v>105</v>
      </c>
      <c r="D980" t="s">
        <v>106</v>
      </c>
      <c r="E980" t="s">
        <v>23</v>
      </c>
      <c r="F980" t="s">
        <v>31</v>
      </c>
      <c r="G980" t="s">
        <v>39</v>
      </c>
      <c r="H980" t="s">
        <v>68</v>
      </c>
      <c r="I980">
        <v>1</v>
      </c>
      <c r="J980">
        <v>18300</v>
      </c>
      <c r="K980">
        <v>25</v>
      </c>
      <c r="L980" t="s">
        <v>27</v>
      </c>
    </row>
    <row r="981" spans="1:12" x14ac:dyDescent="0.3">
      <c r="A981" t="s">
        <v>1129</v>
      </c>
      <c r="B981" s="1">
        <v>45016</v>
      </c>
      <c r="C981" t="s">
        <v>163</v>
      </c>
      <c r="D981" t="s">
        <v>73</v>
      </c>
      <c r="E981" t="s">
        <v>23</v>
      </c>
      <c r="F981" t="s">
        <v>31</v>
      </c>
      <c r="G981" t="s">
        <v>45</v>
      </c>
      <c r="H981" t="s">
        <v>52</v>
      </c>
      <c r="I981">
        <v>1</v>
      </c>
      <c r="J981">
        <v>38000</v>
      </c>
      <c r="K981">
        <v>10</v>
      </c>
      <c r="L981" t="s">
        <v>19</v>
      </c>
    </row>
    <row r="982" spans="1:12" x14ac:dyDescent="0.3">
      <c r="A982" t="s">
        <v>1130</v>
      </c>
      <c r="B982" s="1">
        <v>45016</v>
      </c>
      <c r="C982" t="s">
        <v>236</v>
      </c>
      <c r="D982" t="s">
        <v>237</v>
      </c>
      <c r="E982" t="s">
        <v>15</v>
      </c>
      <c r="F982" t="s">
        <v>16</v>
      </c>
      <c r="G982" t="s">
        <v>17</v>
      </c>
      <c r="H982" t="s">
        <v>18</v>
      </c>
      <c r="I982">
        <v>1</v>
      </c>
      <c r="J982">
        <v>41300</v>
      </c>
      <c r="K982">
        <v>0</v>
      </c>
      <c r="L982" t="s">
        <v>47</v>
      </c>
    </row>
    <row r="983" spans="1:12" x14ac:dyDescent="0.3">
      <c r="A983" t="s">
        <v>1131</v>
      </c>
      <c r="B983" s="1">
        <v>45077</v>
      </c>
      <c r="C983" t="s">
        <v>13</v>
      </c>
      <c r="D983" t="s">
        <v>14</v>
      </c>
      <c r="E983" t="s">
        <v>23</v>
      </c>
      <c r="F983" t="s">
        <v>44</v>
      </c>
      <c r="G983" t="s">
        <v>17</v>
      </c>
      <c r="H983" t="s">
        <v>168</v>
      </c>
      <c r="I983">
        <v>1</v>
      </c>
      <c r="J983">
        <v>42500</v>
      </c>
      <c r="K983">
        <v>20</v>
      </c>
      <c r="L983" t="s">
        <v>53</v>
      </c>
    </row>
    <row r="984" spans="1:12" x14ac:dyDescent="0.3">
      <c r="A984" t="s">
        <v>1132</v>
      </c>
      <c r="B984" s="1">
        <v>45077</v>
      </c>
      <c r="C984" t="s">
        <v>42</v>
      </c>
      <c r="D984" t="s">
        <v>43</v>
      </c>
      <c r="E984" t="s">
        <v>66</v>
      </c>
      <c r="F984" t="s">
        <v>87</v>
      </c>
      <c r="G984" t="s">
        <v>25</v>
      </c>
      <c r="H984" t="s">
        <v>26</v>
      </c>
      <c r="I984">
        <v>2</v>
      </c>
      <c r="J984">
        <v>1100</v>
      </c>
      <c r="K984">
        <v>5</v>
      </c>
      <c r="L984" t="s">
        <v>62</v>
      </c>
    </row>
    <row r="985" spans="1:12" x14ac:dyDescent="0.3">
      <c r="A985" t="s">
        <v>1133</v>
      </c>
      <c r="B985" s="1">
        <v>45138</v>
      </c>
      <c r="C985" t="s">
        <v>29</v>
      </c>
      <c r="D985" t="s">
        <v>30</v>
      </c>
      <c r="E985" t="s">
        <v>23</v>
      </c>
      <c r="F985" t="s">
        <v>31</v>
      </c>
      <c r="G985" t="s">
        <v>45</v>
      </c>
      <c r="H985" t="s">
        <v>46</v>
      </c>
      <c r="I985">
        <v>1</v>
      </c>
      <c r="J985">
        <v>39900</v>
      </c>
      <c r="K985">
        <v>0</v>
      </c>
      <c r="L985" t="s">
        <v>47</v>
      </c>
    </row>
    <row r="986" spans="1:12" x14ac:dyDescent="0.3">
      <c r="A986" t="s">
        <v>1134</v>
      </c>
      <c r="B986" s="1">
        <v>45138</v>
      </c>
      <c r="C986" t="s">
        <v>158</v>
      </c>
      <c r="D986" t="s">
        <v>159</v>
      </c>
      <c r="E986" t="s">
        <v>37</v>
      </c>
      <c r="F986" t="s">
        <v>38</v>
      </c>
      <c r="G986" t="s">
        <v>17</v>
      </c>
      <c r="H986" t="s">
        <v>88</v>
      </c>
      <c r="I986">
        <v>1</v>
      </c>
      <c r="J986">
        <v>15400</v>
      </c>
      <c r="K986">
        <v>0</v>
      </c>
      <c r="L986" t="s">
        <v>73</v>
      </c>
    </row>
    <row r="987" spans="1:12" x14ac:dyDescent="0.3">
      <c r="A987" t="s">
        <v>1135</v>
      </c>
      <c r="B987" s="1">
        <v>45138</v>
      </c>
      <c r="C987" t="s">
        <v>29</v>
      </c>
      <c r="D987" t="s">
        <v>30</v>
      </c>
      <c r="E987" t="s">
        <v>66</v>
      </c>
      <c r="F987" t="s">
        <v>92</v>
      </c>
      <c r="G987" t="s">
        <v>25</v>
      </c>
      <c r="H987" t="s">
        <v>124</v>
      </c>
      <c r="I987">
        <v>2</v>
      </c>
      <c r="J987">
        <v>2300</v>
      </c>
      <c r="K987">
        <v>0</v>
      </c>
      <c r="L987" t="s">
        <v>19</v>
      </c>
    </row>
    <row r="988" spans="1:12" x14ac:dyDescent="0.3">
      <c r="A988" t="s">
        <v>1136</v>
      </c>
      <c r="B988" s="1">
        <v>45138</v>
      </c>
      <c r="C988" t="s">
        <v>126</v>
      </c>
      <c r="D988" t="s">
        <v>127</v>
      </c>
      <c r="E988" t="s">
        <v>37</v>
      </c>
      <c r="F988" t="s">
        <v>38</v>
      </c>
      <c r="G988" t="s">
        <v>97</v>
      </c>
      <c r="H988" t="s">
        <v>171</v>
      </c>
      <c r="I988">
        <v>1</v>
      </c>
      <c r="J988">
        <v>56900</v>
      </c>
      <c r="K988">
        <v>5</v>
      </c>
      <c r="L988" t="s">
        <v>19</v>
      </c>
    </row>
    <row r="989" spans="1:12" x14ac:dyDescent="0.3">
      <c r="A989" t="s">
        <v>1137</v>
      </c>
      <c r="B989" s="1">
        <v>45138</v>
      </c>
      <c r="C989" t="s">
        <v>13</v>
      </c>
      <c r="D989" t="s">
        <v>14</v>
      </c>
      <c r="E989" t="s">
        <v>81</v>
      </c>
      <c r="F989" t="s">
        <v>160</v>
      </c>
      <c r="G989" t="s">
        <v>97</v>
      </c>
      <c r="H989" t="s">
        <v>154</v>
      </c>
      <c r="I989">
        <v>1</v>
      </c>
      <c r="J989">
        <v>47900</v>
      </c>
      <c r="K989">
        <v>25</v>
      </c>
      <c r="L989" t="s">
        <v>27</v>
      </c>
    </row>
    <row r="990" spans="1:12" x14ac:dyDescent="0.3">
      <c r="A990" t="s">
        <v>1138</v>
      </c>
      <c r="B990" s="1">
        <v>45138</v>
      </c>
      <c r="C990" t="s">
        <v>284</v>
      </c>
      <c r="D990" t="s">
        <v>285</v>
      </c>
      <c r="E990" t="s">
        <v>66</v>
      </c>
      <c r="F990" t="s">
        <v>92</v>
      </c>
      <c r="G990" t="s">
        <v>39</v>
      </c>
      <c r="H990" t="s">
        <v>57</v>
      </c>
      <c r="I990">
        <v>1</v>
      </c>
      <c r="J990">
        <v>28300</v>
      </c>
      <c r="K990">
        <v>25</v>
      </c>
      <c r="L990" t="s">
        <v>33</v>
      </c>
    </row>
    <row r="991" spans="1:12" x14ac:dyDescent="0.3">
      <c r="A991" t="s">
        <v>1139</v>
      </c>
      <c r="B991" s="1">
        <v>45169</v>
      </c>
      <c r="C991" t="s">
        <v>130</v>
      </c>
      <c r="D991" t="s">
        <v>53</v>
      </c>
      <c r="E991" t="s">
        <v>15</v>
      </c>
      <c r="F991" t="s">
        <v>16</v>
      </c>
      <c r="G991" t="s">
        <v>45</v>
      </c>
      <c r="H991" t="s">
        <v>46</v>
      </c>
      <c r="I991">
        <v>1</v>
      </c>
      <c r="J991">
        <v>40300</v>
      </c>
      <c r="K991">
        <v>5</v>
      </c>
      <c r="L991" t="s">
        <v>47</v>
      </c>
    </row>
    <row r="992" spans="1:12" x14ac:dyDescent="0.3">
      <c r="A992" t="s">
        <v>1140</v>
      </c>
      <c r="B992" s="1">
        <v>45169</v>
      </c>
      <c r="C992" t="s">
        <v>183</v>
      </c>
      <c r="D992" t="s">
        <v>27</v>
      </c>
      <c r="E992" t="s">
        <v>37</v>
      </c>
      <c r="F992" t="s">
        <v>38</v>
      </c>
      <c r="G992" t="s">
        <v>97</v>
      </c>
      <c r="H992" t="s">
        <v>98</v>
      </c>
      <c r="I992">
        <v>1</v>
      </c>
      <c r="J992">
        <v>35000</v>
      </c>
      <c r="K992">
        <v>10</v>
      </c>
      <c r="L992" t="s">
        <v>47</v>
      </c>
    </row>
    <row r="993" spans="1:12" x14ac:dyDescent="0.3">
      <c r="A993" t="s">
        <v>1141</v>
      </c>
      <c r="B993" s="1">
        <v>45169</v>
      </c>
      <c r="C993" t="s">
        <v>284</v>
      </c>
      <c r="D993" t="s">
        <v>285</v>
      </c>
      <c r="E993" t="s">
        <v>23</v>
      </c>
      <c r="F993" t="s">
        <v>51</v>
      </c>
      <c r="G993" t="s">
        <v>25</v>
      </c>
      <c r="H993" t="s">
        <v>32</v>
      </c>
      <c r="I993">
        <v>2</v>
      </c>
      <c r="J993">
        <v>1500</v>
      </c>
      <c r="K993">
        <v>15</v>
      </c>
      <c r="L993" t="s">
        <v>53</v>
      </c>
    </row>
    <row r="994" spans="1:12" x14ac:dyDescent="0.3">
      <c r="A994" t="s">
        <v>1142</v>
      </c>
      <c r="B994" s="1">
        <v>45169</v>
      </c>
      <c r="C994" t="s">
        <v>29</v>
      </c>
      <c r="D994" t="s">
        <v>30</v>
      </c>
      <c r="E994" t="s">
        <v>81</v>
      </c>
      <c r="F994" t="s">
        <v>110</v>
      </c>
      <c r="G994" t="s">
        <v>25</v>
      </c>
      <c r="H994" t="s">
        <v>26</v>
      </c>
      <c r="I994">
        <v>2</v>
      </c>
      <c r="J994">
        <v>1700</v>
      </c>
      <c r="K994">
        <v>5</v>
      </c>
      <c r="L994" t="s">
        <v>19</v>
      </c>
    </row>
    <row r="995" spans="1:12" x14ac:dyDescent="0.3">
      <c r="A995" t="s">
        <v>1143</v>
      </c>
      <c r="B995" s="1">
        <v>45230</v>
      </c>
      <c r="C995" t="s">
        <v>176</v>
      </c>
      <c r="D995" t="s">
        <v>177</v>
      </c>
      <c r="E995" t="s">
        <v>37</v>
      </c>
      <c r="F995" t="s">
        <v>101</v>
      </c>
      <c r="G995" t="s">
        <v>45</v>
      </c>
      <c r="H995" t="s">
        <v>207</v>
      </c>
      <c r="I995">
        <v>1</v>
      </c>
      <c r="J995">
        <v>39900</v>
      </c>
      <c r="K995">
        <v>25</v>
      </c>
      <c r="L995" t="s">
        <v>53</v>
      </c>
    </row>
    <row r="996" spans="1:12" x14ac:dyDescent="0.3">
      <c r="A996" t="s">
        <v>1144</v>
      </c>
      <c r="B996" s="1">
        <v>45230</v>
      </c>
      <c r="C996" t="s">
        <v>135</v>
      </c>
      <c r="D996" t="s">
        <v>136</v>
      </c>
      <c r="E996" t="s">
        <v>81</v>
      </c>
      <c r="F996" t="s">
        <v>110</v>
      </c>
      <c r="G996" t="s">
        <v>39</v>
      </c>
      <c r="H996" t="s">
        <v>40</v>
      </c>
      <c r="I996">
        <v>1</v>
      </c>
      <c r="J996">
        <v>19500</v>
      </c>
      <c r="K996">
        <v>15</v>
      </c>
      <c r="L996" t="s">
        <v>53</v>
      </c>
    </row>
    <row r="997" spans="1:12" x14ac:dyDescent="0.3">
      <c r="A997" t="s">
        <v>1145</v>
      </c>
      <c r="B997" s="1">
        <v>45230</v>
      </c>
      <c r="C997" t="s">
        <v>75</v>
      </c>
      <c r="D997" t="s">
        <v>76</v>
      </c>
      <c r="E997" t="s">
        <v>15</v>
      </c>
      <c r="F997" t="s">
        <v>119</v>
      </c>
      <c r="G997" t="s">
        <v>25</v>
      </c>
      <c r="H997" t="s">
        <v>124</v>
      </c>
      <c r="I997">
        <v>2</v>
      </c>
      <c r="J997">
        <v>1500</v>
      </c>
      <c r="K997">
        <v>25</v>
      </c>
      <c r="L997" t="s">
        <v>47</v>
      </c>
    </row>
    <row r="998" spans="1:12" x14ac:dyDescent="0.3">
      <c r="A998" t="s">
        <v>1146</v>
      </c>
      <c r="B998" s="1">
        <v>45291</v>
      </c>
      <c r="C998" t="s">
        <v>147</v>
      </c>
      <c r="D998" t="s">
        <v>148</v>
      </c>
      <c r="E998" t="s">
        <v>23</v>
      </c>
      <c r="F998" t="s">
        <v>44</v>
      </c>
      <c r="G998" t="s">
        <v>45</v>
      </c>
      <c r="H998" t="s">
        <v>52</v>
      </c>
      <c r="I998">
        <v>1</v>
      </c>
      <c r="J998">
        <v>39400</v>
      </c>
      <c r="K998">
        <v>15</v>
      </c>
      <c r="L998" t="s">
        <v>62</v>
      </c>
    </row>
    <row r="999" spans="1:12" x14ac:dyDescent="0.3">
      <c r="A999" t="s">
        <v>1147</v>
      </c>
      <c r="B999" s="1">
        <v>45291</v>
      </c>
      <c r="C999" t="s">
        <v>112</v>
      </c>
      <c r="D999" t="s">
        <v>113</v>
      </c>
      <c r="E999" t="s">
        <v>66</v>
      </c>
      <c r="F999" t="s">
        <v>67</v>
      </c>
      <c r="G999" t="s">
        <v>97</v>
      </c>
      <c r="H999" t="s">
        <v>98</v>
      </c>
      <c r="I999">
        <v>2</v>
      </c>
      <c r="J999">
        <v>50800</v>
      </c>
      <c r="K999">
        <v>25</v>
      </c>
      <c r="L999" t="s">
        <v>19</v>
      </c>
    </row>
    <row r="1000" spans="1:12" x14ac:dyDescent="0.3">
      <c r="A1000" t="s">
        <v>1148</v>
      </c>
      <c r="B1000" s="1">
        <v>45291</v>
      </c>
      <c r="C1000" t="s">
        <v>165</v>
      </c>
      <c r="D1000" t="s">
        <v>166</v>
      </c>
      <c r="E1000" t="s">
        <v>15</v>
      </c>
      <c r="F1000" t="s">
        <v>131</v>
      </c>
      <c r="G1000" t="s">
        <v>17</v>
      </c>
      <c r="H1000" t="s">
        <v>77</v>
      </c>
      <c r="I1000">
        <v>1</v>
      </c>
      <c r="J1000">
        <v>41100</v>
      </c>
      <c r="K1000">
        <v>15</v>
      </c>
      <c r="L1000" t="s">
        <v>33</v>
      </c>
    </row>
    <row r="1001" spans="1:12" x14ac:dyDescent="0.3">
      <c r="A1001" t="s">
        <v>1149</v>
      </c>
      <c r="B1001" s="1">
        <v>45291</v>
      </c>
      <c r="C1001" t="s">
        <v>49</v>
      </c>
      <c r="D1001" t="s">
        <v>50</v>
      </c>
      <c r="E1001" t="s">
        <v>66</v>
      </c>
      <c r="F1001" t="s">
        <v>72</v>
      </c>
      <c r="G1001" t="s">
        <v>25</v>
      </c>
      <c r="H1001" t="s">
        <v>212</v>
      </c>
      <c r="I1001">
        <v>2</v>
      </c>
      <c r="J1001">
        <v>1900</v>
      </c>
      <c r="K1001">
        <v>20</v>
      </c>
      <c r="L1001" t="s">
        <v>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A4898-6C71-4E46-9876-E48BFEE7BFC2}">
  <dimension ref="A1:S1001"/>
  <sheetViews>
    <sheetView topLeftCell="K2" workbookViewId="0">
      <selection activeCell="S7" sqref="S7"/>
    </sheetView>
  </sheetViews>
  <sheetFormatPr defaultRowHeight="14.4" x14ac:dyDescent="0.3"/>
  <cols>
    <col min="1" max="1" width="10.77734375" bestFit="1" customWidth="1"/>
    <col min="2" max="2" width="12.88671875" bestFit="1" customWidth="1"/>
    <col min="3" max="3" width="14.109375" bestFit="1" customWidth="1"/>
    <col min="4" max="4" width="17.44140625" bestFit="1" customWidth="1"/>
    <col min="5" max="5" width="9" bestFit="1" customWidth="1"/>
    <col min="6" max="6" width="12" bestFit="1" customWidth="1"/>
    <col min="7" max="7" width="18.5546875" bestFit="1" customWidth="1"/>
    <col min="8" max="8" width="20" bestFit="1" customWidth="1"/>
    <col min="9" max="9" width="10.5546875" bestFit="1" customWidth="1"/>
    <col min="10" max="10" width="11.88671875" style="8" bestFit="1" customWidth="1"/>
    <col min="11" max="11" width="18.109375" bestFit="1" customWidth="1"/>
    <col min="12" max="12" width="12.109375" bestFit="1" customWidth="1"/>
    <col min="13" max="13" width="12.77734375" style="5" bestFit="1" customWidth="1"/>
    <col min="14" max="14" width="18.5546875" style="7" bestFit="1" customWidth="1"/>
    <col min="15" max="15" width="12.77734375" style="7" bestFit="1" customWidth="1"/>
    <col min="16" max="16" width="9" bestFit="1" customWidth="1"/>
    <col min="17" max="17" width="9.6640625" bestFit="1" customWidth="1"/>
    <col min="18" max="18" width="6.44140625" bestFit="1" customWidth="1"/>
    <col min="19" max="19" width="19.21875" bestFit="1" customWidth="1"/>
  </cols>
  <sheetData>
    <row r="1" spans="1:19" x14ac:dyDescent="0.3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8" t="s">
        <v>9</v>
      </c>
      <c r="K1" t="s">
        <v>10</v>
      </c>
      <c r="L1" t="s">
        <v>11</v>
      </c>
      <c r="M1" s="4" t="s">
        <v>1150</v>
      </c>
      <c r="N1" s="6" t="s">
        <v>1151</v>
      </c>
      <c r="O1" s="6" t="s">
        <v>1152</v>
      </c>
      <c r="P1" s="3" t="s">
        <v>1153</v>
      </c>
      <c r="Q1" s="3" t="s">
        <v>1154</v>
      </c>
      <c r="R1" s="3" t="s">
        <v>1155</v>
      </c>
      <c r="S1" s="3" t="s">
        <v>1156</v>
      </c>
    </row>
    <row r="2" spans="1:19" x14ac:dyDescent="0.3">
      <c r="A2" t="s">
        <v>12</v>
      </c>
      <c r="B2" s="1">
        <v>44927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1</v>
      </c>
      <c r="J2" s="8">
        <v>29100</v>
      </c>
      <c r="K2">
        <v>10</v>
      </c>
      <c r="L2" t="s">
        <v>19</v>
      </c>
      <c r="M2" s="5">
        <f>Cleaned_Data[[#This Row],[Quantity]]*Cleaned_Data[[#This Row],[Unit_Price]]</f>
        <v>29100</v>
      </c>
      <c r="N2" s="7">
        <f>Cleaned_Data[[#This Row],[Total_sales]]*(Cleaned_Data[[#This Row],[Discount_Percent]]/100)</f>
        <v>2910</v>
      </c>
      <c r="O2" s="7">
        <f>Cleaned_Data[[#This Row],[Total_sales]]-Cleaned_Data[[#This Row],[Discount_Amount]]</f>
        <v>26190</v>
      </c>
      <c r="P2" t="str">
        <f>TEXT(Cleaned_Data[[#This Row],[Order_Date]],"MMM-YYYY")</f>
        <v>Jan-2023</v>
      </c>
      <c r="Q2" t="str">
        <f>"Q"&amp;ROUNDUP(MONTH(Cleaned_Data[[#This Row],[Order_Date]])/3,0)&amp;"-2023"</f>
        <v>Q1-2023</v>
      </c>
      <c r="R2" t="str">
        <f>TEXT(Cleaned_Data[[#This Row],[Order_Date]],"DDD")</f>
        <v>Sun</v>
      </c>
      <c r="S2" t="str">
        <f>IF(Cleaned_Data[[#This Row],[Net_Sales]]&gt;=100000,"High",IF(Cleaned_Data[[#This Row],[Net_Sales]]&gt;=50000,"Medium","Low"))</f>
        <v>Low</v>
      </c>
    </row>
    <row r="3" spans="1:19" x14ac:dyDescent="0.3">
      <c r="A3" t="s">
        <v>20</v>
      </c>
      <c r="B3" s="1">
        <v>44927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>
        <v>2</v>
      </c>
      <c r="J3" s="8">
        <v>1800</v>
      </c>
      <c r="K3">
        <v>5</v>
      </c>
      <c r="L3" t="s">
        <v>27</v>
      </c>
      <c r="M3" s="5">
        <f>Cleaned_Data[[#This Row],[Quantity]]*Cleaned_Data[[#This Row],[Unit_Price]]</f>
        <v>3600</v>
      </c>
      <c r="N3" s="7">
        <f>Cleaned_Data[[#This Row],[Total_sales]]*(Cleaned_Data[[#This Row],[Discount_Percent]]/100)</f>
        <v>180</v>
      </c>
      <c r="O3" s="7">
        <f>Cleaned_Data[[#This Row],[Total_sales]]-Cleaned_Data[[#This Row],[Discount_Amount]]</f>
        <v>3420</v>
      </c>
      <c r="P3" t="str">
        <f>TEXT(Cleaned_Data[[#This Row],[Order_Date]],"MMM-YYYY")</f>
        <v>Jan-2023</v>
      </c>
      <c r="Q3" t="str">
        <f>"Q"&amp;ROUNDUP(MONTH(Cleaned_Data[[#This Row],[Order_Date]])/3,0)&amp;"-2023"</f>
        <v>Q1-2023</v>
      </c>
      <c r="R3" t="str">
        <f>TEXT(Cleaned_Data[[#This Row],[Order_Date]],"DDD")</f>
        <v>Sun</v>
      </c>
      <c r="S3" t="str">
        <f>IF(Cleaned_Data[[#This Row],[Net_Sales]]&gt;=100000,"High",IF(Cleaned_Data[[#This Row],[Net_Sales]]&gt;=50000,"Medium","Low"))</f>
        <v>Low</v>
      </c>
    </row>
    <row r="4" spans="1:19" x14ac:dyDescent="0.3">
      <c r="A4" t="s">
        <v>28</v>
      </c>
      <c r="B4" s="1">
        <v>44958</v>
      </c>
      <c r="C4" t="s">
        <v>29</v>
      </c>
      <c r="D4" t="s">
        <v>30</v>
      </c>
      <c r="E4" t="s">
        <v>23</v>
      </c>
      <c r="F4" t="s">
        <v>31</v>
      </c>
      <c r="G4" t="s">
        <v>25</v>
      </c>
      <c r="H4" t="s">
        <v>32</v>
      </c>
      <c r="I4">
        <v>1</v>
      </c>
      <c r="J4" s="8">
        <v>2000</v>
      </c>
      <c r="K4">
        <v>10</v>
      </c>
      <c r="L4" t="s">
        <v>33</v>
      </c>
      <c r="M4" s="5">
        <f>Cleaned_Data[[#This Row],[Quantity]]*Cleaned_Data[[#This Row],[Unit_Price]]</f>
        <v>2000</v>
      </c>
      <c r="N4" s="7">
        <f>Cleaned_Data[[#This Row],[Total_sales]]*(Cleaned_Data[[#This Row],[Discount_Percent]]/100)</f>
        <v>200</v>
      </c>
      <c r="O4" s="7">
        <f>Cleaned_Data[[#This Row],[Total_sales]]-Cleaned_Data[[#This Row],[Discount_Amount]]</f>
        <v>1800</v>
      </c>
      <c r="P4" t="str">
        <f>TEXT(Cleaned_Data[[#This Row],[Order_Date]],"MMM-YYYY")</f>
        <v>Feb-2023</v>
      </c>
      <c r="Q4" t="str">
        <f>"Q"&amp;ROUNDUP(MONTH(Cleaned_Data[[#This Row],[Order_Date]])/3,0)&amp;"-2023"</f>
        <v>Q1-2023</v>
      </c>
      <c r="R4" t="str">
        <f>TEXT(Cleaned_Data[[#This Row],[Order_Date]],"DDD")</f>
        <v>Wed</v>
      </c>
      <c r="S4" t="str">
        <f>IF(Cleaned_Data[[#This Row],[Net_Sales]]&gt;=100000,"High",IF(Cleaned_Data[[#This Row],[Net_Sales]]&gt;=50000,"Medium","Low"))</f>
        <v>Low</v>
      </c>
    </row>
    <row r="5" spans="1:19" x14ac:dyDescent="0.3">
      <c r="A5" t="s">
        <v>34</v>
      </c>
      <c r="B5" s="1">
        <v>44958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>
        <v>1</v>
      </c>
      <c r="J5" s="8">
        <v>27200</v>
      </c>
      <c r="K5">
        <v>15</v>
      </c>
      <c r="L5" t="s">
        <v>27</v>
      </c>
      <c r="M5" s="5">
        <f>Cleaned_Data[[#This Row],[Quantity]]*Cleaned_Data[[#This Row],[Unit_Price]]</f>
        <v>27200</v>
      </c>
      <c r="N5" s="7">
        <f>Cleaned_Data[[#This Row],[Total_sales]]*(Cleaned_Data[[#This Row],[Discount_Percent]]/100)</f>
        <v>4080</v>
      </c>
      <c r="O5" s="7">
        <f>Cleaned_Data[[#This Row],[Total_sales]]-Cleaned_Data[[#This Row],[Discount_Amount]]</f>
        <v>23120</v>
      </c>
      <c r="P5" t="str">
        <f>TEXT(Cleaned_Data[[#This Row],[Order_Date]],"MMM-YYYY")</f>
        <v>Feb-2023</v>
      </c>
      <c r="Q5" t="str">
        <f>"Q"&amp;ROUNDUP(MONTH(Cleaned_Data[[#This Row],[Order_Date]])/3,0)&amp;"-2023"</f>
        <v>Q1-2023</v>
      </c>
      <c r="R5" t="str">
        <f>TEXT(Cleaned_Data[[#This Row],[Order_Date]],"DDD")</f>
        <v>Wed</v>
      </c>
      <c r="S5" t="str">
        <f>IF(Cleaned_Data[[#This Row],[Net_Sales]]&gt;=100000,"High",IF(Cleaned_Data[[#This Row],[Net_Sales]]&gt;=50000,"Medium","Low"))</f>
        <v>Low</v>
      </c>
    </row>
    <row r="6" spans="1:19" x14ac:dyDescent="0.3">
      <c r="A6" t="s">
        <v>41</v>
      </c>
      <c r="B6" s="1">
        <v>44958</v>
      </c>
      <c r="C6" t="s">
        <v>42</v>
      </c>
      <c r="D6" t="s">
        <v>43</v>
      </c>
      <c r="E6" t="s">
        <v>23</v>
      </c>
      <c r="F6" t="s">
        <v>44</v>
      </c>
      <c r="G6" t="s">
        <v>45</v>
      </c>
      <c r="H6" t="s">
        <v>46</v>
      </c>
      <c r="I6">
        <v>1</v>
      </c>
      <c r="J6" s="8">
        <v>33800</v>
      </c>
      <c r="K6">
        <v>10</v>
      </c>
      <c r="L6" t="s">
        <v>47</v>
      </c>
      <c r="M6" s="5">
        <f>Cleaned_Data[[#This Row],[Quantity]]*Cleaned_Data[[#This Row],[Unit_Price]]</f>
        <v>33800</v>
      </c>
      <c r="N6" s="7">
        <f>Cleaned_Data[[#This Row],[Total_sales]]*(Cleaned_Data[[#This Row],[Discount_Percent]]/100)</f>
        <v>3380</v>
      </c>
      <c r="O6" s="7">
        <f>Cleaned_Data[[#This Row],[Total_sales]]-Cleaned_Data[[#This Row],[Discount_Amount]]</f>
        <v>30420</v>
      </c>
      <c r="P6" t="str">
        <f>TEXT(Cleaned_Data[[#This Row],[Order_Date]],"MMM-YYYY")</f>
        <v>Feb-2023</v>
      </c>
      <c r="Q6" t="str">
        <f>"Q"&amp;ROUNDUP(MONTH(Cleaned_Data[[#This Row],[Order_Date]])/3,0)&amp;"-2023"</f>
        <v>Q1-2023</v>
      </c>
      <c r="R6" t="str">
        <f>TEXT(Cleaned_Data[[#This Row],[Order_Date]],"DDD")</f>
        <v>Wed</v>
      </c>
      <c r="S6" t="str">
        <f>IF(Cleaned_Data[[#This Row],[Net_Sales]]&gt;=100000,"High",IF(Cleaned_Data[[#This Row],[Net_Sales]]&gt;=50000,"Medium","Low"))</f>
        <v>Low</v>
      </c>
    </row>
    <row r="7" spans="1:19" x14ac:dyDescent="0.3">
      <c r="A7" t="s">
        <v>48</v>
      </c>
      <c r="B7" s="1">
        <v>44986</v>
      </c>
      <c r="C7" t="s">
        <v>49</v>
      </c>
      <c r="D7" t="s">
        <v>50</v>
      </c>
      <c r="E7" t="s">
        <v>23</v>
      </c>
      <c r="F7" t="s">
        <v>51</v>
      </c>
      <c r="G7" t="s">
        <v>45</v>
      </c>
      <c r="H7" t="s">
        <v>52</v>
      </c>
      <c r="I7">
        <v>1</v>
      </c>
      <c r="J7" s="8">
        <v>31100</v>
      </c>
      <c r="K7">
        <v>25</v>
      </c>
      <c r="L7" t="s">
        <v>53</v>
      </c>
      <c r="M7" s="5">
        <f>Cleaned_Data[[#This Row],[Quantity]]*Cleaned_Data[[#This Row],[Unit_Price]]</f>
        <v>31100</v>
      </c>
      <c r="N7" s="7">
        <f>Cleaned_Data[[#This Row],[Total_sales]]*(Cleaned_Data[[#This Row],[Discount_Percent]]/100)</f>
        <v>7775</v>
      </c>
      <c r="O7" s="7">
        <f>Cleaned_Data[[#This Row],[Total_sales]]-Cleaned_Data[[#This Row],[Discount_Amount]]</f>
        <v>23325</v>
      </c>
      <c r="P7" t="str">
        <f>TEXT(Cleaned_Data[[#This Row],[Order_Date]],"MMM-YYYY")</f>
        <v>Mar-2023</v>
      </c>
      <c r="Q7" t="str">
        <f>"Q"&amp;ROUNDUP(MONTH(Cleaned_Data[[#This Row],[Order_Date]])/3,0)&amp;"-2023"</f>
        <v>Q1-2023</v>
      </c>
      <c r="R7" t="str">
        <f>TEXT(Cleaned_Data[[#This Row],[Order_Date]],"DDD")</f>
        <v>Wed</v>
      </c>
      <c r="S7" t="str">
        <f>IF(Cleaned_Data[[#This Row],[Net_Sales]]&gt;=100000,"High",IF(Cleaned_Data[[#This Row],[Net_Sales]]&gt;=50000,"Medium","Low"))</f>
        <v>Low</v>
      </c>
    </row>
    <row r="8" spans="1:19" x14ac:dyDescent="0.3">
      <c r="A8" t="s">
        <v>54</v>
      </c>
      <c r="B8" s="1">
        <v>44986</v>
      </c>
      <c r="C8" t="s">
        <v>55</v>
      </c>
      <c r="D8" t="s">
        <v>56</v>
      </c>
      <c r="E8" t="s">
        <v>23</v>
      </c>
      <c r="F8" t="s">
        <v>51</v>
      </c>
      <c r="G8" t="s">
        <v>39</v>
      </c>
      <c r="H8" t="s">
        <v>57</v>
      </c>
      <c r="I8">
        <v>1</v>
      </c>
      <c r="J8" s="8">
        <v>14800</v>
      </c>
      <c r="K8">
        <v>10</v>
      </c>
      <c r="L8" t="s">
        <v>53</v>
      </c>
      <c r="M8" s="5">
        <f>Cleaned_Data[[#This Row],[Quantity]]*Cleaned_Data[[#This Row],[Unit_Price]]</f>
        <v>14800</v>
      </c>
      <c r="N8" s="7">
        <f>Cleaned_Data[[#This Row],[Total_sales]]*(Cleaned_Data[[#This Row],[Discount_Percent]]/100)</f>
        <v>1480</v>
      </c>
      <c r="O8" s="7">
        <f>Cleaned_Data[[#This Row],[Total_sales]]-Cleaned_Data[[#This Row],[Discount_Amount]]</f>
        <v>13320</v>
      </c>
      <c r="P8" t="str">
        <f>TEXT(Cleaned_Data[[#This Row],[Order_Date]],"MMM-YYYY")</f>
        <v>Mar-2023</v>
      </c>
      <c r="Q8" t="str">
        <f>"Q"&amp;ROUNDUP(MONTH(Cleaned_Data[[#This Row],[Order_Date]])/3,0)&amp;"-2023"</f>
        <v>Q1-2023</v>
      </c>
      <c r="R8" t="str">
        <f>TEXT(Cleaned_Data[[#This Row],[Order_Date]],"DDD")</f>
        <v>Wed</v>
      </c>
      <c r="S8" t="str">
        <f>IF(Cleaned_Data[[#This Row],[Net_Sales]]&gt;=100000,"High",IF(Cleaned_Data[[#This Row],[Net_Sales]]&gt;=50000,"Medium","Low"))</f>
        <v>Low</v>
      </c>
    </row>
    <row r="9" spans="1:19" x14ac:dyDescent="0.3">
      <c r="A9" t="s">
        <v>58</v>
      </c>
      <c r="B9" s="1">
        <v>44986</v>
      </c>
      <c r="C9" t="s">
        <v>59</v>
      </c>
      <c r="D9" t="s">
        <v>60</v>
      </c>
      <c r="E9" t="s">
        <v>37</v>
      </c>
      <c r="F9" t="s">
        <v>61</v>
      </c>
      <c r="G9" t="s">
        <v>17</v>
      </c>
      <c r="H9" t="s">
        <v>18</v>
      </c>
      <c r="I9">
        <v>1</v>
      </c>
      <c r="J9" s="8">
        <v>56600</v>
      </c>
      <c r="K9">
        <v>10</v>
      </c>
      <c r="L9" t="s">
        <v>62</v>
      </c>
      <c r="M9" s="5">
        <f>Cleaned_Data[[#This Row],[Quantity]]*Cleaned_Data[[#This Row],[Unit_Price]]</f>
        <v>56600</v>
      </c>
      <c r="N9" s="7">
        <f>Cleaned_Data[[#This Row],[Total_sales]]*(Cleaned_Data[[#This Row],[Discount_Percent]]/100)</f>
        <v>5660</v>
      </c>
      <c r="O9" s="7">
        <f>Cleaned_Data[[#This Row],[Total_sales]]-Cleaned_Data[[#This Row],[Discount_Amount]]</f>
        <v>50940</v>
      </c>
      <c r="P9" t="str">
        <f>TEXT(Cleaned_Data[[#This Row],[Order_Date]],"MMM-YYYY")</f>
        <v>Mar-2023</v>
      </c>
      <c r="Q9" t="str">
        <f>"Q"&amp;ROUNDUP(MONTH(Cleaned_Data[[#This Row],[Order_Date]])/3,0)&amp;"-2023"</f>
        <v>Q1-2023</v>
      </c>
      <c r="R9" t="str">
        <f>TEXT(Cleaned_Data[[#This Row],[Order_Date]],"DDD")</f>
        <v>Wed</v>
      </c>
      <c r="S9" t="str">
        <f>IF(Cleaned_Data[[#This Row],[Net_Sales]]&gt;=100000,"High",IF(Cleaned_Data[[#This Row],[Net_Sales]]&gt;=50000,"Medium","Low"))</f>
        <v>Medium</v>
      </c>
    </row>
    <row r="10" spans="1:19" x14ac:dyDescent="0.3">
      <c r="A10" t="s">
        <v>63</v>
      </c>
      <c r="B10" s="1">
        <v>44986</v>
      </c>
      <c r="C10" t="s">
        <v>64</v>
      </c>
      <c r="D10" t="s">
        <v>65</v>
      </c>
      <c r="E10" t="s">
        <v>66</v>
      </c>
      <c r="F10" t="s">
        <v>67</v>
      </c>
      <c r="G10" t="s">
        <v>39</v>
      </c>
      <c r="H10" t="s">
        <v>68</v>
      </c>
      <c r="I10">
        <v>2</v>
      </c>
      <c r="J10" s="8">
        <v>10800</v>
      </c>
      <c r="K10">
        <v>10</v>
      </c>
      <c r="L10" t="s">
        <v>33</v>
      </c>
      <c r="M10" s="5">
        <f>Cleaned_Data[[#This Row],[Quantity]]*Cleaned_Data[[#This Row],[Unit_Price]]</f>
        <v>21600</v>
      </c>
      <c r="N10" s="7">
        <f>Cleaned_Data[[#This Row],[Total_sales]]*(Cleaned_Data[[#This Row],[Discount_Percent]]/100)</f>
        <v>2160</v>
      </c>
      <c r="O10" s="7">
        <f>Cleaned_Data[[#This Row],[Total_sales]]-Cleaned_Data[[#This Row],[Discount_Amount]]</f>
        <v>19440</v>
      </c>
      <c r="P10" t="str">
        <f>TEXT(Cleaned_Data[[#This Row],[Order_Date]],"MMM-YYYY")</f>
        <v>Mar-2023</v>
      </c>
      <c r="Q10" t="str">
        <f>"Q"&amp;ROUNDUP(MONTH(Cleaned_Data[[#This Row],[Order_Date]])/3,0)&amp;"-2023"</f>
        <v>Q1-2023</v>
      </c>
      <c r="R10" t="str">
        <f>TEXT(Cleaned_Data[[#This Row],[Order_Date]],"DDD")</f>
        <v>Wed</v>
      </c>
      <c r="S10" t="str">
        <f>IF(Cleaned_Data[[#This Row],[Net_Sales]]&gt;=100000,"High",IF(Cleaned_Data[[#This Row],[Net_Sales]]&gt;=50000,"Medium","Low"))</f>
        <v>Low</v>
      </c>
    </row>
    <row r="11" spans="1:19" x14ac:dyDescent="0.3">
      <c r="A11" t="s">
        <v>69</v>
      </c>
      <c r="B11" s="1">
        <v>45017</v>
      </c>
      <c r="C11" t="s">
        <v>70</v>
      </c>
      <c r="D11" t="s">
        <v>71</v>
      </c>
      <c r="E11" t="s">
        <v>66</v>
      </c>
      <c r="F11" t="s">
        <v>72</v>
      </c>
      <c r="G11" t="s">
        <v>17</v>
      </c>
      <c r="H11" t="s">
        <v>18</v>
      </c>
      <c r="I11">
        <v>1</v>
      </c>
      <c r="J11" s="8">
        <v>35200</v>
      </c>
      <c r="K11">
        <v>20</v>
      </c>
      <c r="L11" t="s">
        <v>73</v>
      </c>
      <c r="M11" s="5">
        <f>Cleaned_Data[[#This Row],[Quantity]]*Cleaned_Data[[#This Row],[Unit_Price]]</f>
        <v>35200</v>
      </c>
      <c r="N11" s="7">
        <f>Cleaned_Data[[#This Row],[Total_sales]]*(Cleaned_Data[[#This Row],[Discount_Percent]]/100)</f>
        <v>7040</v>
      </c>
      <c r="O11" s="7">
        <f>Cleaned_Data[[#This Row],[Total_sales]]-Cleaned_Data[[#This Row],[Discount_Amount]]</f>
        <v>28160</v>
      </c>
      <c r="P11" t="str">
        <f>TEXT(Cleaned_Data[[#This Row],[Order_Date]],"MMM-YYYY")</f>
        <v>Apr-2023</v>
      </c>
      <c r="Q11" t="str">
        <f>"Q"&amp;ROUNDUP(MONTH(Cleaned_Data[[#This Row],[Order_Date]])/3,0)&amp;"-2023"</f>
        <v>Q2-2023</v>
      </c>
      <c r="R11" t="str">
        <f>TEXT(Cleaned_Data[[#This Row],[Order_Date]],"DDD")</f>
        <v>Sat</v>
      </c>
      <c r="S11" t="str">
        <f>IF(Cleaned_Data[[#This Row],[Net_Sales]]&gt;=100000,"High",IF(Cleaned_Data[[#This Row],[Net_Sales]]&gt;=50000,"Medium","Low"))</f>
        <v>Low</v>
      </c>
    </row>
    <row r="12" spans="1:19" x14ac:dyDescent="0.3">
      <c r="A12" t="s">
        <v>74</v>
      </c>
      <c r="B12" s="1">
        <v>45017</v>
      </c>
      <c r="C12" t="s">
        <v>75</v>
      </c>
      <c r="D12" t="s">
        <v>76</v>
      </c>
      <c r="E12" t="s">
        <v>15</v>
      </c>
      <c r="F12" t="s">
        <v>16</v>
      </c>
      <c r="G12" t="s">
        <v>17</v>
      </c>
      <c r="H12" t="s">
        <v>77</v>
      </c>
      <c r="I12">
        <v>1</v>
      </c>
      <c r="J12" s="8">
        <v>40100</v>
      </c>
      <c r="K12">
        <v>10</v>
      </c>
      <c r="L12" t="s">
        <v>47</v>
      </c>
      <c r="M12" s="5">
        <f>Cleaned_Data[[#This Row],[Quantity]]*Cleaned_Data[[#This Row],[Unit_Price]]</f>
        <v>40100</v>
      </c>
      <c r="N12" s="7">
        <f>Cleaned_Data[[#This Row],[Total_sales]]*(Cleaned_Data[[#This Row],[Discount_Percent]]/100)</f>
        <v>4010</v>
      </c>
      <c r="O12" s="7">
        <f>Cleaned_Data[[#This Row],[Total_sales]]-Cleaned_Data[[#This Row],[Discount_Amount]]</f>
        <v>36090</v>
      </c>
      <c r="P12" t="str">
        <f>TEXT(Cleaned_Data[[#This Row],[Order_Date]],"MMM-YYYY")</f>
        <v>Apr-2023</v>
      </c>
      <c r="Q12" t="str">
        <f>"Q"&amp;ROUNDUP(MONTH(Cleaned_Data[[#This Row],[Order_Date]])/3,0)&amp;"-2023"</f>
        <v>Q2-2023</v>
      </c>
      <c r="R12" t="str">
        <f>TEXT(Cleaned_Data[[#This Row],[Order_Date]],"DDD")</f>
        <v>Sat</v>
      </c>
      <c r="S12" t="str">
        <f>IF(Cleaned_Data[[#This Row],[Net_Sales]]&gt;=100000,"High",IF(Cleaned_Data[[#This Row],[Net_Sales]]&gt;=50000,"Medium","Low"))</f>
        <v>Low</v>
      </c>
    </row>
    <row r="13" spans="1:19" x14ac:dyDescent="0.3">
      <c r="A13" t="s">
        <v>78</v>
      </c>
      <c r="B13" s="1">
        <v>45047</v>
      </c>
      <c r="C13" t="s">
        <v>79</v>
      </c>
      <c r="D13" t="s">
        <v>80</v>
      </c>
      <c r="E13" t="s">
        <v>81</v>
      </c>
      <c r="F13" t="s">
        <v>82</v>
      </c>
      <c r="G13" t="s">
        <v>45</v>
      </c>
      <c r="H13" t="s">
        <v>52</v>
      </c>
      <c r="I13">
        <v>1</v>
      </c>
      <c r="J13" s="8">
        <v>30300</v>
      </c>
      <c r="K13">
        <v>0</v>
      </c>
      <c r="L13" t="s">
        <v>47</v>
      </c>
      <c r="M13" s="5">
        <f>Cleaned_Data[[#This Row],[Quantity]]*Cleaned_Data[[#This Row],[Unit_Price]]</f>
        <v>30300</v>
      </c>
      <c r="N13" s="7">
        <f>Cleaned_Data[[#This Row],[Total_sales]]*(Cleaned_Data[[#This Row],[Discount_Percent]]/100)</f>
        <v>0</v>
      </c>
      <c r="O13" s="7">
        <f>Cleaned_Data[[#This Row],[Total_sales]]-Cleaned_Data[[#This Row],[Discount_Amount]]</f>
        <v>30300</v>
      </c>
      <c r="P13" t="str">
        <f>TEXT(Cleaned_Data[[#This Row],[Order_Date]],"MMM-YYYY")</f>
        <v>May-2023</v>
      </c>
      <c r="Q13" t="str">
        <f>"Q"&amp;ROUNDUP(MONTH(Cleaned_Data[[#This Row],[Order_Date]])/3,0)&amp;"-2023"</f>
        <v>Q2-2023</v>
      </c>
      <c r="R13" t="str">
        <f>TEXT(Cleaned_Data[[#This Row],[Order_Date]],"DDD")</f>
        <v>Mon</v>
      </c>
      <c r="S13" t="str">
        <f>IF(Cleaned_Data[[#This Row],[Net_Sales]]&gt;=100000,"High",IF(Cleaned_Data[[#This Row],[Net_Sales]]&gt;=50000,"Medium","Low"))</f>
        <v>Low</v>
      </c>
    </row>
    <row r="14" spans="1:19" x14ac:dyDescent="0.3">
      <c r="A14" t="s">
        <v>83</v>
      </c>
      <c r="B14" s="1">
        <v>45047</v>
      </c>
      <c r="C14" t="s">
        <v>84</v>
      </c>
      <c r="D14" t="s">
        <v>85</v>
      </c>
      <c r="E14" t="s">
        <v>23</v>
      </c>
      <c r="F14" t="s">
        <v>51</v>
      </c>
      <c r="G14" t="s">
        <v>45</v>
      </c>
      <c r="H14" t="s">
        <v>46</v>
      </c>
      <c r="I14">
        <v>1</v>
      </c>
      <c r="J14" s="8">
        <v>32800</v>
      </c>
      <c r="K14">
        <v>0</v>
      </c>
      <c r="L14" t="s">
        <v>62</v>
      </c>
      <c r="M14" s="5">
        <f>Cleaned_Data[[#This Row],[Quantity]]*Cleaned_Data[[#This Row],[Unit_Price]]</f>
        <v>32800</v>
      </c>
      <c r="N14" s="7">
        <f>Cleaned_Data[[#This Row],[Total_sales]]*(Cleaned_Data[[#This Row],[Discount_Percent]]/100)</f>
        <v>0</v>
      </c>
      <c r="O14" s="7">
        <f>Cleaned_Data[[#This Row],[Total_sales]]-Cleaned_Data[[#This Row],[Discount_Amount]]</f>
        <v>32800</v>
      </c>
      <c r="P14" t="str">
        <f>TEXT(Cleaned_Data[[#This Row],[Order_Date]],"MMM-YYYY")</f>
        <v>May-2023</v>
      </c>
      <c r="Q14" t="str">
        <f>"Q"&amp;ROUNDUP(MONTH(Cleaned_Data[[#This Row],[Order_Date]])/3,0)&amp;"-2023"</f>
        <v>Q2-2023</v>
      </c>
      <c r="R14" t="str">
        <f>TEXT(Cleaned_Data[[#This Row],[Order_Date]],"DDD")</f>
        <v>Mon</v>
      </c>
      <c r="S14" t="str">
        <f>IF(Cleaned_Data[[#This Row],[Net_Sales]]&gt;=100000,"High",IF(Cleaned_Data[[#This Row],[Net_Sales]]&gt;=50000,"Medium","Low"))</f>
        <v>Low</v>
      </c>
    </row>
    <row r="15" spans="1:19" x14ac:dyDescent="0.3">
      <c r="A15" t="s">
        <v>86</v>
      </c>
      <c r="B15" s="1">
        <v>45047</v>
      </c>
      <c r="C15" t="s">
        <v>49</v>
      </c>
      <c r="D15" t="s">
        <v>50</v>
      </c>
      <c r="E15" t="s">
        <v>66</v>
      </c>
      <c r="F15" t="s">
        <v>87</v>
      </c>
      <c r="G15" t="s">
        <v>17</v>
      </c>
      <c r="H15" t="s">
        <v>88</v>
      </c>
      <c r="I15">
        <v>1</v>
      </c>
      <c r="J15" s="8">
        <v>30800</v>
      </c>
      <c r="K15">
        <v>0</v>
      </c>
      <c r="L15" t="s">
        <v>47</v>
      </c>
      <c r="M15" s="5">
        <f>Cleaned_Data[[#This Row],[Quantity]]*Cleaned_Data[[#This Row],[Unit_Price]]</f>
        <v>30800</v>
      </c>
      <c r="N15" s="7">
        <f>Cleaned_Data[[#This Row],[Total_sales]]*(Cleaned_Data[[#This Row],[Discount_Percent]]/100)</f>
        <v>0</v>
      </c>
      <c r="O15" s="7">
        <f>Cleaned_Data[[#This Row],[Total_sales]]-Cleaned_Data[[#This Row],[Discount_Amount]]</f>
        <v>30800</v>
      </c>
      <c r="P15" t="str">
        <f>TEXT(Cleaned_Data[[#This Row],[Order_Date]],"MMM-YYYY")</f>
        <v>May-2023</v>
      </c>
      <c r="Q15" t="str">
        <f>"Q"&amp;ROUNDUP(MONTH(Cleaned_Data[[#This Row],[Order_Date]])/3,0)&amp;"-2023"</f>
        <v>Q2-2023</v>
      </c>
      <c r="R15" t="str">
        <f>TEXT(Cleaned_Data[[#This Row],[Order_Date]],"DDD")</f>
        <v>Mon</v>
      </c>
      <c r="S15" t="str">
        <f>IF(Cleaned_Data[[#This Row],[Net_Sales]]&gt;=100000,"High",IF(Cleaned_Data[[#This Row],[Net_Sales]]&gt;=50000,"Medium","Low"))</f>
        <v>Low</v>
      </c>
    </row>
    <row r="16" spans="1:19" x14ac:dyDescent="0.3">
      <c r="A16" t="s">
        <v>89</v>
      </c>
      <c r="B16" s="1">
        <v>45047</v>
      </c>
      <c r="C16" t="s">
        <v>90</v>
      </c>
      <c r="D16" t="s">
        <v>91</v>
      </c>
      <c r="E16" t="s">
        <v>66</v>
      </c>
      <c r="F16" t="s">
        <v>92</v>
      </c>
      <c r="G16" t="s">
        <v>25</v>
      </c>
      <c r="H16" t="s">
        <v>32</v>
      </c>
      <c r="I16">
        <v>2</v>
      </c>
      <c r="J16" s="8">
        <v>1400</v>
      </c>
      <c r="K16">
        <v>10</v>
      </c>
      <c r="L16" t="s">
        <v>19</v>
      </c>
      <c r="M16" s="5">
        <f>Cleaned_Data[[#This Row],[Quantity]]*Cleaned_Data[[#This Row],[Unit_Price]]</f>
        <v>2800</v>
      </c>
      <c r="N16" s="7">
        <f>Cleaned_Data[[#This Row],[Total_sales]]*(Cleaned_Data[[#This Row],[Discount_Percent]]/100)</f>
        <v>280</v>
      </c>
      <c r="O16" s="7">
        <f>Cleaned_Data[[#This Row],[Total_sales]]-Cleaned_Data[[#This Row],[Discount_Amount]]</f>
        <v>2520</v>
      </c>
      <c r="P16" t="str">
        <f>TEXT(Cleaned_Data[[#This Row],[Order_Date]],"MMM-YYYY")</f>
        <v>May-2023</v>
      </c>
      <c r="Q16" t="str">
        <f>"Q"&amp;ROUNDUP(MONTH(Cleaned_Data[[#This Row],[Order_Date]])/3,0)&amp;"-2023"</f>
        <v>Q2-2023</v>
      </c>
      <c r="R16" t="str">
        <f>TEXT(Cleaned_Data[[#This Row],[Order_Date]],"DDD")</f>
        <v>Mon</v>
      </c>
      <c r="S16" t="str">
        <f>IF(Cleaned_Data[[#This Row],[Net_Sales]]&gt;=100000,"High",IF(Cleaned_Data[[#This Row],[Net_Sales]]&gt;=50000,"Medium","Low"))</f>
        <v>Low</v>
      </c>
    </row>
    <row r="17" spans="1:19" x14ac:dyDescent="0.3">
      <c r="A17" t="s">
        <v>93</v>
      </c>
      <c r="B17" s="1">
        <v>45047</v>
      </c>
      <c r="C17" t="s">
        <v>70</v>
      </c>
      <c r="D17" t="s">
        <v>71</v>
      </c>
      <c r="E17" t="s">
        <v>66</v>
      </c>
      <c r="F17" t="s">
        <v>67</v>
      </c>
      <c r="G17" t="s">
        <v>45</v>
      </c>
      <c r="H17" t="s">
        <v>46</v>
      </c>
      <c r="I17">
        <v>1</v>
      </c>
      <c r="J17" s="8">
        <v>35400</v>
      </c>
      <c r="K17">
        <v>0</v>
      </c>
      <c r="L17" t="s">
        <v>19</v>
      </c>
      <c r="M17" s="5">
        <f>Cleaned_Data[[#This Row],[Quantity]]*Cleaned_Data[[#This Row],[Unit_Price]]</f>
        <v>35400</v>
      </c>
      <c r="N17" s="7">
        <f>Cleaned_Data[[#This Row],[Total_sales]]*(Cleaned_Data[[#This Row],[Discount_Percent]]/100)</f>
        <v>0</v>
      </c>
      <c r="O17" s="7">
        <f>Cleaned_Data[[#This Row],[Total_sales]]-Cleaned_Data[[#This Row],[Discount_Amount]]</f>
        <v>35400</v>
      </c>
      <c r="P17" t="str">
        <f>TEXT(Cleaned_Data[[#This Row],[Order_Date]],"MMM-YYYY")</f>
        <v>May-2023</v>
      </c>
      <c r="Q17" t="str">
        <f>"Q"&amp;ROUNDUP(MONTH(Cleaned_Data[[#This Row],[Order_Date]])/3,0)&amp;"-2023"</f>
        <v>Q2-2023</v>
      </c>
      <c r="R17" t="str">
        <f>TEXT(Cleaned_Data[[#This Row],[Order_Date]],"DDD")</f>
        <v>Mon</v>
      </c>
      <c r="S17" t="str">
        <f>IF(Cleaned_Data[[#This Row],[Net_Sales]]&gt;=100000,"High",IF(Cleaned_Data[[#This Row],[Net_Sales]]&gt;=50000,"Medium","Low"))</f>
        <v>Low</v>
      </c>
    </row>
    <row r="18" spans="1:19" x14ac:dyDescent="0.3">
      <c r="A18" t="s">
        <v>94</v>
      </c>
      <c r="B18" s="1">
        <v>45047</v>
      </c>
      <c r="C18" t="s">
        <v>95</v>
      </c>
      <c r="D18" t="s">
        <v>96</v>
      </c>
      <c r="E18" t="s">
        <v>81</v>
      </c>
      <c r="F18" t="s">
        <v>82</v>
      </c>
      <c r="G18" t="s">
        <v>97</v>
      </c>
      <c r="H18" t="s">
        <v>98</v>
      </c>
      <c r="I18">
        <v>1</v>
      </c>
      <c r="J18" s="8">
        <v>58500</v>
      </c>
      <c r="K18">
        <v>0</v>
      </c>
      <c r="L18" t="s">
        <v>62</v>
      </c>
      <c r="M18" s="5">
        <f>Cleaned_Data[[#This Row],[Quantity]]*Cleaned_Data[[#This Row],[Unit_Price]]</f>
        <v>58500</v>
      </c>
      <c r="N18" s="7">
        <f>Cleaned_Data[[#This Row],[Total_sales]]*(Cleaned_Data[[#This Row],[Discount_Percent]]/100)</f>
        <v>0</v>
      </c>
      <c r="O18" s="7">
        <f>Cleaned_Data[[#This Row],[Total_sales]]-Cleaned_Data[[#This Row],[Discount_Amount]]</f>
        <v>58500</v>
      </c>
      <c r="P18" t="str">
        <f>TEXT(Cleaned_Data[[#This Row],[Order_Date]],"MMM-YYYY")</f>
        <v>May-2023</v>
      </c>
      <c r="Q18" t="str">
        <f>"Q"&amp;ROUNDUP(MONTH(Cleaned_Data[[#This Row],[Order_Date]])/3,0)&amp;"-2023"</f>
        <v>Q2-2023</v>
      </c>
      <c r="R18" t="str">
        <f>TEXT(Cleaned_Data[[#This Row],[Order_Date]],"DDD")</f>
        <v>Mon</v>
      </c>
      <c r="S18" t="str">
        <f>IF(Cleaned_Data[[#This Row],[Net_Sales]]&gt;=100000,"High",IF(Cleaned_Data[[#This Row],[Net_Sales]]&gt;=50000,"Medium","Low"))</f>
        <v>Medium</v>
      </c>
    </row>
    <row r="19" spans="1:19" x14ac:dyDescent="0.3">
      <c r="A19" t="s">
        <v>99</v>
      </c>
      <c r="B19" s="1">
        <v>45078</v>
      </c>
      <c r="C19" t="s">
        <v>90</v>
      </c>
      <c r="D19" t="s">
        <v>91</v>
      </c>
      <c r="E19" t="s">
        <v>81</v>
      </c>
      <c r="F19" t="s">
        <v>82</v>
      </c>
      <c r="G19" t="s">
        <v>25</v>
      </c>
      <c r="H19" t="s">
        <v>26</v>
      </c>
      <c r="I19">
        <v>3</v>
      </c>
      <c r="J19" s="8">
        <v>1800</v>
      </c>
      <c r="K19">
        <v>0</v>
      </c>
      <c r="L19" t="s">
        <v>27</v>
      </c>
      <c r="M19" s="5">
        <f>Cleaned_Data[[#This Row],[Quantity]]*Cleaned_Data[[#This Row],[Unit_Price]]</f>
        <v>5400</v>
      </c>
      <c r="N19" s="7">
        <f>Cleaned_Data[[#This Row],[Total_sales]]*(Cleaned_Data[[#This Row],[Discount_Percent]]/100)</f>
        <v>0</v>
      </c>
      <c r="O19" s="7">
        <f>Cleaned_Data[[#This Row],[Total_sales]]-Cleaned_Data[[#This Row],[Discount_Amount]]</f>
        <v>5400</v>
      </c>
      <c r="P19" t="str">
        <f>TEXT(Cleaned_Data[[#This Row],[Order_Date]],"MMM-YYYY")</f>
        <v>Jun-2023</v>
      </c>
      <c r="Q19" t="str">
        <f>"Q"&amp;ROUNDUP(MONTH(Cleaned_Data[[#This Row],[Order_Date]])/3,0)&amp;"-2023"</f>
        <v>Q2-2023</v>
      </c>
      <c r="R19" t="str">
        <f>TEXT(Cleaned_Data[[#This Row],[Order_Date]],"DDD")</f>
        <v>Thu</v>
      </c>
      <c r="S19" t="str">
        <f>IF(Cleaned_Data[[#This Row],[Net_Sales]]&gt;=100000,"High",IF(Cleaned_Data[[#This Row],[Net_Sales]]&gt;=50000,"Medium","Low"))</f>
        <v>Low</v>
      </c>
    </row>
    <row r="20" spans="1:19" x14ac:dyDescent="0.3">
      <c r="A20" t="s">
        <v>100</v>
      </c>
      <c r="B20" s="1">
        <v>45078</v>
      </c>
      <c r="C20" t="s">
        <v>64</v>
      </c>
      <c r="D20" t="s">
        <v>65</v>
      </c>
      <c r="E20" t="s">
        <v>37</v>
      </c>
      <c r="F20" t="s">
        <v>101</v>
      </c>
      <c r="G20" t="s">
        <v>39</v>
      </c>
      <c r="H20" t="s">
        <v>102</v>
      </c>
      <c r="I20">
        <v>1</v>
      </c>
      <c r="J20" s="8">
        <v>28800</v>
      </c>
      <c r="K20">
        <v>10</v>
      </c>
      <c r="L20" t="s">
        <v>103</v>
      </c>
      <c r="M20" s="5">
        <f>Cleaned_Data[[#This Row],[Quantity]]*Cleaned_Data[[#This Row],[Unit_Price]]</f>
        <v>28800</v>
      </c>
      <c r="N20" s="7">
        <f>Cleaned_Data[[#This Row],[Total_sales]]*(Cleaned_Data[[#This Row],[Discount_Percent]]/100)</f>
        <v>2880</v>
      </c>
      <c r="O20" s="7">
        <f>Cleaned_Data[[#This Row],[Total_sales]]-Cleaned_Data[[#This Row],[Discount_Amount]]</f>
        <v>25920</v>
      </c>
      <c r="P20" t="str">
        <f>TEXT(Cleaned_Data[[#This Row],[Order_Date]],"MMM-YYYY")</f>
        <v>Jun-2023</v>
      </c>
      <c r="Q20" t="str">
        <f>"Q"&amp;ROUNDUP(MONTH(Cleaned_Data[[#This Row],[Order_Date]])/3,0)&amp;"-2023"</f>
        <v>Q2-2023</v>
      </c>
      <c r="R20" t="str">
        <f>TEXT(Cleaned_Data[[#This Row],[Order_Date]],"DDD")</f>
        <v>Thu</v>
      </c>
      <c r="S20" t="str">
        <f>IF(Cleaned_Data[[#This Row],[Net_Sales]]&gt;=100000,"High",IF(Cleaned_Data[[#This Row],[Net_Sales]]&gt;=50000,"Medium","Low"))</f>
        <v>Low</v>
      </c>
    </row>
    <row r="21" spans="1:19" x14ac:dyDescent="0.3">
      <c r="A21" t="s">
        <v>104</v>
      </c>
      <c r="B21" s="1">
        <v>45078</v>
      </c>
      <c r="C21" t="s">
        <v>105</v>
      </c>
      <c r="D21" t="s">
        <v>106</v>
      </c>
      <c r="E21" t="s">
        <v>37</v>
      </c>
      <c r="F21" t="s">
        <v>38</v>
      </c>
      <c r="G21" t="s">
        <v>45</v>
      </c>
      <c r="H21" t="s">
        <v>46</v>
      </c>
      <c r="I21">
        <v>1</v>
      </c>
      <c r="J21" s="8">
        <v>34600</v>
      </c>
      <c r="K21">
        <v>10</v>
      </c>
      <c r="L21" t="s">
        <v>33</v>
      </c>
      <c r="M21" s="5">
        <f>Cleaned_Data[[#This Row],[Quantity]]*Cleaned_Data[[#This Row],[Unit_Price]]</f>
        <v>34600</v>
      </c>
      <c r="N21" s="7">
        <f>Cleaned_Data[[#This Row],[Total_sales]]*(Cleaned_Data[[#This Row],[Discount_Percent]]/100)</f>
        <v>3460</v>
      </c>
      <c r="O21" s="7">
        <f>Cleaned_Data[[#This Row],[Total_sales]]-Cleaned_Data[[#This Row],[Discount_Amount]]</f>
        <v>31140</v>
      </c>
      <c r="P21" t="str">
        <f>TEXT(Cleaned_Data[[#This Row],[Order_Date]],"MMM-YYYY")</f>
        <v>Jun-2023</v>
      </c>
      <c r="Q21" t="str">
        <f>"Q"&amp;ROUNDUP(MONTH(Cleaned_Data[[#This Row],[Order_Date]])/3,0)&amp;"-2023"</f>
        <v>Q2-2023</v>
      </c>
      <c r="R21" t="str">
        <f>TEXT(Cleaned_Data[[#This Row],[Order_Date]],"DDD")</f>
        <v>Thu</v>
      </c>
      <c r="S21" t="str">
        <f>IF(Cleaned_Data[[#This Row],[Net_Sales]]&gt;=100000,"High",IF(Cleaned_Data[[#This Row],[Net_Sales]]&gt;=50000,"Medium","Low"))</f>
        <v>Low</v>
      </c>
    </row>
    <row r="22" spans="1:19" x14ac:dyDescent="0.3">
      <c r="A22" t="s">
        <v>107</v>
      </c>
      <c r="B22" s="1">
        <v>45108</v>
      </c>
      <c r="C22" t="s">
        <v>105</v>
      </c>
      <c r="D22" t="s">
        <v>106</v>
      </c>
      <c r="E22" t="s">
        <v>37</v>
      </c>
      <c r="F22" t="s">
        <v>38</v>
      </c>
      <c r="G22" t="s">
        <v>25</v>
      </c>
      <c r="H22" t="s">
        <v>108</v>
      </c>
      <c r="I22">
        <v>2</v>
      </c>
      <c r="J22" s="8">
        <v>1200</v>
      </c>
      <c r="K22">
        <v>0</v>
      </c>
      <c r="L22" t="s">
        <v>73</v>
      </c>
      <c r="M22" s="5">
        <f>Cleaned_Data[[#This Row],[Quantity]]*Cleaned_Data[[#This Row],[Unit_Price]]</f>
        <v>2400</v>
      </c>
      <c r="N22" s="7">
        <f>Cleaned_Data[[#This Row],[Total_sales]]*(Cleaned_Data[[#This Row],[Discount_Percent]]/100)</f>
        <v>0</v>
      </c>
      <c r="O22" s="7">
        <f>Cleaned_Data[[#This Row],[Total_sales]]-Cleaned_Data[[#This Row],[Discount_Amount]]</f>
        <v>2400</v>
      </c>
      <c r="P22" t="str">
        <f>TEXT(Cleaned_Data[[#This Row],[Order_Date]],"MMM-YYYY")</f>
        <v>Jul-2023</v>
      </c>
      <c r="Q22" t="str">
        <f>"Q"&amp;ROUNDUP(MONTH(Cleaned_Data[[#This Row],[Order_Date]])/3,0)&amp;"-2023"</f>
        <v>Q3-2023</v>
      </c>
      <c r="R22" t="str">
        <f>TEXT(Cleaned_Data[[#This Row],[Order_Date]],"DDD")</f>
        <v>Sat</v>
      </c>
      <c r="S22" t="str">
        <f>IF(Cleaned_Data[[#This Row],[Net_Sales]]&gt;=100000,"High",IF(Cleaned_Data[[#This Row],[Net_Sales]]&gt;=50000,"Medium","Low"))</f>
        <v>Low</v>
      </c>
    </row>
    <row r="23" spans="1:19" x14ac:dyDescent="0.3">
      <c r="A23" t="s">
        <v>109</v>
      </c>
      <c r="B23" s="1">
        <v>45108</v>
      </c>
      <c r="C23" t="s">
        <v>55</v>
      </c>
      <c r="D23" t="s">
        <v>56</v>
      </c>
      <c r="E23" t="s">
        <v>81</v>
      </c>
      <c r="F23" t="s">
        <v>110</v>
      </c>
      <c r="G23" t="s">
        <v>97</v>
      </c>
      <c r="H23" t="s">
        <v>98</v>
      </c>
      <c r="I23">
        <v>1</v>
      </c>
      <c r="J23" s="8">
        <v>56100</v>
      </c>
      <c r="K23">
        <v>10</v>
      </c>
      <c r="L23" t="s">
        <v>33</v>
      </c>
      <c r="M23" s="5">
        <f>Cleaned_Data[[#This Row],[Quantity]]*Cleaned_Data[[#This Row],[Unit_Price]]</f>
        <v>56100</v>
      </c>
      <c r="N23" s="7">
        <f>Cleaned_Data[[#This Row],[Total_sales]]*(Cleaned_Data[[#This Row],[Discount_Percent]]/100)</f>
        <v>5610</v>
      </c>
      <c r="O23" s="7">
        <f>Cleaned_Data[[#This Row],[Total_sales]]-Cleaned_Data[[#This Row],[Discount_Amount]]</f>
        <v>50490</v>
      </c>
      <c r="P23" t="str">
        <f>TEXT(Cleaned_Data[[#This Row],[Order_Date]],"MMM-YYYY")</f>
        <v>Jul-2023</v>
      </c>
      <c r="Q23" t="str">
        <f>"Q"&amp;ROUNDUP(MONTH(Cleaned_Data[[#This Row],[Order_Date]])/3,0)&amp;"-2023"</f>
        <v>Q3-2023</v>
      </c>
      <c r="R23" t="str">
        <f>TEXT(Cleaned_Data[[#This Row],[Order_Date]],"DDD")</f>
        <v>Sat</v>
      </c>
      <c r="S23" t="str">
        <f>IF(Cleaned_Data[[#This Row],[Net_Sales]]&gt;=100000,"High",IF(Cleaned_Data[[#This Row],[Net_Sales]]&gt;=50000,"Medium","Low"))</f>
        <v>Medium</v>
      </c>
    </row>
    <row r="24" spans="1:19" x14ac:dyDescent="0.3">
      <c r="A24" t="s">
        <v>111</v>
      </c>
      <c r="B24" s="1">
        <v>45108</v>
      </c>
      <c r="C24" t="s">
        <v>112</v>
      </c>
      <c r="D24" t="s">
        <v>113</v>
      </c>
      <c r="E24" t="s">
        <v>37</v>
      </c>
      <c r="F24" t="s">
        <v>38</v>
      </c>
      <c r="G24" t="s">
        <v>45</v>
      </c>
      <c r="H24" t="s">
        <v>52</v>
      </c>
      <c r="I24">
        <v>1</v>
      </c>
      <c r="J24" s="8">
        <v>33400</v>
      </c>
      <c r="K24">
        <v>15</v>
      </c>
      <c r="L24" t="s">
        <v>103</v>
      </c>
      <c r="M24" s="5">
        <f>Cleaned_Data[[#This Row],[Quantity]]*Cleaned_Data[[#This Row],[Unit_Price]]</f>
        <v>33400</v>
      </c>
      <c r="N24" s="7">
        <f>Cleaned_Data[[#This Row],[Total_sales]]*(Cleaned_Data[[#This Row],[Discount_Percent]]/100)</f>
        <v>5010</v>
      </c>
      <c r="O24" s="7">
        <f>Cleaned_Data[[#This Row],[Total_sales]]-Cleaned_Data[[#This Row],[Discount_Amount]]</f>
        <v>28390</v>
      </c>
      <c r="P24" t="str">
        <f>TEXT(Cleaned_Data[[#This Row],[Order_Date]],"MMM-YYYY")</f>
        <v>Jul-2023</v>
      </c>
      <c r="Q24" t="str">
        <f>"Q"&amp;ROUNDUP(MONTH(Cleaned_Data[[#This Row],[Order_Date]])/3,0)&amp;"-2023"</f>
        <v>Q3-2023</v>
      </c>
      <c r="R24" t="str">
        <f>TEXT(Cleaned_Data[[#This Row],[Order_Date]],"DDD")</f>
        <v>Sat</v>
      </c>
      <c r="S24" t="str">
        <f>IF(Cleaned_Data[[#This Row],[Net_Sales]]&gt;=100000,"High",IF(Cleaned_Data[[#This Row],[Net_Sales]]&gt;=50000,"Medium","Low"))</f>
        <v>Low</v>
      </c>
    </row>
    <row r="25" spans="1:19" x14ac:dyDescent="0.3">
      <c r="A25" t="s">
        <v>114</v>
      </c>
      <c r="B25" s="1">
        <v>45139</v>
      </c>
      <c r="C25" t="s">
        <v>115</v>
      </c>
      <c r="D25" t="s">
        <v>116</v>
      </c>
      <c r="E25" t="s">
        <v>81</v>
      </c>
      <c r="F25" t="s">
        <v>117</v>
      </c>
      <c r="G25" t="s">
        <v>39</v>
      </c>
      <c r="H25" t="s">
        <v>102</v>
      </c>
      <c r="I25">
        <v>1</v>
      </c>
      <c r="J25" s="8">
        <v>20500</v>
      </c>
      <c r="K25">
        <v>10</v>
      </c>
      <c r="L25" t="s">
        <v>19</v>
      </c>
      <c r="M25" s="5">
        <f>Cleaned_Data[[#This Row],[Quantity]]*Cleaned_Data[[#This Row],[Unit_Price]]</f>
        <v>20500</v>
      </c>
      <c r="N25" s="7">
        <f>Cleaned_Data[[#This Row],[Total_sales]]*(Cleaned_Data[[#This Row],[Discount_Percent]]/100)</f>
        <v>2050</v>
      </c>
      <c r="O25" s="7">
        <f>Cleaned_Data[[#This Row],[Total_sales]]-Cleaned_Data[[#This Row],[Discount_Amount]]</f>
        <v>18450</v>
      </c>
      <c r="P25" t="str">
        <f>TEXT(Cleaned_Data[[#This Row],[Order_Date]],"MMM-YYYY")</f>
        <v>Aug-2023</v>
      </c>
      <c r="Q25" t="str">
        <f>"Q"&amp;ROUNDUP(MONTH(Cleaned_Data[[#This Row],[Order_Date]])/3,0)&amp;"-2023"</f>
        <v>Q3-2023</v>
      </c>
      <c r="R25" t="str">
        <f>TEXT(Cleaned_Data[[#This Row],[Order_Date]],"DDD")</f>
        <v>Tue</v>
      </c>
      <c r="S25" t="str">
        <f>IF(Cleaned_Data[[#This Row],[Net_Sales]]&gt;=100000,"High",IF(Cleaned_Data[[#This Row],[Net_Sales]]&gt;=50000,"Medium","Low"))</f>
        <v>Low</v>
      </c>
    </row>
    <row r="26" spans="1:19" x14ac:dyDescent="0.3">
      <c r="A26" t="s">
        <v>118</v>
      </c>
      <c r="B26" s="1">
        <v>45139</v>
      </c>
      <c r="C26" t="s">
        <v>49</v>
      </c>
      <c r="D26" t="s">
        <v>50</v>
      </c>
      <c r="E26" t="s">
        <v>15</v>
      </c>
      <c r="F26" t="s">
        <v>119</v>
      </c>
      <c r="G26" t="s">
        <v>97</v>
      </c>
      <c r="H26" t="s">
        <v>98</v>
      </c>
      <c r="I26">
        <v>2</v>
      </c>
      <c r="J26" s="8">
        <v>67100</v>
      </c>
      <c r="K26">
        <v>5</v>
      </c>
      <c r="L26" t="s">
        <v>53</v>
      </c>
      <c r="M26" s="5">
        <f>Cleaned_Data[[#This Row],[Quantity]]*Cleaned_Data[[#This Row],[Unit_Price]]</f>
        <v>134200</v>
      </c>
      <c r="N26" s="7">
        <f>Cleaned_Data[[#This Row],[Total_sales]]*(Cleaned_Data[[#This Row],[Discount_Percent]]/100)</f>
        <v>6710</v>
      </c>
      <c r="O26" s="7">
        <f>Cleaned_Data[[#This Row],[Total_sales]]-Cleaned_Data[[#This Row],[Discount_Amount]]</f>
        <v>127490</v>
      </c>
      <c r="P26" t="str">
        <f>TEXT(Cleaned_Data[[#This Row],[Order_Date]],"MMM-YYYY")</f>
        <v>Aug-2023</v>
      </c>
      <c r="Q26" t="str">
        <f>"Q"&amp;ROUNDUP(MONTH(Cleaned_Data[[#This Row],[Order_Date]])/3,0)&amp;"-2023"</f>
        <v>Q3-2023</v>
      </c>
      <c r="R26" t="str">
        <f>TEXT(Cleaned_Data[[#This Row],[Order_Date]],"DDD")</f>
        <v>Tue</v>
      </c>
      <c r="S26" t="str">
        <f>IF(Cleaned_Data[[#This Row],[Net_Sales]]&gt;=100000,"High",IF(Cleaned_Data[[#This Row],[Net_Sales]]&gt;=50000,"Medium","Low"))</f>
        <v>High</v>
      </c>
    </row>
    <row r="27" spans="1:19" x14ac:dyDescent="0.3">
      <c r="A27" t="s">
        <v>120</v>
      </c>
      <c r="B27" s="1">
        <v>45170</v>
      </c>
      <c r="C27" t="s">
        <v>59</v>
      </c>
      <c r="D27" t="s">
        <v>60</v>
      </c>
      <c r="E27" t="s">
        <v>37</v>
      </c>
      <c r="F27" t="s">
        <v>38</v>
      </c>
      <c r="G27" t="s">
        <v>39</v>
      </c>
      <c r="H27" t="s">
        <v>68</v>
      </c>
      <c r="I27">
        <v>1</v>
      </c>
      <c r="J27" s="8">
        <v>30200</v>
      </c>
      <c r="K27">
        <v>10</v>
      </c>
      <c r="L27" t="s">
        <v>62</v>
      </c>
      <c r="M27" s="5">
        <f>Cleaned_Data[[#This Row],[Quantity]]*Cleaned_Data[[#This Row],[Unit_Price]]</f>
        <v>30200</v>
      </c>
      <c r="N27" s="7">
        <f>Cleaned_Data[[#This Row],[Total_sales]]*(Cleaned_Data[[#This Row],[Discount_Percent]]/100)</f>
        <v>3020</v>
      </c>
      <c r="O27" s="7">
        <f>Cleaned_Data[[#This Row],[Total_sales]]-Cleaned_Data[[#This Row],[Discount_Amount]]</f>
        <v>27180</v>
      </c>
      <c r="P27" t="str">
        <f>TEXT(Cleaned_Data[[#This Row],[Order_Date]],"MMM-YYYY")</f>
        <v>Sep-2023</v>
      </c>
      <c r="Q27" t="str">
        <f>"Q"&amp;ROUNDUP(MONTH(Cleaned_Data[[#This Row],[Order_Date]])/3,0)&amp;"-2023"</f>
        <v>Q3-2023</v>
      </c>
      <c r="R27" t="str">
        <f>TEXT(Cleaned_Data[[#This Row],[Order_Date]],"DDD")</f>
        <v>Fri</v>
      </c>
      <c r="S27" t="str">
        <f>IF(Cleaned_Data[[#This Row],[Net_Sales]]&gt;=100000,"High",IF(Cleaned_Data[[#This Row],[Net_Sales]]&gt;=50000,"Medium","Low"))</f>
        <v>Low</v>
      </c>
    </row>
    <row r="28" spans="1:19" x14ac:dyDescent="0.3">
      <c r="A28" t="s">
        <v>121</v>
      </c>
      <c r="B28" s="1">
        <v>45170</v>
      </c>
      <c r="C28" t="s">
        <v>122</v>
      </c>
      <c r="D28" t="s">
        <v>123</v>
      </c>
      <c r="E28" t="s">
        <v>23</v>
      </c>
      <c r="F28" t="s">
        <v>44</v>
      </c>
      <c r="G28" t="s">
        <v>25</v>
      </c>
      <c r="H28" t="s">
        <v>124</v>
      </c>
      <c r="I28">
        <v>2</v>
      </c>
      <c r="J28" s="8">
        <v>2500</v>
      </c>
      <c r="K28">
        <v>0</v>
      </c>
      <c r="L28" t="s">
        <v>103</v>
      </c>
      <c r="M28" s="5">
        <f>Cleaned_Data[[#This Row],[Quantity]]*Cleaned_Data[[#This Row],[Unit_Price]]</f>
        <v>5000</v>
      </c>
      <c r="N28" s="7">
        <f>Cleaned_Data[[#This Row],[Total_sales]]*(Cleaned_Data[[#This Row],[Discount_Percent]]/100)</f>
        <v>0</v>
      </c>
      <c r="O28" s="7">
        <f>Cleaned_Data[[#This Row],[Total_sales]]-Cleaned_Data[[#This Row],[Discount_Amount]]</f>
        <v>5000</v>
      </c>
      <c r="P28" t="str">
        <f>TEXT(Cleaned_Data[[#This Row],[Order_Date]],"MMM-YYYY")</f>
        <v>Sep-2023</v>
      </c>
      <c r="Q28" t="str">
        <f>"Q"&amp;ROUNDUP(MONTH(Cleaned_Data[[#This Row],[Order_Date]])/3,0)&amp;"-2023"</f>
        <v>Q3-2023</v>
      </c>
      <c r="R28" t="str">
        <f>TEXT(Cleaned_Data[[#This Row],[Order_Date]],"DDD")</f>
        <v>Fri</v>
      </c>
      <c r="S28" t="str">
        <f>IF(Cleaned_Data[[#This Row],[Net_Sales]]&gt;=100000,"High",IF(Cleaned_Data[[#This Row],[Net_Sales]]&gt;=50000,"Medium","Low"))</f>
        <v>Low</v>
      </c>
    </row>
    <row r="29" spans="1:19" x14ac:dyDescent="0.3">
      <c r="A29" t="s">
        <v>125</v>
      </c>
      <c r="B29" s="1">
        <v>45170</v>
      </c>
      <c r="C29" t="s">
        <v>126</v>
      </c>
      <c r="D29" t="s">
        <v>127</v>
      </c>
      <c r="E29" t="s">
        <v>15</v>
      </c>
      <c r="F29" t="s">
        <v>128</v>
      </c>
      <c r="G29" t="s">
        <v>39</v>
      </c>
      <c r="H29" t="s">
        <v>102</v>
      </c>
      <c r="I29">
        <v>1</v>
      </c>
      <c r="J29" s="8">
        <v>24800</v>
      </c>
      <c r="K29">
        <v>10</v>
      </c>
      <c r="L29" t="s">
        <v>73</v>
      </c>
      <c r="M29" s="5">
        <f>Cleaned_Data[[#This Row],[Quantity]]*Cleaned_Data[[#This Row],[Unit_Price]]</f>
        <v>24800</v>
      </c>
      <c r="N29" s="7">
        <f>Cleaned_Data[[#This Row],[Total_sales]]*(Cleaned_Data[[#This Row],[Discount_Percent]]/100)</f>
        <v>2480</v>
      </c>
      <c r="O29" s="7">
        <f>Cleaned_Data[[#This Row],[Total_sales]]-Cleaned_Data[[#This Row],[Discount_Amount]]</f>
        <v>22320</v>
      </c>
      <c r="P29" t="str">
        <f>TEXT(Cleaned_Data[[#This Row],[Order_Date]],"MMM-YYYY")</f>
        <v>Sep-2023</v>
      </c>
      <c r="Q29" t="str">
        <f>"Q"&amp;ROUNDUP(MONTH(Cleaned_Data[[#This Row],[Order_Date]])/3,0)&amp;"-2023"</f>
        <v>Q3-2023</v>
      </c>
      <c r="R29" t="str">
        <f>TEXT(Cleaned_Data[[#This Row],[Order_Date]],"DDD")</f>
        <v>Fri</v>
      </c>
      <c r="S29" t="str">
        <f>IF(Cleaned_Data[[#This Row],[Net_Sales]]&gt;=100000,"High",IF(Cleaned_Data[[#This Row],[Net_Sales]]&gt;=50000,"Medium","Low"))</f>
        <v>Low</v>
      </c>
    </row>
    <row r="30" spans="1:19" x14ac:dyDescent="0.3">
      <c r="A30" t="s">
        <v>129</v>
      </c>
      <c r="B30" s="1">
        <v>45170</v>
      </c>
      <c r="C30" t="s">
        <v>130</v>
      </c>
      <c r="D30" t="s">
        <v>53</v>
      </c>
      <c r="E30" t="s">
        <v>15</v>
      </c>
      <c r="F30" t="s">
        <v>131</v>
      </c>
      <c r="G30" t="s">
        <v>39</v>
      </c>
      <c r="H30" t="s">
        <v>68</v>
      </c>
      <c r="I30">
        <v>1</v>
      </c>
      <c r="J30" s="8">
        <v>33200</v>
      </c>
      <c r="K30">
        <v>5</v>
      </c>
      <c r="L30" t="s">
        <v>27</v>
      </c>
      <c r="M30" s="5">
        <f>Cleaned_Data[[#This Row],[Quantity]]*Cleaned_Data[[#This Row],[Unit_Price]]</f>
        <v>33200</v>
      </c>
      <c r="N30" s="7">
        <f>Cleaned_Data[[#This Row],[Total_sales]]*(Cleaned_Data[[#This Row],[Discount_Percent]]/100)</f>
        <v>1660</v>
      </c>
      <c r="O30" s="7">
        <f>Cleaned_Data[[#This Row],[Total_sales]]-Cleaned_Data[[#This Row],[Discount_Amount]]</f>
        <v>31540</v>
      </c>
      <c r="P30" t="str">
        <f>TEXT(Cleaned_Data[[#This Row],[Order_Date]],"MMM-YYYY")</f>
        <v>Sep-2023</v>
      </c>
      <c r="Q30" t="str">
        <f>"Q"&amp;ROUNDUP(MONTH(Cleaned_Data[[#This Row],[Order_Date]])/3,0)&amp;"-2023"</f>
        <v>Q3-2023</v>
      </c>
      <c r="R30" t="str">
        <f>TEXT(Cleaned_Data[[#This Row],[Order_Date]],"DDD")</f>
        <v>Fri</v>
      </c>
      <c r="S30" t="str">
        <f>IF(Cleaned_Data[[#This Row],[Net_Sales]]&gt;=100000,"High",IF(Cleaned_Data[[#This Row],[Net_Sales]]&gt;=50000,"Medium","Low"))</f>
        <v>Low</v>
      </c>
    </row>
    <row r="31" spans="1:19" x14ac:dyDescent="0.3">
      <c r="A31" t="s">
        <v>132</v>
      </c>
      <c r="B31" s="1">
        <v>45200</v>
      </c>
      <c r="C31" t="s">
        <v>112</v>
      </c>
      <c r="D31" t="s">
        <v>113</v>
      </c>
      <c r="E31" t="s">
        <v>81</v>
      </c>
      <c r="F31" t="s">
        <v>82</v>
      </c>
      <c r="G31" t="s">
        <v>97</v>
      </c>
      <c r="H31" t="s">
        <v>133</v>
      </c>
      <c r="I31">
        <v>1</v>
      </c>
      <c r="J31" s="8">
        <v>53600</v>
      </c>
      <c r="K31">
        <v>15</v>
      </c>
      <c r="L31" t="s">
        <v>73</v>
      </c>
      <c r="M31" s="5">
        <f>Cleaned_Data[[#This Row],[Quantity]]*Cleaned_Data[[#This Row],[Unit_Price]]</f>
        <v>53600</v>
      </c>
      <c r="N31" s="7">
        <f>Cleaned_Data[[#This Row],[Total_sales]]*(Cleaned_Data[[#This Row],[Discount_Percent]]/100)</f>
        <v>8040</v>
      </c>
      <c r="O31" s="7">
        <f>Cleaned_Data[[#This Row],[Total_sales]]-Cleaned_Data[[#This Row],[Discount_Amount]]</f>
        <v>45560</v>
      </c>
      <c r="P31" t="str">
        <f>TEXT(Cleaned_Data[[#This Row],[Order_Date]],"MMM-YYYY")</f>
        <v>Oct-2023</v>
      </c>
      <c r="Q31" t="str">
        <f>"Q"&amp;ROUNDUP(MONTH(Cleaned_Data[[#This Row],[Order_Date]])/3,0)&amp;"-2023"</f>
        <v>Q4-2023</v>
      </c>
      <c r="R31" t="str">
        <f>TEXT(Cleaned_Data[[#This Row],[Order_Date]],"DDD")</f>
        <v>Sun</v>
      </c>
      <c r="S31" t="str">
        <f>IF(Cleaned_Data[[#This Row],[Net_Sales]]&gt;=100000,"High",IF(Cleaned_Data[[#This Row],[Net_Sales]]&gt;=50000,"Medium","Low"))</f>
        <v>Low</v>
      </c>
    </row>
    <row r="32" spans="1:19" x14ac:dyDescent="0.3">
      <c r="A32" t="s">
        <v>134</v>
      </c>
      <c r="B32" s="1">
        <v>45200</v>
      </c>
      <c r="C32" t="s">
        <v>135</v>
      </c>
      <c r="D32" t="s">
        <v>136</v>
      </c>
      <c r="E32" t="s">
        <v>15</v>
      </c>
      <c r="F32" t="s">
        <v>131</v>
      </c>
      <c r="G32" t="s">
        <v>39</v>
      </c>
      <c r="H32" t="s">
        <v>102</v>
      </c>
      <c r="I32">
        <v>1</v>
      </c>
      <c r="J32" s="8">
        <v>28000</v>
      </c>
      <c r="K32">
        <v>0</v>
      </c>
      <c r="L32" t="s">
        <v>103</v>
      </c>
      <c r="M32" s="5">
        <f>Cleaned_Data[[#This Row],[Quantity]]*Cleaned_Data[[#This Row],[Unit_Price]]</f>
        <v>28000</v>
      </c>
      <c r="N32" s="7">
        <f>Cleaned_Data[[#This Row],[Total_sales]]*(Cleaned_Data[[#This Row],[Discount_Percent]]/100)</f>
        <v>0</v>
      </c>
      <c r="O32" s="7">
        <f>Cleaned_Data[[#This Row],[Total_sales]]-Cleaned_Data[[#This Row],[Discount_Amount]]</f>
        <v>28000</v>
      </c>
      <c r="P32" t="str">
        <f>TEXT(Cleaned_Data[[#This Row],[Order_Date]],"MMM-YYYY")</f>
        <v>Oct-2023</v>
      </c>
      <c r="Q32" t="str">
        <f>"Q"&amp;ROUNDUP(MONTH(Cleaned_Data[[#This Row],[Order_Date]])/3,0)&amp;"-2023"</f>
        <v>Q4-2023</v>
      </c>
      <c r="R32" t="str">
        <f>TEXT(Cleaned_Data[[#This Row],[Order_Date]],"DDD")</f>
        <v>Sun</v>
      </c>
      <c r="S32" t="str">
        <f>IF(Cleaned_Data[[#This Row],[Net_Sales]]&gt;=100000,"High",IF(Cleaned_Data[[#This Row],[Net_Sales]]&gt;=50000,"Medium","Low"))</f>
        <v>Low</v>
      </c>
    </row>
    <row r="33" spans="1:19" x14ac:dyDescent="0.3">
      <c r="A33" t="s">
        <v>137</v>
      </c>
      <c r="B33" s="1">
        <v>45200</v>
      </c>
      <c r="C33" t="s">
        <v>105</v>
      </c>
      <c r="D33" t="s">
        <v>106</v>
      </c>
      <c r="E33" t="s">
        <v>23</v>
      </c>
      <c r="F33" t="s">
        <v>44</v>
      </c>
      <c r="G33" t="s">
        <v>25</v>
      </c>
      <c r="H33" t="s">
        <v>108</v>
      </c>
      <c r="I33">
        <v>2</v>
      </c>
      <c r="J33" s="8">
        <v>2100</v>
      </c>
      <c r="K33">
        <v>15</v>
      </c>
      <c r="L33" t="s">
        <v>53</v>
      </c>
      <c r="M33" s="5">
        <f>Cleaned_Data[[#This Row],[Quantity]]*Cleaned_Data[[#This Row],[Unit_Price]]</f>
        <v>4200</v>
      </c>
      <c r="N33" s="7">
        <f>Cleaned_Data[[#This Row],[Total_sales]]*(Cleaned_Data[[#This Row],[Discount_Percent]]/100)</f>
        <v>630</v>
      </c>
      <c r="O33" s="7">
        <f>Cleaned_Data[[#This Row],[Total_sales]]-Cleaned_Data[[#This Row],[Discount_Amount]]</f>
        <v>3570</v>
      </c>
      <c r="P33" t="str">
        <f>TEXT(Cleaned_Data[[#This Row],[Order_Date]],"MMM-YYYY")</f>
        <v>Oct-2023</v>
      </c>
      <c r="Q33" t="str">
        <f>"Q"&amp;ROUNDUP(MONTH(Cleaned_Data[[#This Row],[Order_Date]])/3,0)&amp;"-2023"</f>
        <v>Q4-2023</v>
      </c>
      <c r="R33" t="str">
        <f>TEXT(Cleaned_Data[[#This Row],[Order_Date]],"DDD")</f>
        <v>Sun</v>
      </c>
      <c r="S33" t="str">
        <f>IF(Cleaned_Data[[#This Row],[Net_Sales]]&gt;=100000,"High",IF(Cleaned_Data[[#This Row],[Net_Sales]]&gt;=50000,"Medium","Low"))</f>
        <v>Low</v>
      </c>
    </row>
    <row r="34" spans="1:19" x14ac:dyDescent="0.3">
      <c r="A34" t="s">
        <v>138</v>
      </c>
      <c r="B34" s="1">
        <v>45200</v>
      </c>
      <c r="C34" t="s">
        <v>79</v>
      </c>
      <c r="D34" t="s">
        <v>80</v>
      </c>
      <c r="E34" t="s">
        <v>23</v>
      </c>
      <c r="F34" t="s">
        <v>51</v>
      </c>
      <c r="G34" t="s">
        <v>25</v>
      </c>
      <c r="H34" t="s">
        <v>32</v>
      </c>
      <c r="I34">
        <v>2</v>
      </c>
      <c r="J34" s="8">
        <v>1800</v>
      </c>
      <c r="K34">
        <v>0</v>
      </c>
      <c r="L34" t="s">
        <v>73</v>
      </c>
      <c r="M34" s="5">
        <f>Cleaned_Data[[#This Row],[Quantity]]*Cleaned_Data[[#This Row],[Unit_Price]]</f>
        <v>3600</v>
      </c>
      <c r="N34" s="7">
        <f>Cleaned_Data[[#This Row],[Total_sales]]*(Cleaned_Data[[#This Row],[Discount_Percent]]/100)</f>
        <v>0</v>
      </c>
      <c r="O34" s="7">
        <f>Cleaned_Data[[#This Row],[Total_sales]]-Cleaned_Data[[#This Row],[Discount_Amount]]</f>
        <v>3600</v>
      </c>
      <c r="P34" t="str">
        <f>TEXT(Cleaned_Data[[#This Row],[Order_Date]],"MMM-YYYY")</f>
        <v>Oct-2023</v>
      </c>
      <c r="Q34" t="str">
        <f>"Q"&amp;ROUNDUP(MONTH(Cleaned_Data[[#This Row],[Order_Date]])/3,0)&amp;"-2023"</f>
        <v>Q4-2023</v>
      </c>
      <c r="R34" t="str">
        <f>TEXT(Cleaned_Data[[#This Row],[Order_Date]],"DDD")</f>
        <v>Sun</v>
      </c>
      <c r="S34" t="str">
        <f>IF(Cleaned_Data[[#This Row],[Net_Sales]]&gt;=100000,"High",IF(Cleaned_Data[[#This Row],[Net_Sales]]&gt;=50000,"Medium","Low"))</f>
        <v>Low</v>
      </c>
    </row>
    <row r="35" spans="1:19" x14ac:dyDescent="0.3">
      <c r="A35" t="s">
        <v>139</v>
      </c>
      <c r="B35" s="1">
        <v>45200</v>
      </c>
      <c r="C35" t="s">
        <v>70</v>
      </c>
      <c r="D35" t="s">
        <v>71</v>
      </c>
      <c r="E35" t="s">
        <v>15</v>
      </c>
      <c r="F35" t="s">
        <v>119</v>
      </c>
      <c r="G35" t="s">
        <v>45</v>
      </c>
      <c r="H35" t="s">
        <v>52</v>
      </c>
      <c r="I35">
        <v>1</v>
      </c>
      <c r="J35" s="8">
        <v>23900</v>
      </c>
      <c r="K35">
        <v>20</v>
      </c>
      <c r="L35" t="s">
        <v>53</v>
      </c>
      <c r="M35" s="5">
        <f>Cleaned_Data[[#This Row],[Quantity]]*Cleaned_Data[[#This Row],[Unit_Price]]</f>
        <v>23900</v>
      </c>
      <c r="N35" s="7">
        <f>Cleaned_Data[[#This Row],[Total_sales]]*(Cleaned_Data[[#This Row],[Discount_Percent]]/100)</f>
        <v>4780</v>
      </c>
      <c r="O35" s="7">
        <f>Cleaned_Data[[#This Row],[Total_sales]]-Cleaned_Data[[#This Row],[Discount_Amount]]</f>
        <v>19120</v>
      </c>
      <c r="P35" t="str">
        <f>TEXT(Cleaned_Data[[#This Row],[Order_Date]],"MMM-YYYY")</f>
        <v>Oct-2023</v>
      </c>
      <c r="Q35" t="str">
        <f>"Q"&amp;ROUNDUP(MONTH(Cleaned_Data[[#This Row],[Order_Date]])/3,0)&amp;"-2023"</f>
        <v>Q4-2023</v>
      </c>
      <c r="R35" t="str">
        <f>TEXT(Cleaned_Data[[#This Row],[Order_Date]],"DDD")</f>
        <v>Sun</v>
      </c>
      <c r="S35" t="str">
        <f>IF(Cleaned_Data[[#This Row],[Net_Sales]]&gt;=100000,"High",IF(Cleaned_Data[[#This Row],[Net_Sales]]&gt;=50000,"Medium","Low"))</f>
        <v>Low</v>
      </c>
    </row>
    <row r="36" spans="1:19" x14ac:dyDescent="0.3">
      <c r="A36" t="s">
        <v>140</v>
      </c>
      <c r="B36" s="1">
        <v>45200</v>
      </c>
      <c r="C36" t="s">
        <v>126</v>
      </c>
      <c r="D36" t="s">
        <v>127</v>
      </c>
      <c r="E36" t="s">
        <v>37</v>
      </c>
      <c r="F36" t="s">
        <v>141</v>
      </c>
      <c r="G36" t="s">
        <v>25</v>
      </c>
      <c r="H36" t="s">
        <v>26</v>
      </c>
      <c r="I36">
        <v>2</v>
      </c>
      <c r="J36" s="8">
        <v>1700</v>
      </c>
      <c r="K36">
        <v>10</v>
      </c>
      <c r="L36" t="s">
        <v>47</v>
      </c>
      <c r="M36" s="5">
        <f>Cleaned_Data[[#This Row],[Quantity]]*Cleaned_Data[[#This Row],[Unit_Price]]</f>
        <v>3400</v>
      </c>
      <c r="N36" s="7">
        <f>Cleaned_Data[[#This Row],[Total_sales]]*(Cleaned_Data[[#This Row],[Discount_Percent]]/100)</f>
        <v>340</v>
      </c>
      <c r="O36" s="7">
        <f>Cleaned_Data[[#This Row],[Total_sales]]-Cleaned_Data[[#This Row],[Discount_Amount]]</f>
        <v>3060</v>
      </c>
      <c r="P36" t="str">
        <f>TEXT(Cleaned_Data[[#This Row],[Order_Date]],"MMM-YYYY")</f>
        <v>Oct-2023</v>
      </c>
      <c r="Q36" t="str">
        <f>"Q"&amp;ROUNDUP(MONTH(Cleaned_Data[[#This Row],[Order_Date]])/3,0)&amp;"-2023"</f>
        <v>Q4-2023</v>
      </c>
      <c r="R36" t="str">
        <f>TEXT(Cleaned_Data[[#This Row],[Order_Date]],"DDD")</f>
        <v>Sun</v>
      </c>
      <c r="S36" t="str">
        <f>IF(Cleaned_Data[[#This Row],[Net_Sales]]&gt;=100000,"High",IF(Cleaned_Data[[#This Row],[Net_Sales]]&gt;=50000,"Medium","Low"))</f>
        <v>Low</v>
      </c>
    </row>
    <row r="37" spans="1:19" x14ac:dyDescent="0.3">
      <c r="A37" t="s">
        <v>142</v>
      </c>
      <c r="B37" s="1">
        <v>45231</v>
      </c>
      <c r="C37" t="s">
        <v>143</v>
      </c>
      <c r="D37" t="s">
        <v>144</v>
      </c>
      <c r="E37" t="s">
        <v>23</v>
      </c>
      <c r="F37" t="s">
        <v>51</v>
      </c>
      <c r="G37" t="s">
        <v>25</v>
      </c>
      <c r="H37" t="s">
        <v>26</v>
      </c>
      <c r="I37">
        <v>2</v>
      </c>
      <c r="J37" s="8">
        <v>2700</v>
      </c>
      <c r="K37">
        <v>25</v>
      </c>
      <c r="L37" t="s">
        <v>103</v>
      </c>
      <c r="M37" s="5">
        <f>Cleaned_Data[[#This Row],[Quantity]]*Cleaned_Data[[#This Row],[Unit_Price]]</f>
        <v>5400</v>
      </c>
      <c r="N37" s="7">
        <f>Cleaned_Data[[#This Row],[Total_sales]]*(Cleaned_Data[[#This Row],[Discount_Percent]]/100)</f>
        <v>1350</v>
      </c>
      <c r="O37" s="7">
        <f>Cleaned_Data[[#This Row],[Total_sales]]-Cleaned_Data[[#This Row],[Discount_Amount]]</f>
        <v>4050</v>
      </c>
      <c r="P37" t="str">
        <f>TEXT(Cleaned_Data[[#This Row],[Order_Date]],"MMM-YYYY")</f>
        <v>Nov-2023</v>
      </c>
      <c r="Q37" t="str">
        <f>"Q"&amp;ROUNDUP(MONTH(Cleaned_Data[[#This Row],[Order_Date]])/3,0)&amp;"-2023"</f>
        <v>Q4-2023</v>
      </c>
      <c r="R37" t="str">
        <f>TEXT(Cleaned_Data[[#This Row],[Order_Date]],"DDD")</f>
        <v>Wed</v>
      </c>
      <c r="S37" t="str">
        <f>IF(Cleaned_Data[[#This Row],[Net_Sales]]&gt;=100000,"High",IF(Cleaned_Data[[#This Row],[Net_Sales]]&gt;=50000,"Medium","Low"))</f>
        <v>Low</v>
      </c>
    </row>
    <row r="38" spans="1:19" x14ac:dyDescent="0.3">
      <c r="A38" t="s">
        <v>145</v>
      </c>
      <c r="B38" s="1">
        <v>45231</v>
      </c>
      <c r="C38" t="s">
        <v>64</v>
      </c>
      <c r="D38" t="s">
        <v>65</v>
      </c>
      <c r="E38" t="s">
        <v>81</v>
      </c>
      <c r="F38" t="s">
        <v>82</v>
      </c>
      <c r="G38" t="s">
        <v>39</v>
      </c>
      <c r="H38" t="s">
        <v>68</v>
      </c>
      <c r="I38">
        <v>1</v>
      </c>
      <c r="J38" s="8">
        <v>26100</v>
      </c>
      <c r="K38">
        <v>0</v>
      </c>
      <c r="L38" t="s">
        <v>53</v>
      </c>
      <c r="M38" s="5">
        <f>Cleaned_Data[[#This Row],[Quantity]]*Cleaned_Data[[#This Row],[Unit_Price]]</f>
        <v>26100</v>
      </c>
      <c r="N38" s="7">
        <f>Cleaned_Data[[#This Row],[Total_sales]]*(Cleaned_Data[[#This Row],[Discount_Percent]]/100)</f>
        <v>0</v>
      </c>
      <c r="O38" s="7">
        <f>Cleaned_Data[[#This Row],[Total_sales]]-Cleaned_Data[[#This Row],[Discount_Amount]]</f>
        <v>26100</v>
      </c>
      <c r="P38" t="str">
        <f>TEXT(Cleaned_Data[[#This Row],[Order_Date]],"MMM-YYYY")</f>
        <v>Nov-2023</v>
      </c>
      <c r="Q38" t="str">
        <f>"Q"&amp;ROUNDUP(MONTH(Cleaned_Data[[#This Row],[Order_Date]])/3,0)&amp;"-2023"</f>
        <v>Q4-2023</v>
      </c>
      <c r="R38" t="str">
        <f>TEXT(Cleaned_Data[[#This Row],[Order_Date]],"DDD")</f>
        <v>Wed</v>
      </c>
      <c r="S38" t="str">
        <f>IF(Cleaned_Data[[#This Row],[Net_Sales]]&gt;=100000,"High",IF(Cleaned_Data[[#This Row],[Net_Sales]]&gt;=50000,"Medium","Low"))</f>
        <v>Low</v>
      </c>
    </row>
    <row r="39" spans="1:19" x14ac:dyDescent="0.3">
      <c r="A39" t="s">
        <v>146</v>
      </c>
      <c r="B39" s="1">
        <v>45261</v>
      </c>
      <c r="C39" t="s">
        <v>147</v>
      </c>
      <c r="D39" t="s">
        <v>148</v>
      </c>
      <c r="E39" t="s">
        <v>37</v>
      </c>
      <c r="F39" t="s">
        <v>61</v>
      </c>
      <c r="G39" t="s">
        <v>25</v>
      </c>
      <c r="H39" t="s">
        <v>32</v>
      </c>
      <c r="I39">
        <v>2</v>
      </c>
      <c r="J39" s="8">
        <v>2000</v>
      </c>
      <c r="K39">
        <v>25</v>
      </c>
      <c r="L39" t="s">
        <v>62</v>
      </c>
      <c r="M39" s="5">
        <f>Cleaned_Data[[#This Row],[Quantity]]*Cleaned_Data[[#This Row],[Unit_Price]]</f>
        <v>4000</v>
      </c>
      <c r="N39" s="7">
        <f>Cleaned_Data[[#This Row],[Total_sales]]*(Cleaned_Data[[#This Row],[Discount_Percent]]/100)</f>
        <v>1000</v>
      </c>
      <c r="O39" s="7">
        <f>Cleaned_Data[[#This Row],[Total_sales]]-Cleaned_Data[[#This Row],[Discount_Amount]]</f>
        <v>3000</v>
      </c>
      <c r="P39" t="str">
        <f>TEXT(Cleaned_Data[[#This Row],[Order_Date]],"MMM-YYYY")</f>
        <v>Dec-2023</v>
      </c>
      <c r="Q39" t="str">
        <f>"Q"&amp;ROUNDUP(MONTH(Cleaned_Data[[#This Row],[Order_Date]])/3,0)&amp;"-2023"</f>
        <v>Q4-2023</v>
      </c>
      <c r="R39" t="str">
        <f>TEXT(Cleaned_Data[[#This Row],[Order_Date]],"DDD")</f>
        <v>Fri</v>
      </c>
      <c r="S39" t="str">
        <f>IF(Cleaned_Data[[#This Row],[Net_Sales]]&gt;=100000,"High",IF(Cleaned_Data[[#This Row],[Net_Sales]]&gt;=50000,"Medium","Low"))</f>
        <v>Low</v>
      </c>
    </row>
    <row r="40" spans="1:19" x14ac:dyDescent="0.3">
      <c r="A40" t="s">
        <v>149</v>
      </c>
      <c r="B40" s="1">
        <v>45261</v>
      </c>
      <c r="C40" t="s">
        <v>35</v>
      </c>
      <c r="D40" t="s">
        <v>36</v>
      </c>
      <c r="E40" t="s">
        <v>81</v>
      </c>
      <c r="F40" t="s">
        <v>82</v>
      </c>
      <c r="G40" t="s">
        <v>17</v>
      </c>
      <c r="H40" t="s">
        <v>18</v>
      </c>
      <c r="I40">
        <v>1</v>
      </c>
      <c r="J40" s="8">
        <v>35000</v>
      </c>
      <c r="K40">
        <v>10</v>
      </c>
      <c r="L40" t="s">
        <v>62</v>
      </c>
      <c r="M40" s="5">
        <f>Cleaned_Data[[#This Row],[Quantity]]*Cleaned_Data[[#This Row],[Unit_Price]]</f>
        <v>35000</v>
      </c>
      <c r="N40" s="7">
        <f>Cleaned_Data[[#This Row],[Total_sales]]*(Cleaned_Data[[#This Row],[Discount_Percent]]/100)</f>
        <v>3500</v>
      </c>
      <c r="O40" s="7">
        <f>Cleaned_Data[[#This Row],[Total_sales]]-Cleaned_Data[[#This Row],[Discount_Amount]]</f>
        <v>31500</v>
      </c>
      <c r="P40" t="str">
        <f>TEXT(Cleaned_Data[[#This Row],[Order_Date]],"MMM-YYYY")</f>
        <v>Dec-2023</v>
      </c>
      <c r="Q40" t="str">
        <f>"Q"&amp;ROUNDUP(MONTH(Cleaned_Data[[#This Row],[Order_Date]])/3,0)&amp;"-2023"</f>
        <v>Q4-2023</v>
      </c>
      <c r="R40" t="str">
        <f>TEXT(Cleaned_Data[[#This Row],[Order_Date]],"DDD")</f>
        <v>Fri</v>
      </c>
      <c r="S40" t="str">
        <f>IF(Cleaned_Data[[#This Row],[Net_Sales]]&gt;=100000,"High",IF(Cleaned_Data[[#This Row],[Net_Sales]]&gt;=50000,"Medium","Low"))</f>
        <v>Low</v>
      </c>
    </row>
    <row r="41" spans="1:19" x14ac:dyDescent="0.3">
      <c r="A41" t="s">
        <v>150</v>
      </c>
      <c r="B41" s="1">
        <v>45261</v>
      </c>
      <c r="C41" t="s">
        <v>151</v>
      </c>
      <c r="D41" t="s">
        <v>152</v>
      </c>
      <c r="E41" t="s">
        <v>37</v>
      </c>
      <c r="F41" t="s">
        <v>61</v>
      </c>
      <c r="G41" t="s">
        <v>97</v>
      </c>
      <c r="H41" t="s">
        <v>133</v>
      </c>
      <c r="I41">
        <v>1</v>
      </c>
      <c r="J41" s="8">
        <v>55400</v>
      </c>
      <c r="K41">
        <v>5</v>
      </c>
      <c r="L41" t="s">
        <v>19</v>
      </c>
      <c r="M41" s="5">
        <f>Cleaned_Data[[#This Row],[Quantity]]*Cleaned_Data[[#This Row],[Unit_Price]]</f>
        <v>55400</v>
      </c>
      <c r="N41" s="7">
        <f>Cleaned_Data[[#This Row],[Total_sales]]*(Cleaned_Data[[#This Row],[Discount_Percent]]/100)</f>
        <v>2770</v>
      </c>
      <c r="O41" s="7">
        <f>Cleaned_Data[[#This Row],[Total_sales]]-Cleaned_Data[[#This Row],[Discount_Amount]]</f>
        <v>52630</v>
      </c>
      <c r="P41" t="str">
        <f>TEXT(Cleaned_Data[[#This Row],[Order_Date]],"MMM-YYYY")</f>
        <v>Dec-2023</v>
      </c>
      <c r="Q41" t="str">
        <f>"Q"&amp;ROUNDUP(MONTH(Cleaned_Data[[#This Row],[Order_Date]])/3,0)&amp;"-2023"</f>
        <v>Q4-2023</v>
      </c>
      <c r="R41" t="str">
        <f>TEXT(Cleaned_Data[[#This Row],[Order_Date]],"DDD")</f>
        <v>Fri</v>
      </c>
      <c r="S41" t="str">
        <f>IF(Cleaned_Data[[#This Row],[Net_Sales]]&gt;=100000,"High",IF(Cleaned_Data[[#This Row],[Net_Sales]]&gt;=50000,"Medium","Low"))</f>
        <v>Medium</v>
      </c>
    </row>
    <row r="42" spans="1:19" x14ac:dyDescent="0.3">
      <c r="A42" t="s">
        <v>153</v>
      </c>
      <c r="B42" s="1">
        <v>44928</v>
      </c>
      <c r="C42" t="s">
        <v>151</v>
      </c>
      <c r="D42" t="s">
        <v>152</v>
      </c>
      <c r="E42" t="s">
        <v>66</v>
      </c>
      <c r="F42" t="s">
        <v>72</v>
      </c>
      <c r="G42" t="s">
        <v>97</v>
      </c>
      <c r="H42" t="s">
        <v>154</v>
      </c>
      <c r="I42">
        <v>1</v>
      </c>
      <c r="J42" s="8">
        <v>70400</v>
      </c>
      <c r="K42">
        <v>20</v>
      </c>
      <c r="L42" t="s">
        <v>53</v>
      </c>
      <c r="M42" s="5">
        <f>Cleaned_Data[[#This Row],[Quantity]]*Cleaned_Data[[#This Row],[Unit_Price]]</f>
        <v>70400</v>
      </c>
      <c r="N42" s="7">
        <f>Cleaned_Data[[#This Row],[Total_sales]]*(Cleaned_Data[[#This Row],[Discount_Percent]]/100)</f>
        <v>14080</v>
      </c>
      <c r="O42" s="7">
        <f>Cleaned_Data[[#This Row],[Total_sales]]-Cleaned_Data[[#This Row],[Discount_Amount]]</f>
        <v>56320</v>
      </c>
      <c r="P42" t="str">
        <f>TEXT(Cleaned_Data[[#This Row],[Order_Date]],"MMM-YYYY")</f>
        <v>Jan-2023</v>
      </c>
      <c r="Q42" t="str">
        <f>"Q"&amp;ROUNDUP(MONTH(Cleaned_Data[[#This Row],[Order_Date]])/3,0)&amp;"-2023"</f>
        <v>Q1-2023</v>
      </c>
      <c r="R42" t="str">
        <f>TEXT(Cleaned_Data[[#This Row],[Order_Date]],"DDD")</f>
        <v>Mon</v>
      </c>
      <c r="S42" t="str">
        <f>IF(Cleaned_Data[[#This Row],[Net_Sales]]&gt;=100000,"High",IF(Cleaned_Data[[#This Row],[Net_Sales]]&gt;=50000,"Medium","Low"))</f>
        <v>Medium</v>
      </c>
    </row>
    <row r="43" spans="1:19" x14ac:dyDescent="0.3">
      <c r="A43" t="s">
        <v>155</v>
      </c>
      <c r="B43" s="1">
        <v>44928</v>
      </c>
      <c r="C43" t="s">
        <v>147</v>
      </c>
      <c r="D43" t="s">
        <v>148</v>
      </c>
      <c r="E43" t="s">
        <v>37</v>
      </c>
      <c r="F43" t="s">
        <v>61</v>
      </c>
      <c r="G43" t="s">
        <v>45</v>
      </c>
      <c r="H43" t="s">
        <v>156</v>
      </c>
      <c r="I43">
        <v>2</v>
      </c>
      <c r="J43" s="8">
        <v>44900</v>
      </c>
      <c r="K43">
        <v>0</v>
      </c>
      <c r="L43" t="s">
        <v>27</v>
      </c>
      <c r="M43" s="5">
        <f>Cleaned_Data[[#This Row],[Quantity]]*Cleaned_Data[[#This Row],[Unit_Price]]</f>
        <v>89800</v>
      </c>
      <c r="N43" s="7">
        <f>Cleaned_Data[[#This Row],[Total_sales]]*(Cleaned_Data[[#This Row],[Discount_Percent]]/100)</f>
        <v>0</v>
      </c>
      <c r="O43" s="7">
        <f>Cleaned_Data[[#This Row],[Total_sales]]-Cleaned_Data[[#This Row],[Discount_Amount]]</f>
        <v>89800</v>
      </c>
      <c r="P43" t="str">
        <f>TEXT(Cleaned_Data[[#This Row],[Order_Date]],"MMM-YYYY")</f>
        <v>Jan-2023</v>
      </c>
      <c r="Q43" t="str">
        <f>"Q"&amp;ROUNDUP(MONTH(Cleaned_Data[[#This Row],[Order_Date]])/3,0)&amp;"-2023"</f>
        <v>Q1-2023</v>
      </c>
      <c r="R43" t="str">
        <f>TEXT(Cleaned_Data[[#This Row],[Order_Date]],"DDD")</f>
        <v>Mon</v>
      </c>
      <c r="S43" t="str">
        <f>IF(Cleaned_Data[[#This Row],[Net_Sales]]&gt;=100000,"High",IF(Cleaned_Data[[#This Row],[Net_Sales]]&gt;=50000,"Medium","Low"))</f>
        <v>Medium</v>
      </c>
    </row>
    <row r="44" spans="1:19" x14ac:dyDescent="0.3">
      <c r="A44" t="s">
        <v>157</v>
      </c>
      <c r="B44" s="1">
        <v>44928</v>
      </c>
      <c r="C44" t="s">
        <v>158</v>
      </c>
      <c r="D44" t="s">
        <v>159</v>
      </c>
      <c r="E44" t="s">
        <v>81</v>
      </c>
      <c r="F44" t="s">
        <v>160</v>
      </c>
      <c r="G44" t="s">
        <v>39</v>
      </c>
      <c r="H44" t="s">
        <v>68</v>
      </c>
      <c r="I44">
        <v>2</v>
      </c>
      <c r="J44" s="8">
        <v>26500</v>
      </c>
      <c r="K44">
        <v>0</v>
      </c>
      <c r="L44" t="s">
        <v>73</v>
      </c>
      <c r="M44" s="5">
        <f>Cleaned_Data[[#This Row],[Quantity]]*Cleaned_Data[[#This Row],[Unit_Price]]</f>
        <v>53000</v>
      </c>
      <c r="N44" s="7">
        <f>Cleaned_Data[[#This Row],[Total_sales]]*(Cleaned_Data[[#This Row],[Discount_Percent]]/100)</f>
        <v>0</v>
      </c>
      <c r="O44" s="7">
        <f>Cleaned_Data[[#This Row],[Total_sales]]-Cleaned_Data[[#This Row],[Discount_Amount]]</f>
        <v>53000</v>
      </c>
      <c r="P44" t="str">
        <f>TEXT(Cleaned_Data[[#This Row],[Order_Date]],"MMM-YYYY")</f>
        <v>Jan-2023</v>
      </c>
      <c r="Q44" t="str">
        <f>"Q"&amp;ROUNDUP(MONTH(Cleaned_Data[[#This Row],[Order_Date]])/3,0)&amp;"-2023"</f>
        <v>Q1-2023</v>
      </c>
      <c r="R44" t="str">
        <f>TEXT(Cleaned_Data[[#This Row],[Order_Date]],"DDD")</f>
        <v>Mon</v>
      </c>
      <c r="S44" t="str">
        <f>IF(Cleaned_Data[[#This Row],[Net_Sales]]&gt;=100000,"High",IF(Cleaned_Data[[#This Row],[Net_Sales]]&gt;=50000,"Medium","Low"))</f>
        <v>Medium</v>
      </c>
    </row>
    <row r="45" spans="1:19" x14ac:dyDescent="0.3">
      <c r="A45" t="s">
        <v>161</v>
      </c>
      <c r="B45" s="1">
        <v>44959</v>
      </c>
      <c r="C45" t="s">
        <v>90</v>
      </c>
      <c r="D45" t="s">
        <v>91</v>
      </c>
      <c r="E45" t="s">
        <v>81</v>
      </c>
      <c r="F45" t="s">
        <v>82</v>
      </c>
      <c r="G45" t="s">
        <v>39</v>
      </c>
      <c r="H45" t="s">
        <v>57</v>
      </c>
      <c r="I45">
        <v>1</v>
      </c>
      <c r="J45" s="8">
        <v>29100</v>
      </c>
      <c r="K45">
        <v>25</v>
      </c>
      <c r="L45" t="s">
        <v>103</v>
      </c>
      <c r="M45" s="5">
        <f>Cleaned_Data[[#This Row],[Quantity]]*Cleaned_Data[[#This Row],[Unit_Price]]</f>
        <v>29100</v>
      </c>
      <c r="N45" s="7">
        <f>Cleaned_Data[[#This Row],[Total_sales]]*(Cleaned_Data[[#This Row],[Discount_Percent]]/100)</f>
        <v>7275</v>
      </c>
      <c r="O45" s="7">
        <f>Cleaned_Data[[#This Row],[Total_sales]]-Cleaned_Data[[#This Row],[Discount_Amount]]</f>
        <v>21825</v>
      </c>
      <c r="P45" t="str">
        <f>TEXT(Cleaned_Data[[#This Row],[Order_Date]],"MMM-YYYY")</f>
        <v>Feb-2023</v>
      </c>
      <c r="Q45" t="str">
        <f>"Q"&amp;ROUNDUP(MONTH(Cleaned_Data[[#This Row],[Order_Date]])/3,0)&amp;"-2023"</f>
        <v>Q1-2023</v>
      </c>
      <c r="R45" t="str">
        <f>TEXT(Cleaned_Data[[#This Row],[Order_Date]],"DDD")</f>
        <v>Thu</v>
      </c>
      <c r="S45" t="str">
        <f>IF(Cleaned_Data[[#This Row],[Net_Sales]]&gt;=100000,"High",IF(Cleaned_Data[[#This Row],[Net_Sales]]&gt;=50000,"Medium","Low"))</f>
        <v>Low</v>
      </c>
    </row>
    <row r="46" spans="1:19" x14ac:dyDescent="0.3">
      <c r="A46" t="s">
        <v>162</v>
      </c>
      <c r="B46" s="1">
        <v>44959</v>
      </c>
      <c r="C46" t="s">
        <v>163</v>
      </c>
      <c r="D46" t="s">
        <v>73</v>
      </c>
      <c r="E46" t="s">
        <v>37</v>
      </c>
      <c r="F46" t="s">
        <v>141</v>
      </c>
      <c r="G46" t="s">
        <v>45</v>
      </c>
      <c r="H46" t="s">
        <v>156</v>
      </c>
      <c r="I46">
        <v>1</v>
      </c>
      <c r="J46" s="8">
        <v>45600</v>
      </c>
      <c r="K46">
        <v>10</v>
      </c>
      <c r="L46" t="s">
        <v>62</v>
      </c>
      <c r="M46" s="5">
        <f>Cleaned_Data[[#This Row],[Quantity]]*Cleaned_Data[[#This Row],[Unit_Price]]</f>
        <v>45600</v>
      </c>
      <c r="N46" s="7">
        <f>Cleaned_Data[[#This Row],[Total_sales]]*(Cleaned_Data[[#This Row],[Discount_Percent]]/100)</f>
        <v>4560</v>
      </c>
      <c r="O46" s="7">
        <f>Cleaned_Data[[#This Row],[Total_sales]]-Cleaned_Data[[#This Row],[Discount_Amount]]</f>
        <v>41040</v>
      </c>
      <c r="P46" t="str">
        <f>TEXT(Cleaned_Data[[#This Row],[Order_Date]],"MMM-YYYY")</f>
        <v>Feb-2023</v>
      </c>
      <c r="Q46" t="str">
        <f>"Q"&amp;ROUNDUP(MONTH(Cleaned_Data[[#This Row],[Order_Date]])/3,0)&amp;"-2023"</f>
        <v>Q1-2023</v>
      </c>
      <c r="R46" t="str">
        <f>TEXT(Cleaned_Data[[#This Row],[Order_Date]],"DDD")</f>
        <v>Thu</v>
      </c>
      <c r="S46" t="str">
        <f>IF(Cleaned_Data[[#This Row],[Net_Sales]]&gt;=100000,"High",IF(Cleaned_Data[[#This Row],[Net_Sales]]&gt;=50000,"Medium","Low"))</f>
        <v>Low</v>
      </c>
    </row>
    <row r="47" spans="1:19" x14ac:dyDescent="0.3">
      <c r="A47" t="s">
        <v>164</v>
      </c>
      <c r="B47" s="1">
        <v>44987</v>
      </c>
      <c r="C47" t="s">
        <v>165</v>
      </c>
      <c r="D47" t="s">
        <v>166</v>
      </c>
      <c r="E47" t="s">
        <v>37</v>
      </c>
      <c r="F47" t="s">
        <v>38</v>
      </c>
      <c r="G47" t="s">
        <v>97</v>
      </c>
      <c r="H47" t="s">
        <v>154</v>
      </c>
      <c r="I47">
        <v>2</v>
      </c>
      <c r="J47" s="8">
        <v>57700</v>
      </c>
      <c r="K47">
        <v>5</v>
      </c>
      <c r="L47" t="s">
        <v>73</v>
      </c>
      <c r="M47" s="5">
        <f>Cleaned_Data[[#This Row],[Quantity]]*Cleaned_Data[[#This Row],[Unit_Price]]</f>
        <v>115400</v>
      </c>
      <c r="N47" s="7">
        <f>Cleaned_Data[[#This Row],[Total_sales]]*(Cleaned_Data[[#This Row],[Discount_Percent]]/100)</f>
        <v>5770</v>
      </c>
      <c r="O47" s="7">
        <f>Cleaned_Data[[#This Row],[Total_sales]]-Cleaned_Data[[#This Row],[Discount_Amount]]</f>
        <v>109630</v>
      </c>
      <c r="P47" t="str">
        <f>TEXT(Cleaned_Data[[#This Row],[Order_Date]],"MMM-YYYY")</f>
        <v>Mar-2023</v>
      </c>
      <c r="Q47" t="str">
        <f>"Q"&amp;ROUNDUP(MONTH(Cleaned_Data[[#This Row],[Order_Date]])/3,0)&amp;"-2023"</f>
        <v>Q1-2023</v>
      </c>
      <c r="R47" t="str">
        <f>TEXT(Cleaned_Data[[#This Row],[Order_Date]],"DDD")</f>
        <v>Thu</v>
      </c>
      <c r="S47" t="str">
        <f>IF(Cleaned_Data[[#This Row],[Net_Sales]]&gt;=100000,"High",IF(Cleaned_Data[[#This Row],[Net_Sales]]&gt;=50000,"Medium","Low"))</f>
        <v>High</v>
      </c>
    </row>
    <row r="48" spans="1:19" x14ac:dyDescent="0.3">
      <c r="A48" t="s">
        <v>167</v>
      </c>
      <c r="B48" s="1">
        <v>45018</v>
      </c>
      <c r="C48" t="s">
        <v>59</v>
      </c>
      <c r="D48" t="s">
        <v>60</v>
      </c>
      <c r="E48" t="s">
        <v>23</v>
      </c>
      <c r="F48" t="s">
        <v>44</v>
      </c>
      <c r="G48" t="s">
        <v>17</v>
      </c>
      <c r="H48" t="s">
        <v>168</v>
      </c>
      <c r="I48">
        <v>1</v>
      </c>
      <c r="J48" s="8">
        <v>45200</v>
      </c>
      <c r="K48">
        <v>5</v>
      </c>
      <c r="L48" t="s">
        <v>53</v>
      </c>
      <c r="M48" s="5">
        <f>Cleaned_Data[[#This Row],[Quantity]]*Cleaned_Data[[#This Row],[Unit_Price]]</f>
        <v>45200</v>
      </c>
      <c r="N48" s="7">
        <f>Cleaned_Data[[#This Row],[Total_sales]]*(Cleaned_Data[[#This Row],[Discount_Percent]]/100)</f>
        <v>2260</v>
      </c>
      <c r="O48" s="7">
        <f>Cleaned_Data[[#This Row],[Total_sales]]-Cleaned_Data[[#This Row],[Discount_Amount]]</f>
        <v>42940</v>
      </c>
      <c r="P48" t="str">
        <f>TEXT(Cleaned_Data[[#This Row],[Order_Date]],"MMM-YYYY")</f>
        <v>Apr-2023</v>
      </c>
      <c r="Q48" t="str">
        <f>"Q"&amp;ROUNDUP(MONTH(Cleaned_Data[[#This Row],[Order_Date]])/3,0)&amp;"-2023"</f>
        <v>Q2-2023</v>
      </c>
      <c r="R48" t="str">
        <f>TEXT(Cleaned_Data[[#This Row],[Order_Date]],"DDD")</f>
        <v>Sun</v>
      </c>
      <c r="S48" t="str">
        <f>IF(Cleaned_Data[[#This Row],[Net_Sales]]&gt;=100000,"High",IF(Cleaned_Data[[#This Row],[Net_Sales]]&gt;=50000,"Medium","Low"))</f>
        <v>Low</v>
      </c>
    </row>
    <row r="49" spans="1:19" x14ac:dyDescent="0.3">
      <c r="A49" t="s">
        <v>169</v>
      </c>
      <c r="B49" s="1">
        <v>45018</v>
      </c>
      <c r="C49" t="s">
        <v>151</v>
      </c>
      <c r="D49" t="s">
        <v>152</v>
      </c>
      <c r="E49" t="s">
        <v>66</v>
      </c>
      <c r="F49" t="s">
        <v>92</v>
      </c>
      <c r="G49" t="s">
        <v>17</v>
      </c>
      <c r="H49" t="s">
        <v>77</v>
      </c>
      <c r="I49">
        <v>1</v>
      </c>
      <c r="J49" s="8">
        <v>27100</v>
      </c>
      <c r="K49">
        <v>5</v>
      </c>
      <c r="L49" t="s">
        <v>47</v>
      </c>
      <c r="M49" s="5">
        <f>Cleaned_Data[[#This Row],[Quantity]]*Cleaned_Data[[#This Row],[Unit_Price]]</f>
        <v>27100</v>
      </c>
      <c r="N49" s="7">
        <f>Cleaned_Data[[#This Row],[Total_sales]]*(Cleaned_Data[[#This Row],[Discount_Percent]]/100)</f>
        <v>1355</v>
      </c>
      <c r="O49" s="7">
        <f>Cleaned_Data[[#This Row],[Total_sales]]-Cleaned_Data[[#This Row],[Discount_Amount]]</f>
        <v>25745</v>
      </c>
      <c r="P49" t="str">
        <f>TEXT(Cleaned_Data[[#This Row],[Order_Date]],"MMM-YYYY")</f>
        <v>Apr-2023</v>
      </c>
      <c r="Q49" t="str">
        <f>"Q"&amp;ROUNDUP(MONTH(Cleaned_Data[[#This Row],[Order_Date]])/3,0)&amp;"-2023"</f>
        <v>Q2-2023</v>
      </c>
      <c r="R49" t="str">
        <f>TEXT(Cleaned_Data[[#This Row],[Order_Date]],"DDD")</f>
        <v>Sun</v>
      </c>
      <c r="S49" t="str">
        <f>IF(Cleaned_Data[[#This Row],[Net_Sales]]&gt;=100000,"High",IF(Cleaned_Data[[#This Row],[Net_Sales]]&gt;=50000,"Medium","Low"))</f>
        <v>Low</v>
      </c>
    </row>
    <row r="50" spans="1:19" x14ac:dyDescent="0.3">
      <c r="A50" t="s">
        <v>170</v>
      </c>
      <c r="B50" s="1">
        <v>45018</v>
      </c>
      <c r="C50" t="s">
        <v>163</v>
      </c>
      <c r="D50" t="s">
        <v>73</v>
      </c>
      <c r="E50" t="s">
        <v>81</v>
      </c>
      <c r="F50" t="s">
        <v>82</v>
      </c>
      <c r="G50" t="s">
        <v>97</v>
      </c>
      <c r="H50" t="s">
        <v>171</v>
      </c>
      <c r="I50">
        <v>2</v>
      </c>
      <c r="J50" s="8">
        <v>56100</v>
      </c>
      <c r="K50">
        <v>5</v>
      </c>
      <c r="L50" t="s">
        <v>62</v>
      </c>
      <c r="M50" s="5">
        <f>Cleaned_Data[[#This Row],[Quantity]]*Cleaned_Data[[#This Row],[Unit_Price]]</f>
        <v>112200</v>
      </c>
      <c r="N50" s="7">
        <f>Cleaned_Data[[#This Row],[Total_sales]]*(Cleaned_Data[[#This Row],[Discount_Percent]]/100)</f>
        <v>5610</v>
      </c>
      <c r="O50" s="7">
        <f>Cleaned_Data[[#This Row],[Total_sales]]-Cleaned_Data[[#This Row],[Discount_Amount]]</f>
        <v>106590</v>
      </c>
      <c r="P50" t="str">
        <f>TEXT(Cleaned_Data[[#This Row],[Order_Date]],"MMM-YYYY")</f>
        <v>Apr-2023</v>
      </c>
      <c r="Q50" t="str">
        <f>"Q"&amp;ROUNDUP(MONTH(Cleaned_Data[[#This Row],[Order_Date]])/3,0)&amp;"-2023"</f>
        <v>Q2-2023</v>
      </c>
      <c r="R50" t="str">
        <f>TEXT(Cleaned_Data[[#This Row],[Order_Date]],"DDD")</f>
        <v>Sun</v>
      </c>
      <c r="S50" t="str">
        <f>IF(Cleaned_Data[[#This Row],[Net_Sales]]&gt;=100000,"High",IF(Cleaned_Data[[#This Row],[Net_Sales]]&gt;=50000,"Medium","Low"))</f>
        <v>High</v>
      </c>
    </row>
    <row r="51" spans="1:19" x14ac:dyDescent="0.3">
      <c r="A51" t="s">
        <v>172</v>
      </c>
      <c r="B51" s="1">
        <v>45018</v>
      </c>
      <c r="C51" t="s">
        <v>29</v>
      </c>
      <c r="D51" t="s">
        <v>30</v>
      </c>
      <c r="E51" t="s">
        <v>23</v>
      </c>
      <c r="F51" t="s">
        <v>24</v>
      </c>
      <c r="G51" t="s">
        <v>39</v>
      </c>
      <c r="H51" t="s">
        <v>57</v>
      </c>
      <c r="I51">
        <v>1</v>
      </c>
      <c r="J51" s="8">
        <v>19300</v>
      </c>
      <c r="K51">
        <v>5</v>
      </c>
      <c r="L51" t="s">
        <v>47</v>
      </c>
      <c r="M51" s="5">
        <f>Cleaned_Data[[#This Row],[Quantity]]*Cleaned_Data[[#This Row],[Unit_Price]]</f>
        <v>19300</v>
      </c>
      <c r="N51" s="7">
        <f>Cleaned_Data[[#This Row],[Total_sales]]*(Cleaned_Data[[#This Row],[Discount_Percent]]/100)</f>
        <v>965</v>
      </c>
      <c r="O51" s="7">
        <f>Cleaned_Data[[#This Row],[Total_sales]]-Cleaned_Data[[#This Row],[Discount_Amount]]</f>
        <v>18335</v>
      </c>
      <c r="P51" t="str">
        <f>TEXT(Cleaned_Data[[#This Row],[Order_Date]],"MMM-YYYY")</f>
        <v>Apr-2023</v>
      </c>
      <c r="Q51" t="str">
        <f>"Q"&amp;ROUNDUP(MONTH(Cleaned_Data[[#This Row],[Order_Date]])/3,0)&amp;"-2023"</f>
        <v>Q2-2023</v>
      </c>
      <c r="R51" t="str">
        <f>TEXT(Cleaned_Data[[#This Row],[Order_Date]],"DDD")</f>
        <v>Sun</v>
      </c>
      <c r="S51" t="str">
        <f>IF(Cleaned_Data[[#This Row],[Net_Sales]]&gt;=100000,"High",IF(Cleaned_Data[[#This Row],[Net_Sales]]&gt;=50000,"Medium","Low"))</f>
        <v>Low</v>
      </c>
    </row>
    <row r="52" spans="1:19" x14ac:dyDescent="0.3">
      <c r="A52" t="s">
        <v>173</v>
      </c>
      <c r="B52" s="1">
        <v>45018</v>
      </c>
      <c r="C52" t="s">
        <v>115</v>
      </c>
      <c r="D52" t="s">
        <v>116</v>
      </c>
      <c r="E52" t="s">
        <v>15</v>
      </c>
      <c r="F52" t="s">
        <v>16</v>
      </c>
      <c r="G52" t="s">
        <v>97</v>
      </c>
      <c r="H52" t="s">
        <v>174</v>
      </c>
      <c r="I52">
        <v>1</v>
      </c>
      <c r="J52" s="8">
        <v>62000</v>
      </c>
      <c r="K52">
        <v>25</v>
      </c>
      <c r="L52" t="s">
        <v>53</v>
      </c>
      <c r="M52" s="5">
        <f>Cleaned_Data[[#This Row],[Quantity]]*Cleaned_Data[[#This Row],[Unit_Price]]</f>
        <v>62000</v>
      </c>
      <c r="N52" s="7">
        <f>Cleaned_Data[[#This Row],[Total_sales]]*(Cleaned_Data[[#This Row],[Discount_Percent]]/100)</f>
        <v>15500</v>
      </c>
      <c r="O52" s="7">
        <f>Cleaned_Data[[#This Row],[Total_sales]]-Cleaned_Data[[#This Row],[Discount_Amount]]</f>
        <v>46500</v>
      </c>
      <c r="P52" t="str">
        <f>TEXT(Cleaned_Data[[#This Row],[Order_Date]],"MMM-YYYY")</f>
        <v>Apr-2023</v>
      </c>
      <c r="Q52" t="str">
        <f>"Q"&amp;ROUNDUP(MONTH(Cleaned_Data[[#This Row],[Order_Date]])/3,0)&amp;"-2023"</f>
        <v>Q2-2023</v>
      </c>
      <c r="R52" t="str">
        <f>TEXT(Cleaned_Data[[#This Row],[Order_Date]],"DDD")</f>
        <v>Sun</v>
      </c>
      <c r="S52" t="str">
        <f>IF(Cleaned_Data[[#This Row],[Net_Sales]]&gt;=100000,"High",IF(Cleaned_Data[[#This Row],[Net_Sales]]&gt;=50000,"Medium","Low"))</f>
        <v>Low</v>
      </c>
    </row>
    <row r="53" spans="1:19" x14ac:dyDescent="0.3">
      <c r="A53" t="s">
        <v>175</v>
      </c>
      <c r="B53" s="1">
        <v>45018</v>
      </c>
      <c r="C53" t="s">
        <v>176</v>
      </c>
      <c r="D53" t="s">
        <v>177</v>
      </c>
      <c r="E53" t="s">
        <v>81</v>
      </c>
      <c r="F53" t="s">
        <v>82</v>
      </c>
      <c r="G53" t="s">
        <v>39</v>
      </c>
      <c r="H53" t="s">
        <v>57</v>
      </c>
      <c r="I53">
        <v>1</v>
      </c>
      <c r="J53" s="8">
        <v>27000</v>
      </c>
      <c r="K53">
        <v>5</v>
      </c>
      <c r="L53" t="s">
        <v>103</v>
      </c>
      <c r="M53" s="5">
        <f>Cleaned_Data[[#This Row],[Quantity]]*Cleaned_Data[[#This Row],[Unit_Price]]</f>
        <v>27000</v>
      </c>
      <c r="N53" s="7">
        <f>Cleaned_Data[[#This Row],[Total_sales]]*(Cleaned_Data[[#This Row],[Discount_Percent]]/100)</f>
        <v>1350</v>
      </c>
      <c r="O53" s="7">
        <f>Cleaned_Data[[#This Row],[Total_sales]]-Cleaned_Data[[#This Row],[Discount_Amount]]</f>
        <v>25650</v>
      </c>
      <c r="P53" t="str">
        <f>TEXT(Cleaned_Data[[#This Row],[Order_Date]],"MMM-YYYY")</f>
        <v>Apr-2023</v>
      </c>
      <c r="Q53" t="str">
        <f>"Q"&amp;ROUNDUP(MONTH(Cleaned_Data[[#This Row],[Order_Date]])/3,0)&amp;"-2023"</f>
        <v>Q2-2023</v>
      </c>
      <c r="R53" t="str">
        <f>TEXT(Cleaned_Data[[#This Row],[Order_Date]],"DDD")</f>
        <v>Sun</v>
      </c>
      <c r="S53" t="str">
        <f>IF(Cleaned_Data[[#This Row],[Net_Sales]]&gt;=100000,"High",IF(Cleaned_Data[[#This Row],[Net_Sales]]&gt;=50000,"Medium","Low"))</f>
        <v>Low</v>
      </c>
    </row>
    <row r="54" spans="1:19" x14ac:dyDescent="0.3">
      <c r="A54" t="s">
        <v>178</v>
      </c>
      <c r="B54" s="1">
        <v>45018</v>
      </c>
      <c r="C54" t="s">
        <v>21</v>
      </c>
      <c r="D54" t="s">
        <v>22</v>
      </c>
      <c r="E54" t="s">
        <v>66</v>
      </c>
      <c r="F54" t="s">
        <v>92</v>
      </c>
      <c r="G54" t="s">
        <v>17</v>
      </c>
      <c r="H54" t="s">
        <v>168</v>
      </c>
      <c r="I54">
        <v>1</v>
      </c>
      <c r="J54" s="8">
        <v>30200</v>
      </c>
      <c r="K54">
        <v>25</v>
      </c>
      <c r="L54" t="s">
        <v>19</v>
      </c>
      <c r="M54" s="5">
        <f>Cleaned_Data[[#This Row],[Quantity]]*Cleaned_Data[[#This Row],[Unit_Price]]</f>
        <v>30200</v>
      </c>
      <c r="N54" s="7">
        <f>Cleaned_Data[[#This Row],[Total_sales]]*(Cleaned_Data[[#This Row],[Discount_Percent]]/100)</f>
        <v>7550</v>
      </c>
      <c r="O54" s="7">
        <f>Cleaned_Data[[#This Row],[Total_sales]]-Cleaned_Data[[#This Row],[Discount_Amount]]</f>
        <v>22650</v>
      </c>
      <c r="P54" t="str">
        <f>TEXT(Cleaned_Data[[#This Row],[Order_Date]],"MMM-YYYY")</f>
        <v>Apr-2023</v>
      </c>
      <c r="Q54" t="str">
        <f>"Q"&amp;ROUNDUP(MONTH(Cleaned_Data[[#This Row],[Order_Date]])/3,0)&amp;"-2023"</f>
        <v>Q2-2023</v>
      </c>
      <c r="R54" t="str">
        <f>TEXT(Cleaned_Data[[#This Row],[Order_Date]],"DDD")</f>
        <v>Sun</v>
      </c>
      <c r="S54" t="str">
        <f>IF(Cleaned_Data[[#This Row],[Net_Sales]]&gt;=100000,"High",IF(Cleaned_Data[[#This Row],[Net_Sales]]&gt;=50000,"Medium","Low"))</f>
        <v>Low</v>
      </c>
    </row>
    <row r="55" spans="1:19" x14ac:dyDescent="0.3">
      <c r="A55" t="s">
        <v>179</v>
      </c>
      <c r="B55" s="1">
        <v>45018</v>
      </c>
      <c r="C55" t="s">
        <v>180</v>
      </c>
      <c r="D55" t="s">
        <v>181</v>
      </c>
      <c r="E55" t="s">
        <v>66</v>
      </c>
      <c r="F55" t="s">
        <v>87</v>
      </c>
      <c r="G55" t="s">
        <v>97</v>
      </c>
      <c r="H55" t="s">
        <v>174</v>
      </c>
      <c r="I55">
        <v>2</v>
      </c>
      <c r="J55" s="8">
        <v>65800</v>
      </c>
      <c r="K55">
        <v>5</v>
      </c>
      <c r="L55" t="s">
        <v>19</v>
      </c>
      <c r="M55" s="5">
        <f>Cleaned_Data[[#This Row],[Quantity]]*Cleaned_Data[[#This Row],[Unit_Price]]</f>
        <v>131600</v>
      </c>
      <c r="N55" s="7">
        <f>Cleaned_Data[[#This Row],[Total_sales]]*(Cleaned_Data[[#This Row],[Discount_Percent]]/100)</f>
        <v>6580</v>
      </c>
      <c r="O55" s="7">
        <f>Cleaned_Data[[#This Row],[Total_sales]]-Cleaned_Data[[#This Row],[Discount_Amount]]</f>
        <v>125020</v>
      </c>
      <c r="P55" t="str">
        <f>TEXT(Cleaned_Data[[#This Row],[Order_Date]],"MMM-YYYY")</f>
        <v>Apr-2023</v>
      </c>
      <c r="Q55" t="str">
        <f>"Q"&amp;ROUNDUP(MONTH(Cleaned_Data[[#This Row],[Order_Date]])/3,0)&amp;"-2023"</f>
        <v>Q2-2023</v>
      </c>
      <c r="R55" t="str">
        <f>TEXT(Cleaned_Data[[#This Row],[Order_Date]],"DDD")</f>
        <v>Sun</v>
      </c>
      <c r="S55" t="str">
        <f>IF(Cleaned_Data[[#This Row],[Net_Sales]]&gt;=100000,"High",IF(Cleaned_Data[[#This Row],[Net_Sales]]&gt;=50000,"Medium","Low"))</f>
        <v>High</v>
      </c>
    </row>
    <row r="56" spans="1:19" x14ac:dyDescent="0.3">
      <c r="A56" t="s">
        <v>182</v>
      </c>
      <c r="B56" s="1">
        <v>45018</v>
      </c>
      <c r="C56" t="s">
        <v>183</v>
      </c>
      <c r="D56" t="s">
        <v>27</v>
      </c>
      <c r="E56" t="s">
        <v>23</v>
      </c>
      <c r="F56" t="s">
        <v>51</v>
      </c>
      <c r="G56" t="s">
        <v>97</v>
      </c>
      <c r="H56" t="s">
        <v>133</v>
      </c>
      <c r="I56">
        <v>1</v>
      </c>
      <c r="J56" s="8">
        <v>64200</v>
      </c>
      <c r="K56">
        <v>5</v>
      </c>
      <c r="L56" t="s">
        <v>103</v>
      </c>
      <c r="M56" s="5">
        <f>Cleaned_Data[[#This Row],[Quantity]]*Cleaned_Data[[#This Row],[Unit_Price]]</f>
        <v>64200</v>
      </c>
      <c r="N56" s="7">
        <f>Cleaned_Data[[#This Row],[Total_sales]]*(Cleaned_Data[[#This Row],[Discount_Percent]]/100)</f>
        <v>3210</v>
      </c>
      <c r="O56" s="7">
        <f>Cleaned_Data[[#This Row],[Total_sales]]-Cleaned_Data[[#This Row],[Discount_Amount]]</f>
        <v>60990</v>
      </c>
      <c r="P56" t="str">
        <f>TEXT(Cleaned_Data[[#This Row],[Order_Date]],"MMM-YYYY")</f>
        <v>Apr-2023</v>
      </c>
      <c r="Q56" t="str">
        <f>"Q"&amp;ROUNDUP(MONTH(Cleaned_Data[[#This Row],[Order_Date]])/3,0)&amp;"-2023"</f>
        <v>Q2-2023</v>
      </c>
      <c r="R56" t="str">
        <f>TEXT(Cleaned_Data[[#This Row],[Order_Date]],"DDD")</f>
        <v>Sun</v>
      </c>
      <c r="S56" t="str">
        <f>IF(Cleaned_Data[[#This Row],[Net_Sales]]&gt;=100000,"High",IF(Cleaned_Data[[#This Row],[Net_Sales]]&gt;=50000,"Medium","Low"))</f>
        <v>Medium</v>
      </c>
    </row>
    <row r="57" spans="1:19" x14ac:dyDescent="0.3">
      <c r="A57" t="s">
        <v>184</v>
      </c>
      <c r="B57" s="1">
        <v>45018</v>
      </c>
      <c r="C57" t="s">
        <v>185</v>
      </c>
      <c r="D57" t="s">
        <v>186</v>
      </c>
      <c r="E57" t="s">
        <v>37</v>
      </c>
      <c r="F57" t="s">
        <v>141</v>
      </c>
      <c r="G57" t="s">
        <v>97</v>
      </c>
      <c r="H57" t="s">
        <v>174</v>
      </c>
      <c r="I57">
        <v>2</v>
      </c>
      <c r="J57" s="8">
        <v>60000</v>
      </c>
      <c r="K57">
        <v>5</v>
      </c>
      <c r="L57" t="s">
        <v>27</v>
      </c>
      <c r="M57" s="5">
        <f>Cleaned_Data[[#This Row],[Quantity]]*Cleaned_Data[[#This Row],[Unit_Price]]</f>
        <v>120000</v>
      </c>
      <c r="N57" s="7">
        <f>Cleaned_Data[[#This Row],[Total_sales]]*(Cleaned_Data[[#This Row],[Discount_Percent]]/100)</f>
        <v>6000</v>
      </c>
      <c r="O57" s="7">
        <f>Cleaned_Data[[#This Row],[Total_sales]]-Cleaned_Data[[#This Row],[Discount_Amount]]</f>
        <v>114000</v>
      </c>
      <c r="P57" t="str">
        <f>TEXT(Cleaned_Data[[#This Row],[Order_Date]],"MMM-YYYY")</f>
        <v>Apr-2023</v>
      </c>
      <c r="Q57" t="str">
        <f>"Q"&amp;ROUNDUP(MONTH(Cleaned_Data[[#This Row],[Order_Date]])/3,0)&amp;"-2023"</f>
        <v>Q2-2023</v>
      </c>
      <c r="R57" t="str">
        <f>TEXT(Cleaned_Data[[#This Row],[Order_Date]],"DDD")</f>
        <v>Sun</v>
      </c>
      <c r="S57" t="str">
        <f>IF(Cleaned_Data[[#This Row],[Net_Sales]]&gt;=100000,"High",IF(Cleaned_Data[[#This Row],[Net_Sales]]&gt;=50000,"Medium","Low"))</f>
        <v>High</v>
      </c>
    </row>
    <row r="58" spans="1:19" x14ac:dyDescent="0.3">
      <c r="A58" t="s">
        <v>187</v>
      </c>
      <c r="B58" s="1">
        <v>45048</v>
      </c>
      <c r="C58" t="s">
        <v>188</v>
      </c>
      <c r="D58" t="s">
        <v>189</v>
      </c>
      <c r="E58" t="s">
        <v>15</v>
      </c>
      <c r="F58" t="s">
        <v>16</v>
      </c>
      <c r="G58" t="s">
        <v>25</v>
      </c>
      <c r="H58" t="s">
        <v>108</v>
      </c>
      <c r="I58">
        <v>3</v>
      </c>
      <c r="J58" s="8">
        <v>1600</v>
      </c>
      <c r="K58">
        <v>25</v>
      </c>
      <c r="L58" t="s">
        <v>103</v>
      </c>
      <c r="M58" s="5">
        <f>Cleaned_Data[[#This Row],[Quantity]]*Cleaned_Data[[#This Row],[Unit_Price]]</f>
        <v>4800</v>
      </c>
      <c r="N58" s="7">
        <f>Cleaned_Data[[#This Row],[Total_sales]]*(Cleaned_Data[[#This Row],[Discount_Percent]]/100)</f>
        <v>1200</v>
      </c>
      <c r="O58" s="7">
        <f>Cleaned_Data[[#This Row],[Total_sales]]-Cleaned_Data[[#This Row],[Discount_Amount]]</f>
        <v>3600</v>
      </c>
      <c r="P58" t="str">
        <f>TEXT(Cleaned_Data[[#This Row],[Order_Date]],"MMM-YYYY")</f>
        <v>May-2023</v>
      </c>
      <c r="Q58" t="str">
        <f>"Q"&amp;ROUNDUP(MONTH(Cleaned_Data[[#This Row],[Order_Date]])/3,0)&amp;"-2023"</f>
        <v>Q2-2023</v>
      </c>
      <c r="R58" t="str">
        <f>TEXT(Cleaned_Data[[#This Row],[Order_Date]],"DDD")</f>
        <v>Tue</v>
      </c>
      <c r="S58" t="str">
        <f>IF(Cleaned_Data[[#This Row],[Net_Sales]]&gt;=100000,"High",IF(Cleaned_Data[[#This Row],[Net_Sales]]&gt;=50000,"Medium","Low"))</f>
        <v>Low</v>
      </c>
    </row>
    <row r="59" spans="1:19" x14ac:dyDescent="0.3">
      <c r="A59" t="s">
        <v>190</v>
      </c>
      <c r="B59" s="1">
        <v>45048</v>
      </c>
      <c r="C59" t="s">
        <v>13</v>
      </c>
      <c r="D59" t="s">
        <v>14</v>
      </c>
      <c r="E59" t="s">
        <v>81</v>
      </c>
      <c r="F59" t="s">
        <v>110</v>
      </c>
      <c r="G59" t="s">
        <v>39</v>
      </c>
      <c r="H59" t="s">
        <v>40</v>
      </c>
      <c r="I59">
        <v>1</v>
      </c>
      <c r="J59" s="8">
        <v>35000</v>
      </c>
      <c r="K59">
        <v>10</v>
      </c>
      <c r="L59" t="s">
        <v>73</v>
      </c>
      <c r="M59" s="5">
        <f>Cleaned_Data[[#This Row],[Quantity]]*Cleaned_Data[[#This Row],[Unit_Price]]</f>
        <v>35000</v>
      </c>
      <c r="N59" s="7">
        <f>Cleaned_Data[[#This Row],[Total_sales]]*(Cleaned_Data[[#This Row],[Discount_Percent]]/100)</f>
        <v>3500</v>
      </c>
      <c r="O59" s="7">
        <f>Cleaned_Data[[#This Row],[Total_sales]]-Cleaned_Data[[#This Row],[Discount_Amount]]</f>
        <v>31500</v>
      </c>
      <c r="P59" t="str">
        <f>TEXT(Cleaned_Data[[#This Row],[Order_Date]],"MMM-YYYY")</f>
        <v>May-2023</v>
      </c>
      <c r="Q59" t="str">
        <f>"Q"&amp;ROUNDUP(MONTH(Cleaned_Data[[#This Row],[Order_Date]])/3,0)&amp;"-2023"</f>
        <v>Q2-2023</v>
      </c>
      <c r="R59" t="str">
        <f>TEXT(Cleaned_Data[[#This Row],[Order_Date]],"DDD")</f>
        <v>Tue</v>
      </c>
      <c r="S59" t="str">
        <f>IF(Cleaned_Data[[#This Row],[Net_Sales]]&gt;=100000,"High",IF(Cleaned_Data[[#This Row],[Net_Sales]]&gt;=50000,"Medium","Low"))</f>
        <v>Low</v>
      </c>
    </row>
    <row r="60" spans="1:19" x14ac:dyDescent="0.3">
      <c r="A60" t="s">
        <v>191</v>
      </c>
      <c r="B60" s="1">
        <v>45079</v>
      </c>
      <c r="C60" t="s">
        <v>151</v>
      </c>
      <c r="D60" t="s">
        <v>152</v>
      </c>
      <c r="E60" t="s">
        <v>81</v>
      </c>
      <c r="F60" t="s">
        <v>117</v>
      </c>
      <c r="G60" t="s">
        <v>25</v>
      </c>
      <c r="H60" t="s">
        <v>124</v>
      </c>
      <c r="I60">
        <v>1</v>
      </c>
      <c r="J60" s="8">
        <v>2100</v>
      </c>
      <c r="K60">
        <v>15</v>
      </c>
      <c r="L60" t="s">
        <v>47</v>
      </c>
      <c r="M60" s="5">
        <f>Cleaned_Data[[#This Row],[Quantity]]*Cleaned_Data[[#This Row],[Unit_Price]]</f>
        <v>2100</v>
      </c>
      <c r="N60" s="7">
        <f>Cleaned_Data[[#This Row],[Total_sales]]*(Cleaned_Data[[#This Row],[Discount_Percent]]/100)</f>
        <v>315</v>
      </c>
      <c r="O60" s="7">
        <f>Cleaned_Data[[#This Row],[Total_sales]]-Cleaned_Data[[#This Row],[Discount_Amount]]</f>
        <v>1785</v>
      </c>
      <c r="P60" t="str">
        <f>TEXT(Cleaned_Data[[#This Row],[Order_Date]],"MMM-YYYY")</f>
        <v>Jun-2023</v>
      </c>
      <c r="Q60" t="str">
        <f>"Q"&amp;ROUNDUP(MONTH(Cleaned_Data[[#This Row],[Order_Date]])/3,0)&amp;"-2023"</f>
        <v>Q2-2023</v>
      </c>
      <c r="R60" t="str">
        <f>TEXT(Cleaned_Data[[#This Row],[Order_Date]],"DDD")</f>
        <v>Fri</v>
      </c>
      <c r="S60" t="str">
        <f>IF(Cleaned_Data[[#This Row],[Net_Sales]]&gt;=100000,"High",IF(Cleaned_Data[[#This Row],[Net_Sales]]&gt;=50000,"Medium","Low"))</f>
        <v>Low</v>
      </c>
    </row>
    <row r="61" spans="1:19" x14ac:dyDescent="0.3">
      <c r="A61" t="s">
        <v>192</v>
      </c>
      <c r="B61" s="1">
        <v>45109</v>
      </c>
      <c r="C61" t="s">
        <v>135</v>
      </c>
      <c r="D61" t="s">
        <v>136</v>
      </c>
      <c r="E61" t="s">
        <v>66</v>
      </c>
      <c r="F61" t="s">
        <v>67</v>
      </c>
      <c r="G61" t="s">
        <v>45</v>
      </c>
      <c r="H61" t="s">
        <v>52</v>
      </c>
      <c r="I61">
        <v>1</v>
      </c>
      <c r="J61" s="8">
        <v>31100</v>
      </c>
      <c r="K61">
        <v>0</v>
      </c>
      <c r="L61" t="s">
        <v>27</v>
      </c>
      <c r="M61" s="5">
        <f>Cleaned_Data[[#This Row],[Quantity]]*Cleaned_Data[[#This Row],[Unit_Price]]</f>
        <v>31100</v>
      </c>
      <c r="N61" s="7">
        <f>Cleaned_Data[[#This Row],[Total_sales]]*(Cleaned_Data[[#This Row],[Discount_Percent]]/100)</f>
        <v>0</v>
      </c>
      <c r="O61" s="7">
        <f>Cleaned_Data[[#This Row],[Total_sales]]-Cleaned_Data[[#This Row],[Discount_Amount]]</f>
        <v>31100</v>
      </c>
      <c r="P61" t="str">
        <f>TEXT(Cleaned_Data[[#This Row],[Order_Date]],"MMM-YYYY")</f>
        <v>Jul-2023</v>
      </c>
      <c r="Q61" t="str">
        <f>"Q"&amp;ROUNDUP(MONTH(Cleaned_Data[[#This Row],[Order_Date]])/3,0)&amp;"-2023"</f>
        <v>Q3-2023</v>
      </c>
      <c r="R61" t="str">
        <f>TEXT(Cleaned_Data[[#This Row],[Order_Date]],"DDD")</f>
        <v>Sun</v>
      </c>
      <c r="S61" t="str">
        <f>IF(Cleaned_Data[[#This Row],[Net_Sales]]&gt;=100000,"High",IF(Cleaned_Data[[#This Row],[Net_Sales]]&gt;=50000,"Medium","Low"))</f>
        <v>Low</v>
      </c>
    </row>
    <row r="62" spans="1:19" x14ac:dyDescent="0.3">
      <c r="A62" t="s">
        <v>193</v>
      </c>
      <c r="B62" s="1">
        <v>45140</v>
      </c>
      <c r="C62" t="s">
        <v>115</v>
      </c>
      <c r="D62" t="s">
        <v>116</v>
      </c>
      <c r="E62" t="s">
        <v>23</v>
      </c>
      <c r="F62" t="s">
        <v>24</v>
      </c>
      <c r="G62" t="s">
        <v>25</v>
      </c>
      <c r="H62" t="s">
        <v>108</v>
      </c>
      <c r="I62">
        <v>1</v>
      </c>
      <c r="J62" s="8">
        <v>2500</v>
      </c>
      <c r="K62">
        <v>0</v>
      </c>
      <c r="L62" t="s">
        <v>27</v>
      </c>
      <c r="M62" s="5">
        <f>Cleaned_Data[[#This Row],[Quantity]]*Cleaned_Data[[#This Row],[Unit_Price]]</f>
        <v>2500</v>
      </c>
      <c r="N62" s="7">
        <f>Cleaned_Data[[#This Row],[Total_sales]]*(Cleaned_Data[[#This Row],[Discount_Percent]]/100)</f>
        <v>0</v>
      </c>
      <c r="O62" s="7">
        <f>Cleaned_Data[[#This Row],[Total_sales]]-Cleaned_Data[[#This Row],[Discount_Amount]]</f>
        <v>2500</v>
      </c>
      <c r="P62" t="str">
        <f>TEXT(Cleaned_Data[[#This Row],[Order_Date]],"MMM-YYYY")</f>
        <v>Aug-2023</v>
      </c>
      <c r="Q62" t="str">
        <f>"Q"&amp;ROUNDUP(MONTH(Cleaned_Data[[#This Row],[Order_Date]])/3,0)&amp;"-2023"</f>
        <v>Q3-2023</v>
      </c>
      <c r="R62" t="str">
        <f>TEXT(Cleaned_Data[[#This Row],[Order_Date]],"DDD")</f>
        <v>Wed</v>
      </c>
      <c r="S62" t="str">
        <f>IF(Cleaned_Data[[#This Row],[Net_Sales]]&gt;=100000,"High",IF(Cleaned_Data[[#This Row],[Net_Sales]]&gt;=50000,"Medium","Low"))</f>
        <v>Low</v>
      </c>
    </row>
    <row r="63" spans="1:19" x14ac:dyDescent="0.3">
      <c r="A63" t="s">
        <v>194</v>
      </c>
      <c r="B63" s="1">
        <v>45140</v>
      </c>
      <c r="C63" t="s">
        <v>95</v>
      </c>
      <c r="D63" t="s">
        <v>96</v>
      </c>
      <c r="E63" t="s">
        <v>37</v>
      </c>
      <c r="F63" t="s">
        <v>38</v>
      </c>
      <c r="G63" t="s">
        <v>25</v>
      </c>
      <c r="H63" t="s">
        <v>124</v>
      </c>
      <c r="I63">
        <v>1</v>
      </c>
      <c r="J63" s="8">
        <v>2700</v>
      </c>
      <c r="K63">
        <v>25</v>
      </c>
      <c r="L63" t="s">
        <v>73</v>
      </c>
      <c r="M63" s="5">
        <f>Cleaned_Data[[#This Row],[Quantity]]*Cleaned_Data[[#This Row],[Unit_Price]]</f>
        <v>2700</v>
      </c>
      <c r="N63" s="7">
        <f>Cleaned_Data[[#This Row],[Total_sales]]*(Cleaned_Data[[#This Row],[Discount_Percent]]/100)</f>
        <v>675</v>
      </c>
      <c r="O63" s="7">
        <f>Cleaned_Data[[#This Row],[Total_sales]]-Cleaned_Data[[#This Row],[Discount_Amount]]</f>
        <v>2025</v>
      </c>
      <c r="P63" t="str">
        <f>TEXT(Cleaned_Data[[#This Row],[Order_Date]],"MMM-YYYY")</f>
        <v>Aug-2023</v>
      </c>
      <c r="Q63" t="str">
        <f>"Q"&amp;ROUNDUP(MONTH(Cleaned_Data[[#This Row],[Order_Date]])/3,0)&amp;"-2023"</f>
        <v>Q3-2023</v>
      </c>
      <c r="R63" t="str">
        <f>TEXT(Cleaned_Data[[#This Row],[Order_Date]],"DDD")</f>
        <v>Wed</v>
      </c>
      <c r="S63" t="str">
        <f>IF(Cleaned_Data[[#This Row],[Net_Sales]]&gt;=100000,"High",IF(Cleaned_Data[[#This Row],[Net_Sales]]&gt;=50000,"Medium","Low"))</f>
        <v>Low</v>
      </c>
    </row>
    <row r="64" spans="1:19" x14ac:dyDescent="0.3">
      <c r="A64" t="s">
        <v>195</v>
      </c>
      <c r="B64" s="1">
        <v>45140</v>
      </c>
      <c r="C64" t="s">
        <v>35</v>
      </c>
      <c r="D64" t="s">
        <v>36</v>
      </c>
      <c r="E64" t="s">
        <v>66</v>
      </c>
      <c r="F64" t="s">
        <v>87</v>
      </c>
      <c r="G64" t="s">
        <v>17</v>
      </c>
      <c r="H64" t="s">
        <v>196</v>
      </c>
      <c r="I64">
        <v>1</v>
      </c>
      <c r="J64" s="8">
        <v>41200</v>
      </c>
      <c r="K64">
        <v>5</v>
      </c>
      <c r="L64" t="s">
        <v>73</v>
      </c>
      <c r="M64" s="5">
        <f>Cleaned_Data[[#This Row],[Quantity]]*Cleaned_Data[[#This Row],[Unit_Price]]</f>
        <v>41200</v>
      </c>
      <c r="N64" s="7">
        <f>Cleaned_Data[[#This Row],[Total_sales]]*(Cleaned_Data[[#This Row],[Discount_Percent]]/100)</f>
        <v>2060</v>
      </c>
      <c r="O64" s="7">
        <f>Cleaned_Data[[#This Row],[Total_sales]]-Cleaned_Data[[#This Row],[Discount_Amount]]</f>
        <v>39140</v>
      </c>
      <c r="P64" t="str">
        <f>TEXT(Cleaned_Data[[#This Row],[Order_Date]],"MMM-YYYY")</f>
        <v>Aug-2023</v>
      </c>
      <c r="Q64" t="str">
        <f>"Q"&amp;ROUNDUP(MONTH(Cleaned_Data[[#This Row],[Order_Date]])/3,0)&amp;"-2023"</f>
        <v>Q3-2023</v>
      </c>
      <c r="R64" t="str">
        <f>TEXT(Cleaned_Data[[#This Row],[Order_Date]],"DDD")</f>
        <v>Wed</v>
      </c>
      <c r="S64" t="str">
        <f>IF(Cleaned_Data[[#This Row],[Net_Sales]]&gt;=100000,"High",IF(Cleaned_Data[[#This Row],[Net_Sales]]&gt;=50000,"Medium","Low"))</f>
        <v>Low</v>
      </c>
    </row>
    <row r="65" spans="1:19" x14ac:dyDescent="0.3">
      <c r="A65" t="s">
        <v>197</v>
      </c>
      <c r="B65" s="1">
        <v>45140</v>
      </c>
      <c r="C65" t="s">
        <v>135</v>
      </c>
      <c r="D65" t="s">
        <v>136</v>
      </c>
      <c r="E65" t="s">
        <v>23</v>
      </c>
      <c r="F65" t="s">
        <v>51</v>
      </c>
      <c r="G65" t="s">
        <v>25</v>
      </c>
      <c r="H65" t="s">
        <v>26</v>
      </c>
      <c r="I65">
        <v>3</v>
      </c>
      <c r="J65" s="8">
        <v>1700</v>
      </c>
      <c r="K65">
        <v>10</v>
      </c>
      <c r="L65" t="s">
        <v>47</v>
      </c>
      <c r="M65" s="5">
        <f>Cleaned_Data[[#This Row],[Quantity]]*Cleaned_Data[[#This Row],[Unit_Price]]</f>
        <v>5100</v>
      </c>
      <c r="N65" s="7">
        <f>Cleaned_Data[[#This Row],[Total_sales]]*(Cleaned_Data[[#This Row],[Discount_Percent]]/100)</f>
        <v>510</v>
      </c>
      <c r="O65" s="7">
        <f>Cleaned_Data[[#This Row],[Total_sales]]-Cleaned_Data[[#This Row],[Discount_Amount]]</f>
        <v>4590</v>
      </c>
      <c r="P65" t="str">
        <f>TEXT(Cleaned_Data[[#This Row],[Order_Date]],"MMM-YYYY")</f>
        <v>Aug-2023</v>
      </c>
      <c r="Q65" t="str">
        <f>"Q"&amp;ROUNDUP(MONTH(Cleaned_Data[[#This Row],[Order_Date]])/3,0)&amp;"-2023"</f>
        <v>Q3-2023</v>
      </c>
      <c r="R65" t="str">
        <f>TEXT(Cleaned_Data[[#This Row],[Order_Date]],"DDD")</f>
        <v>Wed</v>
      </c>
      <c r="S65" t="str">
        <f>IF(Cleaned_Data[[#This Row],[Net_Sales]]&gt;=100000,"High",IF(Cleaned_Data[[#This Row],[Net_Sales]]&gt;=50000,"Medium","Low"))</f>
        <v>Low</v>
      </c>
    </row>
    <row r="66" spans="1:19" x14ac:dyDescent="0.3">
      <c r="A66" t="s">
        <v>198</v>
      </c>
      <c r="B66" s="1">
        <v>45171</v>
      </c>
      <c r="C66" t="s">
        <v>13</v>
      </c>
      <c r="D66" t="s">
        <v>14</v>
      </c>
      <c r="E66" t="s">
        <v>15</v>
      </c>
      <c r="F66" t="s">
        <v>131</v>
      </c>
      <c r="G66" t="s">
        <v>39</v>
      </c>
      <c r="H66" t="s">
        <v>40</v>
      </c>
      <c r="I66">
        <v>1</v>
      </c>
      <c r="J66" s="8">
        <v>21600</v>
      </c>
      <c r="K66">
        <v>10</v>
      </c>
      <c r="L66" t="s">
        <v>73</v>
      </c>
      <c r="M66" s="5">
        <f>Cleaned_Data[[#This Row],[Quantity]]*Cleaned_Data[[#This Row],[Unit_Price]]</f>
        <v>21600</v>
      </c>
      <c r="N66" s="7">
        <f>Cleaned_Data[[#This Row],[Total_sales]]*(Cleaned_Data[[#This Row],[Discount_Percent]]/100)</f>
        <v>2160</v>
      </c>
      <c r="O66" s="7">
        <f>Cleaned_Data[[#This Row],[Total_sales]]-Cleaned_Data[[#This Row],[Discount_Amount]]</f>
        <v>19440</v>
      </c>
      <c r="P66" t="str">
        <f>TEXT(Cleaned_Data[[#This Row],[Order_Date]],"MMM-YYYY")</f>
        <v>Sep-2023</v>
      </c>
      <c r="Q66" t="str">
        <f>"Q"&amp;ROUNDUP(MONTH(Cleaned_Data[[#This Row],[Order_Date]])/3,0)&amp;"-2023"</f>
        <v>Q3-2023</v>
      </c>
      <c r="R66" t="str">
        <f>TEXT(Cleaned_Data[[#This Row],[Order_Date]],"DDD")</f>
        <v>Sat</v>
      </c>
      <c r="S66" t="str">
        <f>IF(Cleaned_Data[[#This Row],[Net_Sales]]&gt;=100000,"High",IF(Cleaned_Data[[#This Row],[Net_Sales]]&gt;=50000,"Medium","Low"))</f>
        <v>Low</v>
      </c>
    </row>
    <row r="67" spans="1:19" x14ac:dyDescent="0.3">
      <c r="A67" t="s">
        <v>199</v>
      </c>
      <c r="B67" s="1">
        <v>45171</v>
      </c>
      <c r="C67" t="s">
        <v>143</v>
      </c>
      <c r="D67" t="s">
        <v>144</v>
      </c>
      <c r="E67" t="s">
        <v>81</v>
      </c>
      <c r="F67" t="s">
        <v>117</v>
      </c>
      <c r="G67" t="s">
        <v>97</v>
      </c>
      <c r="H67" t="s">
        <v>98</v>
      </c>
      <c r="I67">
        <v>1</v>
      </c>
      <c r="J67" s="8">
        <v>55200</v>
      </c>
      <c r="K67">
        <v>10</v>
      </c>
      <c r="L67" t="s">
        <v>73</v>
      </c>
      <c r="M67" s="5">
        <f>Cleaned_Data[[#This Row],[Quantity]]*Cleaned_Data[[#This Row],[Unit_Price]]</f>
        <v>55200</v>
      </c>
      <c r="N67" s="7">
        <f>Cleaned_Data[[#This Row],[Total_sales]]*(Cleaned_Data[[#This Row],[Discount_Percent]]/100)</f>
        <v>5520</v>
      </c>
      <c r="O67" s="7">
        <f>Cleaned_Data[[#This Row],[Total_sales]]-Cleaned_Data[[#This Row],[Discount_Amount]]</f>
        <v>49680</v>
      </c>
      <c r="P67" t="str">
        <f>TEXT(Cleaned_Data[[#This Row],[Order_Date]],"MMM-YYYY")</f>
        <v>Sep-2023</v>
      </c>
      <c r="Q67" t="str">
        <f>"Q"&amp;ROUNDUP(MONTH(Cleaned_Data[[#This Row],[Order_Date]])/3,0)&amp;"-2023"</f>
        <v>Q3-2023</v>
      </c>
      <c r="R67" t="str">
        <f>TEXT(Cleaned_Data[[#This Row],[Order_Date]],"DDD")</f>
        <v>Sat</v>
      </c>
      <c r="S67" t="str">
        <f>IF(Cleaned_Data[[#This Row],[Net_Sales]]&gt;=100000,"High",IF(Cleaned_Data[[#This Row],[Net_Sales]]&gt;=50000,"Medium","Low"))</f>
        <v>Low</v>
      </c>
    </row>
    <row r="68" spans="1:19" x14ac:dyDescent="0.3">
      <c r="A68" t="s">
        <v>200</v>
      </c>
      <c r="B68" s="1">
        <v>45171</v>
      </c>
      <c r="C68" t="s">
        <v>183</v>
      </c>
      <c r="D68" t="s">
        <v>27</v>
      </c>
      <c r="E68" t="s">
        <v>23</v>
      </c>
      <c r="F68" t="s">
        <v>51</v>
      </c>
      <c r="G68" t="s">
        <v>25</v>
      </c>
      <c r="H68" t="s">
        <v>26</v>
      </c>
      <c r="I68">
        <v>2</v>
      </c>
      <c r="J68" s="8">
        <v>1900</v>
      </c>
      <c r="K68">
        <v>0</v>
      </c>
      <c r="L68" t="s">
        <v>53</v>
      </c>
      <c r="M68" s="5">
        <f>Cleaned_Data[[#This Row],[Quantity]]*Cleaned_Data[[#This Row],[Unit_Price]]</f>
        <v>3800</v>
      </c>
      <c r="N68" s="7">
        <f>Cleaned_Data[[#This Row],[Total_sales]]*(Cleaned_Data[[#This Row],[Discount_Percent]]/100)</f>
        <v>0</v>
      </c>
      <c r="O68" s="7">
        <f>Cleaned_Data[[#This Row],[Total_sales]]-Cleaned_Data[[#This Row],[Discount_Amount]]</f>
        <v>3800</v>
      </c>
      <c r="P68" t="str">
        <f>TEXT(Cleaned_Data[[#This Row],[Order_Date]],"MMM-YYYY")</f>
        <v>Sep-2023</v>
      </c>
      <c r="Q68" t="str">
        <f>"Q"&amp;ROUNDUP(MONTH(Cleaned_Data[[#This Row],[Order_Date]])/3,0)&amp;"-2023"</f>
        <v>Q3-2023</v>
      </c>
      <c r="R68" t="str">
        <f>TEXT(Cleaned_Data[[#This Row],[Order_Date]],"DDD")</f>
        <v>Sat</v>
      </c>
      <c r="S68" t="str">
        <f>IF(Cleaned_Data[[#This Row],[Net_Sales]]&gt;=100000,"High",IF(Cleaned_Data[[#This Row],[Net_Sales]]&gt;=50000,"Medium","Low"))</f>
        <v>Low</v>
      </c>
    </row>
    <row r="69" spans="1:19" x14ac:dyDescent="0.3">
      <c r="A69" t="s">
        <v>201</v>
      </c>
      <c r="B69" s="1">
        <v>45171</v>
      </c>
      <c r="C69" t="s">
        <v>130</v>
      </c>
      <c r="D69" t="s">
        <v>53</v>
      </c>
      <c r="E69" t="s">
        <v>37</v>
      </c>
      <c r="F69" t="s">
        <v>61</v>
      </c>
      <c r="G69" t="s">
        <v>45</v>
      </c>
      <c r="H69" t="s">
        <v>52</v>
      </c>
      <c r="I69">
        <v>1</v>
      </c>
      <c r="J69" s="8">
        <v>25900</v>
      </c>
      <c r="K69">
        <v>0</v>
      </c>
      <c r="L69" t="s">
        <v>33</v>
      </c>
      <c r="M69" s="5">
        <f>Cleaned_Data[[#This Row],[Quantity]]*Cleaned_Data[[#This Row],[Unit_Price]]</f>
        <v>25900</v>
      </c>
      <c r="N69" s="7">
        <f>Cleaned_Data[[#This Row],[Total_sales]]*(Cleaned_Data[[#This Row],[Discount_Percent]]/100)</f>
        <v>0</v>
      </c>
      <c r="O69" s="7">
        <f>Cleaned_Data[[#This Row],[Total_sales]]-Cleaned_Data[[#This Row],[Discount_Amount]]</f>
        <v>25900</v>
      </c>
      <c r="P69" t="str">
        <f>TEXT(Cleaned_Data[[#This Row],[Order_Date]],"MMM-YYYY")</f>
        <v>Sep-2023</v>
      </c>
      <c r="Q69" t="str">
        <f>"Q"&amp;ROUNDUP(MONTH(Cleaned_Data[[#This Row],[Order_Date]])/3,0)&amp;"-2023"</f>
        <v>Q3-2023</v>
      </c>
      <c r="R69" t="str">
        <f>TEXT(Cleaned_Data[[#This Row],[Order_Date]],"DDD")</f>
        <v>Sat</v>
      </c>
      <c r="S69" t="str">
        <f>IF(Cleaned_Data[[#This Row],[Net_Sales]]&gt;=100000,"High",IF(Cleaned_Data[[#This Row],[Net_Sales]]&gt;=50000,"Medium","Low"))</f>
        <v>Low</v>
      </c>
    </row>
    <row r="70" spans="1:19" x14ac:dyDescent="0.3">
      <c r="A70" t="s">
        <v>202</v>
      </c>
      <c r="B70" s="1">
        <v>45232</v>
      </c>
      <c r="C70" t="s">
        <v>203</v>
      </c>
      <c r="D70" t="s">
        <v>204</v>
      </c>
      <c r="E70" t="s">
        <v>37</v>
      </c>
      <c r="F70" t="s">
        <v>38</v>
      </c>
      <c r="G70" t="s">
        <v>97</v>
      </c>
      <c r="H70" t="s">
        <v>98</v>
      </c>
      <c r="I70">
        <v>2</v>
      </c>
      <c r="J70" s="8">
        <v>63200</v>
      </c>
      <c r="K70">
        <v>0</v>
      </c>
      <c r="L70" t="s">
        <v>62</v>
      </c>
      <c r="M70" s="5">
        <f>Cleaned_Data[[#This Row],[Quantity]]*Cleaned_Data[[#This Row],[Unit_Price]]</f>
        <v>126400</v>
      </c>
      <c r="N70" s="7">
        <f>Cleaned_Data[[#This Row],[Total_sales]]*(Cleaned_Data[[#This Row],[Discount_Percent]]/100)</f>
        <v>0</v>
      </c>
      <c r="O70" s="7">
        <f>Cleaned_Data[[#This Row],[Total_sales]]-Cleaned_Data[[#This Row],[Discount_Amount]]</f>
        <v>126400</v>
      </c>
      <c r="P70" t="str">
        <f>TEXT(Cleaned_Data[[#This Row],[Order_Date]],"MMM-YYYY")</f>
        <v>Nov-2023</v>
      </c>
      <c r="Q70" t="str">
        <f>"Q"&amp;ROUNDUP(MONTH(Cleaned_Data[[#This Row],[Order_Date]])/3,0)&amp;"-2023"</f>
        <v>Q4-2023</v>
      </c>
      <c r="R70" t="str">
        <f>TEXT(Cleaned_Data[[#This Row],[Order_Date]],"DDD")</f>
        <v>Thu</v>
      </c>
      <c r="S70" t="str">
        <f>IF(Cleaned_Data[[#This Row],[Net_Sales]]&gt;=100000,"High",IF(Cleaned_Data[[#This Row],[Net_Sales]]&gt;=50000,"Medium","Low"))</f>
        <v>High</v>
      </c>
    </row>
    <row r="71" spans="1:19" x14ac:dyDescent="0.3">
      <c r="A71" t="s">
        <v>205</v>
      </c>
      <c r="B71" s="1">
        <v>45232</v>
      </c>
      <c r="C71" t="s">
        <v>147</v>
      </c>
      <c r="D71" t="s">
        <v>148</v>
      </c>
      <c r="E71" t="s">
        <v>15</v>
      </c>
      <c r="F71" t="s">
        <v>131</v>
      </c>
      <c r="G71" t="s">
        <v>39</v>
      </c>
      <c r="H71" t="s">
        <v>57</v>
      </c>
      <c r="I71">
        <v>1</v>
      </c>
      <c r="J71" s="8">
        <v>30500</v>
      </c>
      <c r="K71">
        <v>0</v>
      </c>
      <c r="L71" t="s">
        <v>27</v>
      </c>
      <c r="M71" s="5">
        <f>Cleaned_Data[[#This Row],[Quantity]]*Cleaned_Data[[#This Row],[Unit_Price]]</f>
        <v>30500</v>
      </c>
      <c r="N71" s="7">
        <f>Cleaned_Data[[#This Row],[Total_sales]]*(Cleaned_Data[[#This Row],[Discount_Percent]]/100)</f>
        <v>0</v>
      </c>
      <c r="O71" s="7">
        <f>Cleaned_Data[[#This Row],[Total_sales]]-Cleaned_Data[[#This Row],[Discount_Amount]]</f>
        <v>30500</v>
      </c>
      <c r="P71" t="str">
        <f>TEXT(Cleaned_Data[[#This Row],[Order_Date]],"MMM-YYYY")</f>
        <v>Nov-2023</v>
      </c>
      <c r="Q71" t="str">
        <f>"Q"&amp;ROUNDUP(MONTH(Cleaned_Data[[#This Row],[Order_Date]])/3,0)&amp;"-2023"</f>
        <v>Q4-2023</v>
      </c>
      <c r="R71" t="str">
        <f>TEXT(Cleaned_Data[[#This Row],[Order_Date]],"DDD")</f>
        <v>Thu</v>
      </c>
      <c r="S71" t="str">
        <f>IF(Cleaned_Data[[#This Row],[Net_Sales]]&gt;=100000,"High",IF(Cleaned_Data[[#This Row],[Net_Sales]]&gt;=50000,"Medium","Low"))</f>
        <v>Low</v>
      </c>
    </row>
    <row r="72" spans="1:19" x14ac:dyDescent="0.3">
      <c r="A72" t="s">
        <v>206</v>
      </c>
      <c r="B72" s="1">
        <v>45232</v>
      </c>
      <c r="C72" t="s">
        <v>35</v>
      </c>
      <c r="D72" t="s">
        <v>36</v>
      </c>
      <c r="E72" t="s">
        <v>37</v>
      </c>
      <c r="F72" t="s">
        <v>101</v>
      </c>
      <c r="G72" t="s">
        <v>45</v>
      </c>
      <c r="H72" t="s">
        <v>207</v>
      </c>
      <c r="I72">
        <v>1</v>
      </c>
      <c r="J72" s="8">
        <v>31000</v>
      </c>
      <c r="K72">
        <v>15</v>
      </c>
      <c r="L72" t="s">
        <v>53</v>
      </c>
      <c r="M72" s="5">
        <f>Cleaned_Data[[#This Row],[Quantity]]*Cleaned_Data[[#This Row],[Unit_Price]]</f>
        <v>31000</v>
      </c>
      <c r="N72" s="7">
        <f>Cleaned_Data[[#This Row],[Total_sales]]*(Cleaned_Data[[#This Row],[Discount_Percent]]/100)</f>
        <v>4650</v>
      </c>
      <c r="O72" s="7">
        <f>Cleaned_Data[[#This Row],[Total_sales]]-Cleaned_Data[[#This Row],[Discount_Amount]]</f>
        <v>26350</v>
      </c>
      <c r="P72" t="str">
        <f>TEXT(Cleaned_Data[[#This Row],[Order_Date]],"MMM-YYYY")</f>
        <v>Nov-2023</v>
      </c>
      <c r="Q72" t="str">
        <f>"Q"&amp;ROUNDUP(MONTH(Cleaned_Data[[#This Row],[Order_Date]])/3,0)&amp;"-2023"</f>
        <v>Q4-2023</v>
      </c>
      <c r="R72" t="str">
        <f>TEXT(Cleaned_Data[[#This Row],[Order_Date]],"DDD")</f>
        <v>Thu</v>
      </c>
      <c r="S72" t="str">
        <f>IF(Cleaned_Data[[#This Row],[Net_Sales]]&gt;=100000,"High",IF(Cleaned_Data[[#This Row],[Net_Sales]]&gt;=50000,"Medium","Low"))</f>
        <v>Low</v>
      </c>
    </row>
    <row r="73" spans="1:19" x14ac:dyDescent="0.3">
      <c r="A73" t="s">
        <v>208</v>
      </c>
      <c r="B73" s="1">
        <v>45232</v>
      </c>
      <c r="C73" t="s">
        <v>55</v>
      </c>
      <c r="D73" t="s">
        <v>56</v>
      </c>
      <c r="E73" t="s">
        <v>15</v>
      </c>
      <c r="F73" t="s">
        <v>131</v>
      </c>
      <c r="G73" t="s">
        <v>17</v>
      </c>
      <c r="H73" t="s">
        <v>196</v>
      </c>
      <c r="I73">
        <v>1</v>
      </c>
      <c r="J73" s="8">
        <v>26600</v>
      </c>
      <c r="K73">
        <v>20</v>
      </c>
      <c r="L73" t="s">
        <v>103</v>
      </c>
      <c r="M73" s="5">
        <f>Cleaned_Data[[#This Row],[Quantity]]*Cleaned_Data[[#This Row],[Unit_Price]]</f>
        <v>26600</v>
      </c>
      <c r="N73" s="7">
        <f>Cleaned_Data[[#This Row],[Total_sales]]*(Cleaned_Data[[#This Row],[Discount_Percent]]/100)</f>
        <v>5320</v>
      </c>
      <c r="O73" s="7">
        <f>Cleaned_Data[[#This Row],[Total_sales]]-Cleaned_Data[[#This Row],[Discount_Amount]]</f>
        <v>21280</v>
      </c>
      <c r="P73" t="str">
        <f>TEXT(Cleaned_Data[[#This Row],[Order_Date]],"MMM-YYYY")</f>
        <v>Nov-2023</v>
      </c>
      <c r="Q73" t="str">
        <f>"Q"&amp;ROUNDUP(MONTH(Cleaned_Data[[#This Row],[Order_Date]])/3,0)&amp;"-2023"</f>
        <v>Q4-2023</v>
      </c>
      <c r="R73" t="str">
        <f>TEXT(Cleaned_Data[[#This Row],[Order_Date]],"DDD")</f>
        <v>Thu</v>
      </c>
      <c r="S73" t="str">
        <f>IF(Cleaned_Data[[#This Row],[Net_Sales]]&gt;=100000,"High",IF(Cleaned_Data[[#This Row],[Net_Sales]]&gt;=50000,"Medium","Low"))</f>
        <v>Low</v>
      </c>
    </row>
    <row r="74" spans="1:19" x14ac:dyDescent="0.3">
      <c r="A74" t="s">
        <v>209</v>
      </c>
      <c r="B74" s="1">
        <v>45262</v>
      </c>
      <c r="C74" t="s">
        <v>210</v>
      </c>
      <c r="D74" t="s">
        <v>211</v>
      </c>
      <c r="E74" t="s">
        <v>23</v>
      </c>
      <c r="F74" t="s">
        <v>51</v>
      </c>
      <c r="G74" t="s">
        <v>25</v>
      </c>
      <c r="H74" t="s">
        <v>212</v>
      </c>
      <c r="I74">
        <v>2</v>
      </c>
      <c r="J74" s="8">
        <v>1200</v>
      </c>
      <c r="K74">
        <v>25</v>
      </c>
      <c r="L74" t="s">
        <v>73</v>
      </c>
      <c r="M74" s="5">
        <f>Cleaned_Data[[#This Row],[Quantity]]*Cleaned_Data[[#This Row],[Unit_Price]]</f>
        <v>2400</v>
      </c>
      <c r="N74" s="7">
        <f>Cleaned_Data[[#This Row],[Total_sales]]*(Cleaned_Data[[#This Row],[Discount_Percent]]/100)</f>
        <v>600</v>
      </c>
      <c r="O74" s="7">
        <f>Cleaned_Data[[#This Row],[Total_sales]]-Cleaned_Data[[#This Row],[Discount_Amount]]</f>
        <v>1800</v>
      </c>
      <c r="P74" t="str">
        <f>TEXT(Cleaned_Data[[#This Row],[Order_Date]],"MMM-YYYY")</f>
        <v>Dec-2023</v>
      </c>
      <c r="Q74" t="str">
        <f>"Q"&amp;ROUNDUP(MONTH(Cleaned_Data[[#This Row],[Order_Date]])/3,0)&amp;"-2023"</f>
        <v>Q4-2023</v>
      </c>
      <c r="R74" t="str">
        <f>TEXT(Cleaned_Data[[#This Row],[Order_Date]],"DDD")</f>
        <v>Sat</v>
      </c>
      <c r="S74" t="str">
        <f>IF(Cleaned_Data[[#This Row],[Net_Sales]]&gt;=100000,"High",IF(Cleaned_Data[[#This Row],[Net_Sales]]&gt;=50000,"Medium","Low"))</f>
        <v>Low</v>
      </c>
    </row>
    <row r="75" spans="1:19" x14ac:dyDescent="0.3">
      <c r="A75" t="s">
        <v>213</v>
      </c>
      <c r="B75" s="1">
        <v>45262</v>
      </c>
      <c r="C75" t="s">
        <v>122</v>
      </c>
      <c r="D75" t="s">
        <v>123</v>
      </c>
      <c r="E75" t="s">
        <v>66</v>
      </c>
      <c r="F75" t="s">
        <v>72</v>
      </c>
      <c r="G75" t="s">
        <v>25</v>
      </c>
      <c r="H75" t="s">
        <v>108</v>
      </c>
      <c r="I75">
        <v>2</v>
      </c>
      <c r="J75" s="8">
        <v>2100</v>
      </c>
      <c r="K75">
        <v>15</v>
      </c>
      <c r="L75" t="s">
        <v>53</v>
      </c>
      <c r="M75" s="5">
        <f>Cleaned_Data[[#This Row],[Quantity]]*Cleaned_Data[[#This Row],[Unit_Price]]</f>
        <v>4200</v>
      </c>
      <c r="N75" s="7">
        <f>Cleaned_Data[[#This Row],[Total_sales]]*(Cleaned_Data[[#This Row],[Discount_Percent]]/100)</f>
        <v>630</v>
      </c>
      <c r="O75" s="7">
        <f>Cleaned_Data[[#This Row],[Total_sales]]-Cleaned_Data[[#This Row],[Discount_Amount]]</f>
        <v>3570</v>
      </c>
      <c r="P75" t="str">
        <f>TEXT(Cleaned_Data[[#This Row],[Order_Date]],"MMM-YYYY")</f>
        <v>Dec-2023</v>
      </c>
      <c r="Q75" t="str">
        <f>"Q"&amp;ROUNDUP(MONTH(Cleaned_Data[[#This Row],[Order_Date]])/3,0)&amp;"-2023"</f>
        <v>Q4-2023</v>
      </c>
      <c r="R75" t="str">
        <f>TEXT(Cleaned_Data[[#This Row],[Order_Date]],"DDD")</f>
        <v>Sat</v>
      </c>
      <c r="S75" t="str">
        <f>IF(Cleaned_Data[[#This Row],[Net_Sales]]&gt;=100000,"High",IF(Cleaned_Data[[#This Row],[Net_Sales]]&gt;=50000,"Medium","Low"))</f>
        <v>Low</v>
      </c>
    </row>
    <row r="76" spans="1:19" x14ac:dyDescent="0.3">
      <c r="A76" t="s">
        <v>214</v>
      </c>
      <c r="B76" s="1">
        <v>45262</v>
      </c>
      <c r="C76" t="s">
        <v>158</v>
      </c>
      <c r="D76" t="s">
        <v>159</v>
      </c>
      <c r="E76" t="s">
        <v>66</v>
      </c>
      <c r="F76" t="s">
        <v>92</v>
      </c>
      <c r="G76" t="s">
        <v>17</v>
      </c>
      <c r="H76" t="s">
        <v>196</v>
      </c>
      <c r="I76">
        <v>1</v>
      </c>
      <c r="J76" s="8">
        <v>21600</v>
      </c>
      <c r="K76">
        <v>5</v>
      </c>
      <c r="L76" t="s">
        <v>62</v>
      </c>
      <c r="M76" s="5">
        <f>Cleaned_Data[[#This Row],[Quantity]]*Cleaned_Data[[#This Row],[Unit_Price]]</f>
        <v>21600</v>
      </c>
      <c r="N76" s="7">
        <f>Cleaned_Data[[#This Row],[Total_sales]]*(Cleaned_Data[[#This Row],[Discount_Percent]]/100)</f>
        <v>1080</v>
      </c>
      <c r="O76" s="7">
        <f>Cleaned_Data[[#This Row],[Total_sales]]-Cleaned_Data[[#This Row],[Discount_Amount]]</f>
        <v>20520</v>
      </c>
      <c r="P76" t="str">
        <f>TEXT(Cleaned_Data[[#This Row],[Order_Date]],"MMM-YYYY")</f>
        <v>Dec-2023</v>
      </c>
      <c r="Q76" t="str">
        <f>"Q"&amp;ROUNDUP(MONTH(Cleaned_Data[[#This Row],[Order_Date]])/3,0)&amp;"-2023"</f>
        <v>Q4-2023</v>
      </c>
      <c r="R76" t="str">
        <f>TEXT(Cleaned_Data[[#This Row],[Order_Date]],"DDD")</f>
        <v>Sat</v>
      </c>
      <c r="S76" t="str">
        <f>IF(Cleaned_Data[[#This Row],[Net_Sales]]&gt;=100000,"High",IF(Cleaned_Data[[#This Row],[Net_Sales]]&gt;=50000,"Medium","Low"))</f>
        <v>Low</v>
      </c>
    </row>
    <row r="77" spans="1:19" x14ac:dyDescent="0.3">
      <c r="A77" t="s">
        <v>215</v>
      </c>
      <c r="B77" s="1">
        <v>45262</v>
      </c>
      <c r="C77" t="s">
        <v>29</v>
      </c>
      <c r="D77" t="s">
        <v>30</v>
      </c>
      <c r="E77" t="s">
        <v>15</v>
      </c>
      <c r="F77" t="s">
        <v>119</v>
      </c>
      <c r="G77" t="s">
        <v>25</v>
      </c>
      <c r="H77" t="s">
        <v>32</v>
      </c>
      <c r="I77">
        <v>2</v>
      </c>
      <c r="J77" s="8">
        <v>2300</v>
      </c>
      <c r="K77">
        <v>25</v>
      </c>
      <c r="L77" t="s">
        <v>53</v>
      </c>
      <c r="M77" s="5">
        <f>Cleaned_Data[[#This Row],[Quantity]]*Cleaned_Data[[#This Row],[Unit_Price]]</f>
        <v>4600</v>
      </c>
      <c r="N77" s="7">
        <f>Cleaned_Data[[#This Row],[Total_sales]]*(Cleaned_Data[[#This Row],[Discount_Percent]]/100)</f>
        <v>1150</v>
      </c>
      <c r="O77" s="7">
        <f>Cleaned_Data[[#This Row],[Total_sales]]-Cleaned_Data[[#This Row],[Discount_Amount]]</f>
        <v>3450</v>
      </c>
      <c r="P77" t="str">
        <f>TEXT(Cleaned_Data[[#This Row],[Order_Date]],"MMM-YYYY")</f>
        <v>Dec-2023</v>
      </c>
      <c r="Q77" t="str">
        <f>"Q"&amp;ROUNDUP(MONTH(Cleaned_Data[[#This Row],[Order_Date]])/3,0)&amp;"-2023"</f>
        <v>Q4-2023</v>
      </c>
      <c r="R77" t="str">
        <f>TEXT(Cleaned_Data[[#This Row],[Order_Date]],"DDD")</f>
        <v>Sat</v>
      </c>
      <c r="S77" t="str">
        <f>IF(Cleaned_Data[[#This Row],[Net_Sales]]&gt;=100000,"High",IF(Cleaned_Data[[#This Row],[Net_Sales]]&gt;=50000,"Medium","Low"))</f>
        <v>Low</v>
      </c>
    </row>
    <row r="78" spans="1:19" x14ac:dyDescent="0.3">
      <c r="A78" t="s">
        <v>216</v>
      </c>
      <c r="B78" s="1">
        <v>45262</v>
      </c>
      <c r="C78" t="s">
        <v>35</v>
      </c>
      <c r="D78" t="s">
        <v>36</v>
      </c>
      <c r="E78" t="s">
        <v>23</v>
      </c>
      <c r="F78" t="s">
        <v>24</v>
      </c>
      <c r="G78" t="s">
        <v>25</v>
      </c>
      <c r="H78" t="s">
        <v>32</v>
      </c>
      <c r="I78">
        <v>2</v>
      </c>
      <c r="J78" s="8">
        <v>3000</v>
      </c>
      <c r="K78">
        <v>0</v>
      </c>
      <c r="L78" t="s">
        <v>73</v>
      </c>
      <c r="M78" s="5">
        <f>Cleaned_Data[[#This Row],[Quantity]]*Cleaned_Data[[#This Row],[Unit_Price]]</f>
        <v>6000</v>
      </c>
      <c r="N78" s="7">
        <f>Cleaned_Data[[#This Row],[Total_sales]]*(Cleaned_Data[[#This Row],[Discount_Percent]]/100)</f>
        <v>0</v>
      </c>
      <c r="O78" s="7">
        <f>Cleaned_Data[[#This Row],[Total_sales]]-Cleaned_Data[[#This Row],[Discount_Amount]]</f>
        <v>6000</v>
      </c>
      <c r="P78" t="str">
        <f>TEXT(Cleaned_Data[[#This Row],[Order_Date]],"MMM-YYYY")</f>
        <v>Dec-2023</v>
      </c>
      <c r="Q78" t="str">
        <f>"Q"&amp;ROUNDUP(MONTH(Cleaned_Data[[#This Row],[Order_Date]])/3,0)&amp;"-2023"</f>
        <v>Q4-2023</v>
      </c>
      <c r="R78" t="str">
        <f>TEXT(Cleaned_Data[[#This Row],[Order_Date]],"DDD")</f>
        <v>Sat</v>
      </c>
      <c r="S78" t="str">
        <f>IF(Cleaned_Data[[#This Row],[Net_Sales]]&gt;=100000,"High",IF(Cleaned_Data[[#This Row],[Net_Sales]]&gt;=50000,"Medium","Low"))</f>
        <v>Low</v>
      </c>
    </row>
    <row r="79" spans="1:19" x14ac:dyDescent="0.3">
      <c r="A79" t="s">
        <v>217</v>
      </c>
      <c r="B79" s="1">
        <v>45262</v>
      </c>
      <c r="C79" t="s">
        <v>183</v>
      </c>
      <c r="D79" t="s">
        <v>27</v>
      </c>
      <c r="E79" t="s">
        <v>23</v>
      </c>
      <c r="F79" t="s">
        <v>24</v>
      </c>
      <c r="G79" t="s">
        <v>25</v>
      </c>
      <c r="H79" t="s">
        <v>124</v>
      </c>
      <c r="I79">
        <v>3</v>
      </c>
      <c r="J79" s="8">
        <v>1800</v>
      </c>
      <c r="K79">
        <v>10</v>
      </c>
      <c r="L79" t="s">
        <v>103</v>
      </c>
      <c r="M79" s="5">
        <f>Cleaned_Data[[#This Row],[Quantity]]*Cleaned_Data[[#This Row],[Unit_Price]]</f>
        <v>5400</v>
      </c>
      <c r="N79" s="7">
        <f>Cleaned_Data[[#This Row],[Total_sales]]*(Cleaned_Data[[#This Row],[Discount_Percent]]/100)</f>
        <v>540</v>
      </c>
      <c r="O79" s="7">
        <f>Cleaned_Data[[#This Row],[Total_sales]]-Cleaned_Data[[#This Row],[Discount_Amount]]</f>
        <v>4860</v>
      </c>
      <c r="P79" t="str">
        <f>TEXT(Cleaned_Data[[#This Row],[Order_Date]],"MMM-YYYY")</f>
        <v>Dec-2023</v>
      </c>
      <c r="Q79" t="str">
        <f>"Q"&amp;ROUNDUP(MONTH(Cleaned_Data[[#This Row],[Order_Date]])/3,0)&amp;"-2023"</f>
        <v>Q4-2023</v>
      </c>
      <c r="R79" t="str">
        <f>TEXT(Cleaned_Data[[#This Row],[Order_Date]],"DDD")</f>
        <v>Sat</v>
      </c>
      <c r="S79" t="str">
        <f>IF(Cleaned_Data[[#This Row],[Net_Sales]]&gt;=100000,"High",IF(Cleaned_Data[[#This Row],[Net_Sales]]&gt;=50000,"Medium","Low"))</f>
        <v>Low</v>
      </c>
    </row>
    <row r="80" spans="1:19" x14ac:dyDescent="0.3">
      <c r="A80" t="s">
        <v>218</v>
      </c>
      <c r="B80" s="1">
        <v>45262</v>
      </c>
      <c r="C80" t="s">
        <v>59</v>
      </c>
      <c r="D80" t="s">
        <v>60</v>
      </c>
      <c r="E80" t="s">
        <v>23</v>
      </c>
      <c r="F80" t="s">
        <v>51</v>
      </c>
      <c r="G80" t="s">
        <v>45</v>
      </c>
      <c r="H80" t="s">
        <v>46</v>
      </c>
      <c r="I80">
        <v>1</v>
      </c>
      <c r="J80" s="8">
        <v>45000</v>
      </c>
      <c r="K80">
        <v>5</v>
      </c>
      <c r="L80" t="s">
        <v>53</v>
      </c>
      <c r="M80" s="5">
        <f>Cleaned_Data[[#This Row],[Quantity]]*Cleaned_Data[[#This Row],[Unit_Price]]</f>
        <v>45000</v>
      </c>
      <c r="N80" s="7">
        <f>Cleaned_Data[[#This Row],[Total_sales]]*(Cleaned_Data[[#This Row],[Discount_Percent]]/100)</f>
        <v>2250</v>
      </c>
      <c r="O80" s="7">
        <f>Cleaned_Data[[#This Row],[Total_sales]]-Cleaned_Data[[#This Row],[Discount_Amount]]</f>
        <v>42750</v>
      </c>
      <c r="P80" t="str">
        <f>TEXT(Cleaned_Data[[#This Row],[Order_Date]],"MMM-YYYY")</f>
        <v>Dec-2023</v>
      </c>
      <c r="Q80" t="str">
        <f>"Q"&amp;ROUNDUP(MONTH(Cleaned_Data[[#This Row],[Order_Date]])/3,0)&amp;"-2023"</f>
        <v>Q4-2023</v>
      </c>
      <c r="R80" t="str">
        <f>TEXT(Cleaned_Data[[#This Row],[Order_Date]],"DDD")</f>
        <v>Sat</v>
      </c>
      <c r="S80" t="str">
        <f>IF(Cleaned_Data[[#This Row],[Net_Sales]]&gt;=100000,"High",IF(Cleaned_Data[[#This Row],[Net_Sales]]&gt;=50000,"Medium","Low"))</f>
        <v>Low</v>
      </c>
    </row>
    <row r="81" spans="1:19" x14ac:dyDescent="0.3">
      <c r="A81" t="s">
        <v>219</v>
      </c>
      <c r="B81" s="1">
        <v>44929</v>
      </c>
      <c r="C81" t="s">
        <v>188</v>
      </c>
      <c r="D81" t="s">
        <v>189</v>
      </c>
      <c r="E81" t="s">
        <v>81</v>
      </c>
      <c r="F81" t="s">
        <v>117</v>
      </c>
      <c r="G81" t="s">
        <v>17</v>
      </c>
      <c r="H81" t="s">
        <v>77</v>
      </c>
      <c r="I81">
        <v>1</v>
      </c>
      <c r="J81" s="8">
        <v>50900</v>
      </c>
      <c r="K81">
        <v>5</v>
      </c>
      <c r="L81" t="s">
        <v>62</v>
      </c>
      <c r="M81" s="5">
        <f>Cleaned_Data[[#This Row],[Quantity]]*Cleaned_Data[[#This Row],[Unit_Price]]</f>
        <v>50900</v>
      </c>
      <c r="N81" s="7">
        <f>Cleaned_Data[[#This Row],[Total_sales]]*(Cleaned_Data[[#This Row],[Discount_Percent]]/100)</f>
        <v>2545</v>
      </c>
      <c r="O81" s="7">
        <f>Cleaned_Data[[#This Row],[Total_sales]]-Cleaned_Data[[#This Row],[Discount_Amount]]</f>
        <v>48355</v>
      </c>
      <c r="P81" t="str">
        <f>TEXT(Cleaned_Data[[#This Row],[Order_Date]],"MMM-YYYY")</f>
        <v>Jan-2023</v>
      </c>
      <c r="Q81" t="str">
        <f>"Q"&amp;ROUNDUP(MONTH(Cleaned_Data[[#This Row],[Order_Date]])/3,0)&amp;"-2023"</f>
        <v>Q1-2023</v>
      </c>
      <c r="R81" t="str">
        <f>TEXT(Cleaned_Data[[#This Row],[Order_Date]],"DDD")</f>
        <v>Tue</v>
      </c>
      <c r="S81" t="str">
        <f>IF(Cleaned_Data[[#This Row],[Net_Sales]]&gt;=100000,"High",IF(Cleaned_Data[[#This Row],[Net_Sales]]&gt;=50000,"Medium","Low"))</f>
        <v>Low</v>
      </c>
    </row>
    <row r="82" spans="1:19" x14ac:dyDescent="0.3">
      <c r="A82" t="s">
        <v>220</v>
      </c>
      <c r="B82" s="1">
        <v>44929</v>
      </c>
      <c r="C82" t="s">
        <v>185</v>
      </c>
      <c r="D82" t="s">
        <v>186</v>
      </c>
      <c r="E82" t="s">
        <v>66</v>
      </c>
      <c r="F82" t="s">
        <v>92</v>
      </c>
      <c r="G82" t="s">
        <v>17</v>
      </c>
      <c r="H82" t="s">
        <v>196</v>
      </c>
      <c r="I82">
        <v>1</v>
      </c>
      <c r="J82" s="8">
        <v>29800</v>
      </c>
      <c r="K82">
        <v>25</v>
      </c>
      <c r="L82" t="s">
        <v>73</v>
      </c>
      <c r="M82" s="5">
        <f>Cleaned_Data[[#This Row],[Quantity]]*Cleaned_Data[[#This Row],[Unit_Price]]</f>
        <v>29800</v>
      </c>
      <c r="N82" s="7">
        <f>Cleaned_Data[[#This Row],[Total_sales]]*(Cleaned_Data[[#This Row],[Discount_Percent]]/100)</f>
        <v>7450</v>
      </c>
      <c r="O82" s="7">
        <f>Cleaned_Data[[#This Row],[Total_sales]]-Cleaned_Data[[#This Row],[Discount_Amount]]</f>
        <v>22350</v>
      </c>
      <c r="P82" t="str">
        <f>TEXT(Cleaned_Data[[#This Row],[Order_Date]],"MMM-YYYY")</f>
        <v>Jan-2023</v>
      </c>
      <c r="Q82" t="str">
        <f>"Q"&amp;ROUNDUP(MONTH(Cleaned_Data[[#This Row],[Order_Date]])/3,0)&amp;"-2023"</f>
        <v>Q1-2023</v>
      </c>
      <c r="R82" t="str">
        <f>TEXT(Cleaned_Data[[#This Row],[Order_Date]],"DDD")</f>
        <v>Tue</v>
      </c>
      <c r="S82" t="str">
        <f>IF(Cleaned_Data[[#This Row],[Net_Sales]]&gt;=100000,"High",IF(Cleaned_Data[[#This Row],[Net_Sales]]&gt;=50000,"Medium","Low"))</f>
        <v>Low</v>
      </c>
    </row>
    <row r="83" spans="1:19" x14ac:dyDescent="0.3">
      <c r="A83" t="s">
        <v>221</v>
      </c>
      <c r="B83" s="1">
        <v>44929</v>
      </c>
      <c r="C83" t="s">
        <v>75</v>
      </c>
      <c r="D83" t="s">
        <v>76</v>
      </c>
      <c r="E83" t="s">
        <v>81</v>
      </c>
      <c r="F83" t="s">
        <v>110</v>
      </c>
      <c r="G83" t="s">
        <v>45</v>
      </c>
      <c r="H83" t="s">
        <v>156</v>
      </c>
      <c r="I83">
        <v>1</v>
      </c>
      <c r="J83" s="8">
        <v>49700</v>
      </c>
      <c r="K83">
        <v>10</v>
      </c>
      <c r="L83" t="s">
        <v>103</v>
      </c>
      <c r="M83" s="5">
        <f>Cleaned_Data[[#This Row],[Quantity]]*Cleaned_Data[[#This Row],[Unit_Price]]</f>
        <v>49700</v>
      </c>
      <c r="N83" s="7">
        <f>Cleaned_Data[[#This Row],[Total_sales]]*(Cleaned_Data[[#This Row],[Discount_Percent]]/100)</f>
        <v>4970</v>
      </c>
      <c r="O83" s="7">
        <f>Cleaned_Data[[#This Row],[Total_sales]]-Cleaned_Data[[#This Row],[Discount_Amount]]</f>
        <v>44730</v>
      </c>
      <c r="P83" t="str">
        <f>TEXT(Cleaned_Data[[#This Row],[Order_Date]],"MMM-YYYY")</f>
        <v>Jan-2023</v>
      </c>
      <c r="Q83" t="str">
        <f>"Q"&amp;ROUNDUP(MONTH(Cleaned_Data[[#This Row],[Order_Date]])/3,0)&amp;"-2023"</f>
        <v>Q1-2023</v>
      </c>
      <c r="R83" t="str">
        <f>TEXT(Cleaned_Data[[#This Row],[Order_Date]],"DDD")</f>
        <v>Tue</v>
      </c>
      <c r="S83" t="str">
        <f>IF(Cleaned_Data[[#This Row],[Net_Sales]]&gt;=100000,"High",IF(Cleaned_Data[[#This Row],[Net_Sales]]&gt;=50000,"Medium","Low"))</f>
        <v>Low</v>
      </c>
    </row>
    <row r="84" spans="1:19" x14ac:dyDescent="0.3">
      <c r="A84" t="s">
        <v>222</v>
      </c>
      <c r="B84" s="1">
        <v>44929</v>
      </c>
      <c r="C84" t="s">
        <v>55</v>
      </c>
      <c r="D84" t="s">
        <v>56</v>
      </c>
      <c r="E84" t="s">
        <v>81</v>
      </c>
      <c r="F84" t="s">
        <v>82</v>
      </c>
      <c r="G84" t="s">
        <v>39</v>
      </c>
      <c r="H84" t="s">
        <v>102</v>
      </c>
      <c r="I84">
        <v>1</v>
      </c>
      <c r="J84" s="8">
        <v>26200</v>
      </c>
      <c r="K84">
        <v>10</v>
      </c>
      <c r="L84" t="s">
        <v>103</v>
      </c>
      <c r="M84" s="5">
        <f>Cleaned_Data[[#This Row],[Quantity]]*Cleaned_Data[[#This Row],[Unit_Price]]</f>
        <v>26200</v>
      </c>
      <c r="N84" s="7">
        <f>Cleaned_Data[[#This Row],[Total_sales]]*(Cleaned_Data[[#This Row],[Discount_Percent]]/100)</f>
        <v>2620</v>
      </c>
      <c r="O84" s="7">
        <f>Cleaned_Data[[#This Row],[Total_sales]]-Cleaned_Data[[#This Row],[Discount_Amount]]</f>
        <v>23580</v>
      </c>
      <c r="P84" t="str">
        <f>TEXT(Cleaned_Data[[#This Row],[Order_Date]],"MMM-YYYY")</f>
        <v>Jan-2023</v>
      </c>
      <c r="Q84" t="str">
        <f>"Q"&amp;ROUNDUP(MONTH(Cleaned_Data[[#This Row],[Order_Date]])/3,0)&amp;"-2023"</f>
        <v>Q1-2023</v>
      </c>
      <c r="R84" t="str">
        <f>TEXT(Cleaned_Data[[#This Row],[Order_Date]],"DDD")</f>
        <v>Tue</v>
      </c>
      <c r="S84" t="str">
        <f>IF(Cleaned_Data[[#This Row],[Net_Sales]]&gt;=100000,"High",IF(Cleaned_Data[[#This Row],[Net_Sales]]&gt;=50000,"Medium","Low"))</f>
        <v>Low</v>
      </c>
    </row>
    <row r="85" spans="1:19" x14ac:dyDescent="0.3">
      <c r="A85" t="s">
        <v>223</v>
      </c>
      <c r="B85" s="1">
        <v>44929</v>
      </c>
      <c r="C85" t="s">
        <v>70</v>
      </c>
      <c r="D85" t="s">
        <v>71</v>
      </c>
      <c r="E85" t="s">
        <v>81</v>
      </c>
      <c r="F85" t="s">
        <v>110</v>
      </c>
      <c r="G85" t="s">
        <v>17</v>
      </c>
      <c r="H85" t="s">
        <v>88</v>
      </c>
      <c r="I85">
        <v>1</v>
      </c>
      <c r="J85" s="8">
        <v>23100</v>
      </c>
      <c r="K85">
        <v>0</v>
      </c>
      <c r="L85" t="s">
        <v>103</v>
      </c>
      <c r="M85" s="5">
        <f>Cleaned_Data[[#This Row],[Quantity]]*Cleaned_Data[[#This Row],[Unit_Price]]</f>
        <v>23100</v>
      </c>
      <c r="N85" s="7">
        <f>Cleaned_Data[[#This Row],[Total_sales]]*(Cleaned_Data[[#This Row],[Discount_Percent]]/100)</f>
        <v>0</v>
      </c>
      <c r="O85" s="7">
        <f>Cleaned_Data[[#This Row],[Total_sales]]-Cleaned_Data[[#This Row],[Discount_Amount]]</f>
        <v>23100</v>
      </c>
      <c r="P85" t="str">
        <f>TEXT(Cleaned_Data[[#This Row],[Order_Date]],"MMM-YYYY")</f>
        <v>Jan-2023</v>
      </c>
      <c r="Q85" t="str">
        <f>"Q"&amp;ROUNDUP(MONTH(Cleaned_Data[[#This Row],[Order_Date]])/3,0)&amp;"-2023"</f>
        <v>Q1-2023</v>
      </c>
      <c r="R85" t="str">
        <f>TEXT(Cleaned_Data[[#This Row],[Order_Date]],"DDD")</f>
        <v>Tue</v>
      </c>
      <c r="S85" t="str">
        <f>IF(Cleaned_Data[[#This Row],[Net_Sales]]&gt;=100000,"High",IF(Cleaned_Data[[#This Row],[Net_Sales]]&gt;=50000,"Medium","Low"))</f>
        <v>Low</v>
      </c>
    </row>
    <row r="86" spans="1:19" x14ac:dyDescent="0.3">
      <c r="A86" t="s">
        <v>224</v>
      </c>
      <c r="B86" s="1">
        <v>44929</v>
      </c>
      <c r="C86" t="s">
        <v>35</v>
      </c>
      <c r="D86" t="s">
        <v>36</v>
      </c>
      <c r="E86" t="s">
        <v>23</v>
      </c>
      <c r="F86" t="s">
        <v>51</v>
      </c>
      <c r="G86" t="s">
        <v>45</v>
      </c>
      <c r="H86" t="s">
        <v>207</v>
      </c>
      <c r="I86">
        <v>1</v>
      </c>
      <c r="J86" s="8">
        <v>20800</v>
      </c>
      <c r="K86">
        <v>10</v>
      </c>
      <c r="L86" t="s">
        <v>33</v>
      </c>
      <c r="M86" s="5">
        <f>Cleaned_Data[[#This Row],[Quantity]]*Cleaned_Data[[#This Row],[Unit_Price]]</f>
        <v>20800</v>
      </c>
      <c r="N86" s="7">
        <f>Cleaned_Data[[#This Row],[Total_sales]]*(Cleaned_Data[[#This Row],[Discount_Percent]]/100)</f>
        <v>2080</v>
      </c>
      <c r="O86" s="7">
        <f>Cleaned_Data[[#This Row],[Total_sales]]-Cleaned_Data[[#This Row],[Discount_Amount]]</f>
        <v>18720</v>
      </c>
      <c r="P86" t="str">
        <f>TEXT(Cleaned_Data[[#This Row],[Order_Date]],"MMM-YYYY")</f>
        <v>Jan-2023</v>
      </c>
      <c r="Q86" t="str">
        <f>"Q"&amp;ROUNDUP(MONTH(Cleaned_Data[[#This Row],[Order_Date]])/3,0)&amp;"-2023"</f>
        <v>Q1-2023</v>
      </c>
      <c r="R86" t="str">
        <f>TEXT(Cleaned_Data[[#This Row],[Order_Date]],"DDD")</f>
        <v>Tue</v>
      </c>
      <c r="S86" t="str">
        <f>IF(Cleaned_Data[[#This Row],[Net_Sales]]&gt;=100000,"High",IF(Cleaned_Data[[#This Row],[Net_Sales]]&gt;=50000,"Medium","Low"))</f>
        <v>Low</v>
      </c>
    </row>
    <row r="87" spans="1:19" x14ac:dyDescent="0.3">
      <c r="A87" t="s">
        <v>225</v>
      </c>
      <c r="B87" s="1">
        <v>44960</v>
      </c>
      <c r="C87" t="s">
        <v>59</v>
      </c>
      <c r="D87" t="s">
        <v>60</v>
      </c>
      <c r="E87" t="s">
        <v>81</v>
      </c>
      <c r="F87" t="s">
        <v>110</v>
      </c>
      <c r="G87" t="s">
        <v>25</v>
      </c>
      <c r="H87" t="s">
        <v>108</v>
      </c>
      <c r="I87">
        <v>2</v>
      </c>
      <c r="J87" s="8">
        <v>1000</v>
      </c>
      <c r="K87">
        <v>10</v>
      </c>
      <c r="L87" t="s">
        <v>19</v>
      </c>
      <c r="M87" s="5">
        <f>Cleaned_Data[[#This Row],[Quantity]]*Cleaned_Data[[#This Row],[Unit_Price]]</f>
        <v>2000</v>
      </c>
      <c r="N87" s="7">
        <f>Cleaned_Data[[#This Row],[Total_sales]]*(Cleaned_Data[[#This Row],[Discount_Percent]]/100)</f>
        <v>200</v>
      </c>
      <c r="O87" s="7">
        <f>Cleaned_Data[[#This Row],[Total_sales]]-Cleaned_Data[[#This Row],[Discount_Amount]]</f>
        <v>1800</v>
      </c>
      <c r="P87" t="str">
        <f>TEXT(Cleaned_Data[[#This Row],[Order_Date]],"MMM-YYYY")</f>
        <v>Feb-2023</v>
      </c>
      <c r="Q87" t="str">
        <f>"Q"&amp;ROUNDUP(MONTH(Cleaned_Data[[#This Row],[Order_Date]])/3,0)&amp;"-2023"</f>
        <v>Q1-2023</v>
      </c>
      <c r="R87" t="str">
        <f>TEXT(Cleaned_Data[[#This Row],[Order_Date]],"DDD")</f>
        <v>Fri</v>
      </c>
      <c r="S87" t="str">
        <f>IF(Cleaned_Data[[#This Row],[Net_Sales]]&gt;=100000,"High",IF(Cleaned_Data[[#This Row],[Net_Sales]]&gt;=50000,"Medium","Low"))</f>
        <v>Low</v>
      </c>
    </row>
    <row r="88" spans="1:19" x14ac:dyDescent="0.3">
      <c r="A88" t="s">
        <v>226</v>
      </c>
      <c r="B88" s="1">
        <v>44960</v>
      </c>
      <c r="C88" t="s">
        <v>55</v>
      </c>
      <c r="D88" t="s">
        <v>56</v>
      </c>
      <c r="E88" t="s">
        <v>37</v>
      </c>
      <c r="F88" t="s">
        <v>61</v>
      </c>
      <c r="G88" t="s">
        <v>17</v>
      </c>
      <c r="H88" t="s">
        <v>77</v>
      </c>
      <c r="I88">
        <v>1</v>
      </c>
      <c r="J88" s="8">
        <v>21500</v>
      </c>
      <c r="K88">
        <v>10</v>
      </c>
      <c r="L88" t="s">
        <v>62</v>
      </c>
      <c r="M88" s="5">
        <f>Cleaned_Data[[#This Row],[Quantity]]*Cleaned_Data[[#This Row],[Unit_Price]]</f>
        <v>21500</v>
      </c>
      <c r="N88" s="7">
        <f>Cleaned_Data[[#This Row],[Total_sales]]*(Cleaned_Data[[#This Row],[Discount_Percent]]/100)</f>
        <v>2150</v>
      </c>
      <c r="O88" s="7">
        <f>Cleaned_Data[[#This Row],[Total_sales]]-Cleaned_Data[[#This Row],[Discount_Amount]]</f>
        <v>19350</v>
      </c>
      <c r="P88" t="str">
        <f>TEXT(Cleaned_Data[[#This Row],[Order_Date]],"MMM-YYYY")</f>
        <v>Feb-2023</v>
      </c>
      <c r="Q88" t="str">
        <f>"Q"&amp;ROUNDUP(MONTH(Cleaned_Data[[#This Row],[Order_Date]])/3,0)&amp;"-2023"</f>
        <v>Q1-2023</v>
      </c>
      <c r="R88" t="str">
        <f>TEXT(Cleaned_Data[[#This Row],[Order_Date]],"DDD")</f>
        <v>Fri</v>
      </c>
      <c r="S88" t="str">
        <f>IF(Cleaned_Data[[#This Row],[Net_Sales]]&gt;=100000,"High",IF(Cleaned_Data[[#This Row],[Net_Sales]]&gt;=50000,"Medium","Low"))</f>
        <v>Low</v>
      </c>
    </row>
    <row r="89" spans="1:19" x14ac:dyDescent="0.3">
      <c r="A89" t="s">
        <v>227</v>
      </c>
      <c r="B89" s="1">
        <v>44960</v>
      </c>
      <c r="C89" t="s">
        <v>135</v>
      </c>
      <c r="D89" t="s">
        <v>136</v>
      </c>
      <c r="E89" t="s">
        <v>81</v>
      </c>
      <c r="F89" t="s">
        <v>110</v>
      </c>
      <c r="G89" t="s">
        <v>17</v>
      </c>
      <c r="H89" t="s">
        <v>18</v>
      </c>
      <c r="I89">
        <v>2</v>
      </c>
      <c r="J89" s="8">
        <v>36800</v>
      </c>
      <c r="K89">
        <v>25</v>
      </c>
      <c r="L89" t="s">
        <v>62</v>
      </c>
      <c r="M89" s="5">
        <f>Cleaned_Data[[#This Row],[Quantity]]*Cleaned_Data[[#This Row],[Unit_Price]]</f>
        <v>73600</v>
      </c>
      <c r="N89" s="7">
        <f>Cleaned_Data[[#This Row],[Total_sales]]*(Cleaned_Data[[#This Row],[Discount_Percent]]/100)</f>
        <v>18400</v>
      </c>
      <c r="O89" s="7">
        <f>Cleaned_Data[[#This Row],[Total_sales]]-Cleaned_Data[[#This Row],[Discount_Amount]]</f>
        <v>55200</v>
      </c>
      <c r="P89" t="str">
        <f>TEXT(Cleaned_Data[[#This Row],[Order_Date]],"MMM-YYYY")</f>
        <v>Feb-2023</v>
      </c>
      <c r="Q89" t="str">
        <f>"Q"&amp;ROUNDUP(MONTH(Cleaned_Data[[#This Row],[Order_Date]])/3,0)&amp;"-2023"</f>
        <v>Q1-2023</v>
      </c>
      <c r="R89" t="str">
        <f>TEXT(Cleaned_Data[[#This Row],[Order_Date]],"DDD")</f>
        <v>Fri</v>
      </c>
      <c r="S89" t="str">
        <f>IF(Cleaned_Data[[#This Row],[Net_Sales]]&gt;=100000,"High",IF(Cleaned_Data[[#This Row],[Net_Sales]]&gt;=50000,"Medium","Low"))</f>
        <v>Medium</v>
      </c>
    </row>
    <row r="90" spans="1:19" x14ac:dyDescent="0.3">
      <c r="A90" t="s">
        <v>228</v>
      </c>
      <c r="B90" s="1">
        <v>44988</v>
      </c>
      <c r="C90" t="s">
        <v>49</v>
      </c>
      <c r="D90" t="s">
        <v>50</v>
      </c>
      <c r="E90" t="s">
        <v>15</v>
      </c>
      <c r="F90" t="s">
        <v>119</v>
      </c>
      <c r="G90" t="s">
        <v>45</v>
      </c>
      <c r="H90" t="s">
        <v>207</v>
      </c>
      <c r="I90">
        <v>1</v>
      </c>
      <c r="J90" s="8">
        <v>50000</v>
      </c>
      <c r="K90">
        <v>0</v>
      </c>
      <c r="L90" t="s">
        <v>27</v>
      </c>
      <c r="M90" s="5">
        <f>Cleaned_Data[[#This Row],[Quantity]]*Cleaned_Data[[#This Row],[Unit_Price]]</f>
        <v>50000</v>
      </c>
      <c r="N90" s="7">
        <f>Cleaned_Data[[#This Row],[Total_sales]]*(Cleaned_Data[[#This Row],[Discount_Percent]]/100)</f>
        <v>0</v>
      </c>
      <c r="O90" s="7">
        <f>Cleaned_Data[[#This Row],[Total_sales]]-Cleaned_Data[[#This Row],[Discount_Amount]]</f>
        <v>50000</v>
      </c>
      <c r="P90" t="str">
        <f>TEXT(Cleaned_Data[[#This Row],[Order_Date]],"MMM-YYYY")</f>
        <v>Mar-2023</v>
      </c>
      <c r="Q90" t="str">
        <f>"Q"&amp;ROUNDUP(MONTH(Cleaned_Data[[#This Row],[Order_Date]])/3,0)&amp;"-2023"</f>
        <v>Q1-2023</v>
      </c>
      <c r="R90" t="str">
        <f>TEXT(Cleaned_Data[[#This Row],[Order_Date]],"DDD")</f>
        <v>Fri</v>
      </c>
      <c r="S90" t="str">
        <f>IF(Cleaned_Data[[#This Row],[Net_Sales]]&gt;=100000,"High",IF(Cleaned_Data[[#This Row],[Net_Sales]]&gt;=50000,"Medium","Low"))</f>
        <v>Medium</v>
      </c>
    </row>
    <row r="91" spans="1:19" x14ac:dyDescent="0.3">
      <c r="A91" t="s">
        <v>229</v>
      </c>
      <c r="B91" s="1">
        <v>44988</v>
      </c>
      <c r="C91" t="s">
        <v>75</v>
      </c>
      <c r="D91" t="s">
        <v>76</v>
      </c>
      <c r="E91" t="s">
        <v>66</v>
      </c>
      <c r="F91" t="s">
        <v>87</v>
      </c>
      <c r="G91" t="s">
        <v>17</v>
      </c>
      <c r="H91" t="s">
        <v>196</v>
      </c>
      <c r="I91">
        <v>1</v>
      </c>
      <c r="J91" s="8">
        <v>45900</v>
      </c>
      <c r="K91">
        <v>5</v>
      </c>
      <c r="L91" t="s">
        <v>103</v>
      </c>
      <c r="M91" s="5">
        <f>Cleaned_Data[[#This Row],[Quantity]]*Cleaned_Data[[#This Row],[Unit_Price]]</f>
        <v>45900</v>
      </c>
      <c r="N91" s="7">
        <f>Cleaned_Data[[#This Row],[Total_sales]]*(Cleaned_Data[[#This Row],[Discount_Percent]]/100)</f>
        <v>2295</v>
      </c>
      <c r="O91" s="7">
        <f>Cleaned_Data[[#This Row],[Total_sales]]-Cleaned_Data[[#This Row],[Discount_Amount]]</f>
        <v>43605</v>
      </c>
      <c r="P91" t="str">
        <f>TEXT(Cleaned_Data[[#This Row],[Order_Date]],"MMM-YYYY")</f>
        <v>Mar-2023</v>
      </c>
      <c r="Q91" t="str">
        <f>"Q"&amp;ROUNDUP(MONTH(Cleaned_Data[[#This Row],[Order_Date]])/3,0)&amp;"-2023"</f>
        <v>Q1-2023</v>
      </c>
      <c r="R91" t="str">
        <f>TEXT(Cleaned_Data[[#This Row],[Order_Date]],"DDD")</f>
        <v>Fri</v>
      </c>
      <c r="S91" t="str">
        <f>IF(Cleaned_Data[[#This Row],[Net_Sales]]&gt;=100000,"High",IF(Cleaned_Data[[#This Row],[Net_Sales]]&gt;=50000,"Medium","Low"))</f>
        <v>Low</v>
      </c>
    </row>
    <row r="92" spans="1:19" x14ac:dyDescent="0.3">
      <c r="A92" t="s">
        <v>230</v>
      </c>
      <c r="B92" s="1">
        <v>44988</v>
      </c>
      <c r="C92" t="s">
        <v>29</v>
      </c>
      <c r="D92" t="s">
        <v>30</v>
      </c>
      <c r="E92" t="s">
        <v>37</v>
      </c>
      <c r="F92" t="s">
        <v>61</v>
      </c>
      <c r="G92" t="s">
        <v>97</v>
      </c>
      <c r="H92" t="s">
        <v>154</v>
      </c>
      <c r="I92">
        <v>1</v>
      </c>
      <c r="J92" s="8">
        <v>47900</v>
      </c>
      <c r="K92">
        <v>0</v>
      </c>
      <c r="L92" t="s">
        <v>33</v>
      </c>
      <c r="M92" s="5">
        <f>Cleaned_Data[[#This Row],[Quantity]]*Cleaned_Data[[#This Row],[Unit_Price]]</f>
        <v>47900</v>
      </c>
      <c r="N92" s="7">
        <f>Cleaned_Data[[#This Row],[Total_sales]]*(Cleaned_Data[[#This Row],[Discount_Percent]]/100)</f>
        <v>0</v>
      </c>
      <c r="O92" s="7">
        <f>Cleaned_Data[[#This Row],[Total_sales]]-Cleaned_Data[[#This Row],[Discount_Amount]]</f>
        <v>47900</v>
      </c>
      <c r="P92" t="str">
        <f>TEXT(Cleaned_Data[[#This Row],[Order_Date]],"MMM-YYYY")</f>
        <v>Mar-2023</v>
      </c>
      <c r="Q92" t="str">
        <f>"Q"&amp;ROUNDUP(MONTH(Cleaned_Data[[#This Row],[Order_Date]])/3,0)&amp;"-2023"</f>
        <v>Q1-2023</v>
      </c>
      <c r="R92" t="str">
        <f>TEXT(Cleaned_Data[[#This Row],[Order_Date]],"DDD")</f>
        <v>Fri</v>
      </c>
      <c r="S92" t="str">
        <f>IF(Cleaned_Data[[#This Row],[Net_Sales]]&gt;=100000,"High",IF(Cleaned_Data[[#This Row],[Net_Sales]]&gt;=50000,"Medium","Low"))</f>
        <v>Low</v>
      </c>
    </row>
    <row r="93" spans="1:19" x14ac:dyDescent="0.3">
      <c r="A93" t="s">
        <v>231</v>
      </c>
      <c r="B93" s="1">
        <v>45019</v>
      </c>
      <c r="C93" t="s">
        <v>232</v>
      </c>
      <c r="D93" t="s">
        <v>233</v>
      </c>
      <c r="E93" t="s">
        <v>15</v>
      </c>
      <c r="F93" t="s">
        <v>128</v>
      </c>
      <c r="G93" t="s">
        <v>39</v>
      </c>
      <c r="H93" t="s">
        <v>57</v>
      </c>
      <c r="I93">
        <v>1</v>
      </c>
      <c r="J93" s="8">
        <v>19000</v>
      </c>
      <c r="K93">
        <v>0</v>
      </c>
      <c r="L93" t="s">
        <v>33</v>
      </c>
      <c r="M93" s="5">
        <f>Cleaned_Data[[#This Row],[Quantity]]*Cleaned_Data[[#This Row],[Unit_Price]]</f>
        <v>19000</v>
      </c>
      <c r="N93" s="7">
        <f>Cleaned_Data[[#This Row],[Total_sales]]*(Cleaned_Data[[#This Row],[Discount_Percent]]/100)</f>
        <v>0</v>
      </c>
      <c r="O93" s="7">
        <f>Cleaned_Data[[#This Row],[Total_sales]]-Cleaned_Data[[#This Row],[Discount_Amount]]</f>
        <v>19000</v>
      </c>
      <c r="P93" t="str">
        <f>TEXT(Cleaned_Data[[#This Row],[Order_Date]],"MMM-YYYY")</f>
        <v>Apr-2023</v>
      </c>
      <c r="Q93" t="str">
        <f>"Q"&amp;ROUNDUP(MONTH(Cleaned_Data[[#This Row],[Order_Date]])/3,0)&amp;"-2023"</f>
        <v>Q2-2023</v>
      </c>
      <c r="R93" t="str">
        <f>TEXT(Cleaned_Data[[#This Row],[Order_Date]],"DDD")</f>
        <v>Mon</v>
      </c>
      <c r="S93" t="str">
        <f>IF(Cleaned_Data[[#This Row],[Net_Sales]]&gt;=100000,"High",IF(Cleaned_Data[[#This Row],[Net_Sales]]&gt;=50000,"Medium","Low"))</f>
        <v>Low</v>
      </c>
    </row>
    <row r="94" spans="1:19" x14ac:dyDescent="0.3">
      <c r="A94" t="s">
        <v>234</v>
      </c>
      <c r="B94" s="1">
        <v>45019</v>
      </c>
      <c r="C94" t="s">
        <v>151</v>
      </c>
      <c r="D94" t="s">
        <v>152</v>
      </c>
      <c r="E94" t="s">
        <v>15</v>
      </c>
      <c r="F94" t="s">
        <v>119</v>
      </c>
      <c r="G94" t="s">
        <v>25</v>
      </c>
      <c r="H94" t="s">
        <v>26</v>
      </c>
      <c r="I94">
        <v>2</v>
      </c>
      <c r="J94" s="8">
        <v>2200</v>
      </c>
      <c r="K94">
        <v>15</v>
      </c>
      <c r="L94" t="s">
        <v>27</v>
      </c>
      <c r="M94" s="5">
        <f>Cleaned_Data[[#This Row],[Quantity]]*Cleaned_Data[[#This Row],[Unit_Price]]</f>
        <v>4400</v>
      </c>
      <c r="N94" s="7">
        <f>Cleaned_Data[[#This Row],[Total_sales]]*(Cleaned_Data[[#This Row],[Discount_Percent]]/100)</f>
        <v>660</v>
      </c>
      <c r="O94" s="7">
        <f>Cleaned_Data[[#This Row],[Total_sales]]-Cleaned_Data[[#This Row],[Discount_Amount]]</f>
        <v>3740</v>
      </c>
      <c r="P94" t="str">
        <f>TEXT(Cleaned_Data[[#This Row],[Order_Date]],"MMM-YYYY")</f>
        <v>Apr-2023</v>
      </c>
      <c r="Q94" t="str">
        <f>"Q"&amp;ROUNDUP(MONTH(Cleaned_Data[[#This Row],[Order_Date]])/3,0)&amp;"-2023"</f>
        <v>Q2-2023</v>
      </c>
      <c r="R94" t="str">
        <f>TEXT(Cleaned_Data[[#This Row],[Order_Date]],"DDD")</f>
        <v>Mon</v>
      </c>
      <c r="S94" t="str">
        <f>IF(Cleaned_Data[[#This Row],[Net_Sales]]&gt;=100000,"High",IF(Cleaned_Data[[#This Row],[Net_Sales]]&gt;=50000,"Medium","Low"))</f>
        <v>Low</v>
      </c>
    </row>
    <row r="95" spans="1:19" x14ac:dyDescent="0.3">
      <c r="A95" t="s">
        <v>235</v>
      </c>
      <c r="B95" s="1">
        <v>45049</v>
      </c>
      <c r="C95" t="s">
        <v>236</v>
      </c>
      <c r="D95" t="s">
        <v>237</v>
      </c>
      <c r="E95" t="s">
        <v>15</v>
      </c>
      <c r="F95" t="s">
        <v>128</v>
      </c>
      <c r="G95" t="s">
        <v>39</v>
      </c>
      <c r="H95" t="s">
        <v>57</v>
      </c>
      <c r="I95">
        <v>2</v>
      </c>
      <c r="J95" s="8">
        <v>32100</v>
      </c>
      <c r="K95">
        <v>15</v>
      </c>
      <c r="L95" t="s">
        <v>19</v>
      </c>
      <c r="M95" s="5">
        <f>Cleaned_Data[[#This Row],[Quantity]]*Cleaned_Data[[#This Row],[Unit_Price]]</f>
        <v>64200</v>
      </c>
      <c r="N95" s="7">
        <f>Cleaned_Data[[#This Row],[Total_sales]]*(Cleaned_Data[[#This Row],[Discount_Percent]]/100)</f>
        <v>9630</v>
      </c>
      <c r="O95" s="7">
        <f>Cleaned_Data[[#This Row],[Total_sales]]-Cleaned_Data[[#This Row],[Discount_Amount]]</f>
        <v>54570</v>
      </c>
      <c r="P95" t="str">
        <f>TEXT(Cleaned_Data[[#This Row],[Order_Date]],"MMM-YYYY")</f>
        <v>May-2023</v>
      </c>
      <c r="Q95" t="str">
        <f>"Q"&amp;ROUNDUP(MONTH(Cleaned_Data[[#This Row],[Order_Date]])/3,0)&amp;"-2023"</f>
        <v>Q2-2023</v>
      </c>
      <c r="R95" t="str">
        <f>TEXT(Cleaned_Data[[#This Row],[Order_Date]],"DDD")</f>
        <v>Wed</v>
      </c>
      <c r="S95" t="str">
        <f>IF(Cleaned_Data[[#This Row],[Net_Sales]]&gt;=100000,"High",IF(Cleaned_Data[[#This Row],[Net_Sales]]&gt;=50000,"Medium","Low"))</f>
        <v>Medium</v>
      </c>
    </row>
    <row r="96" spans="1:19" x14ac:dyDescent="0.3">
      <c r="A96" t="s">
        <v>238</v>
      </c>
      <c r="B96" s="1">
        <v>45049</v>
      </c>
      <c r="C96" t="s">
        <v>70</v>
      </c>
      <c r="D96" t="s">
        <v>71</v>
      </c>
      <c r="E96" t="s">
        <v>81</v>
      </c>
      <c r="F96" t="s">
        <v>110</v>
      </c>
      <c r="G96" t="s">
        <v>17</v>
      </c>
      <c r="H96" t="s">
        <v>168</v>
      </c>
      <c r="I96">
        <v>1</v>
      </c>
      <c r="J96" s="8">
        <v>46700</v>
      </c>
      <c r="K96">
        <v>15</v>
      </c>
      <c r="L96" t="s">
        <v>19</v>
      </c>
      <c r="M96" s="5">
        <f>Cleaned_Data[[#This Row],[Quantity]]*Cleaned_Data[[#This Row],[Unit_Price]]</f>
        <v>46700</v>
      </c>
      <c r="N96" s="7">
        <f>Cleaned_Data[[#This Row],[Total_sales]]*(Cleaned_Data[[#This Row],[Discount_Percent]]/100)</f>
        <v>7005</v>
      </c>
      <c r="O96" s="7">
        <f>Cleaned_Data[[#This Row],[Total_sales]]-Cleaned_Data[[#This Row],[Discount_Amount]]</f>
        <v>39695</v>
      </c>
      <c r="P96" t="str">
        <f>TEXT(Cleaned_Data[[#This Row],[Order_Date]],"MMM-YYYY")</f>
        <v>May-2023</v>
      </c>
      <c r="Q96" t="str">
        <f>"Q"&amp;ROUNDUP(MONTH(Cleaned_Data[[#This Row],[Order_Date]])/3,0)&amp;"-2023"</f>
        <v>Q2-2023</v>
      </c>
      <c r="R96" t="str">
        <f>TEXT(Cleaned_Data[[#This Row],[Order_Date]],"DDD")</f>
        <v>Wed</v>
      </c>
      <c r="S96" t="str">
        <f>IF(Cleaned_Data[[#This Row],[Net_Sales]]&gt;=100000,"High",IF(Cleaned_Data[[#This Row],[Net_Sales]]&gt;=50000,"Medium","Low"))</f>
        <v>Low</v>
      </c>
    </row>
    <row r="97" spans="1:19" x14ac:dyDescent="0.3">
      <c r="A97" t="s">
        <v>239</v>
      </c>
      <c r="B97" s="1">
        <v>45080</v>
      </c>
      <c r="C97" t="s">
        <v>130</v>
      </c>
      <c r="D97" t="s">
        <v>53</v>
      </c>
      <c r="E97" t="s">
        <v>66</v>
      </c>
      <c r="F97" t="s">
        <v>92</v>
      </c>
      <c r="G97" t="s">
        <v>45</v>
      </c>
      <c r="H97" t="s">
        <v>156</v>
      </c>
      <c r="I97">
        <v>1</v>
      </c>
      <c r="J97" s="8">
        <v>23600</v>
      </c>
      <c r="K97">
        <v>25</v>
      </c>
      <c r="L97" t="s">
        <v>33</v>
      </c>
      <c r="M97" s="5">
        <f>Cleaned_Data[[#This Row],[Quantity]]*Cleaned_Data[[#This Row],[Unit_Price]]</f>
        <v>23600</v>
      </c>
      <c r="N97" s="7">
        <f>Cleaned_Data[[#This Row],[Total_sales]]*(Cleaned_Data[[#This Row],[Discount_Percent]]/100)</f>
        <v>5900</v>
      </c>
      <c r="O97" s="7">
        <f>Cleaned_Data[[#This Row],[Total_sales]]-Cleaned_Data[[#This Row],[Discount_Amount]]</f>
        <v>17700</v>
      </c>
      <c r="P97" t="str">
        <f>TEXT(Cleaned_Data[[#This Row],[Order_Date]],"MMM-YYYY")</f>
        <v>Jun-2023</v>
      </c>
      <c r="Q97" t="str">
        <f>"Q"&amp;ROUNDUP(MONTH(Cleaned_Data[[#This Row],[Order_Date]])/3,0)&amp;"-2023"</f>
        <v>Q2-2023</v>
      </c>
      <c r="R97" t="str">
        <f>TEXT(Cleaned_Data[[#This Row],[Order_Date]],"DDD")</f>
        <v>Sat</v>
      </c>
      <c r="S97" t="str">
        <f>IF(Cleaned_Data[[#This Row],[Net_Sales]]&gt;=100000,"High",IF(Cleaned_Data[[#This Row],[Net_Sales]]&gt;=50000,"Medium","Low"))</f>
        <v>Low</v>
      </c>
    </row>
    <row r="98" spans="1:19" x14ac:dyDescent="0.3">
      <c r="A98" t="s">
        <v>240</v>
      </c>
      <c r="B98" s="1">
        <v>45080</v>
      </c>
      <c r="C98" t="s">
        <v>64</v>
      </c>
      <c r="D98" t="s">
        <v>65</v>
      </c>
      <c r="E98" t="s">
        <v>81</v>
      </c>
      <c r="F98" t="s">
        <v>82</v>
      </c>
      <c r="G98" t="s">
        <v>25</v>
      </c>
      <c r="H98" t="s">
        <v>26</v>
      </c>
      <c r="I98">
        <v>2</v>
      </c>
      <c r="J98" s="8">
        <v>1100</v>
      </c>
      <c r="K98">
        <v>0</v>
      </c>
      <c r="L98" t="s">
        <v>33</v>
      </c>
      <c r="M98" s="5">
        <f>Cleaned_Data[[#This Row],[Quantity]]*Cleaned_Data[[#This Row],[Unit_Price]]</f>
        <v>2200</v>
      </c>
      <c r="N98" s="7">
        <f>Cleaned_Data[[#This Row],[Total_sales]]*(Cleaned_Data[[#This Row],[Discount_Percent]]/100)</f>
        <v>0</v>
      </c>
      <c r="O98" s="7">
        <f>Cleaned_Data[[#This Row],[Total_sales]]-Cleaned_Data[[#This Row],[Discount_Amount]]</f>
        <v>2200</v>
      </c>
      <c r="P98" t="str">
        <f>TEXT(Cleaned_Data[[#This Row],[Order_Date]],"MMM-YYYY")</f>
        <v>Jun-2023</v>
      </c>
      <c r="Q98" t="str">
        <f>"Q"&amp;ROUNDUP(MONTH(Cleaned_Data[[#This Row],[Order_Date]])/3,0)&amp;"-2023"</f>
        <v>Q2-2023</v>
      </c>
      <c r="R98" t="str">
        <f>TEXT(Cleaned_Data[[#This Row],[Order_Date]],"DDD")</f>
        <v>Sat</v>
      </c>
      <c r="S98" t="str">
        <f>IF(Cleaned_Data[[#This Row],[Net_Sales]]&gt;=100000,"High",IF(Cleaned_Data[[#This Row],[Net_Sales]]&gt;=50000,"Medium","Low"))</f>
        <v>Low</v>
      </c>
    </row>
    <row r="99" spans="1:19" x14ac:dyDescent="0.3">
      <c r="A99" t="s">
        <v>241</v>
      </c>
      <c r="B99" s="1">
        <v>45080</v>
      </c>
      <c r="C99" t="s">
        <v>180</v>
      </c>
      <c r="D99" t="s">
        <v>181</v>
      </c>
      <c r="E99" t="s">
        <v>66</v>
      </c>
      <c r="F99" t="s">
        <v>67</v>
      </c>
      <c r="G99" t="s">
        <v>45</v>
      </c>
      <c r="H99" t="s">
        <v>52</v>
      </c>
      <c r="I99">
        <v>1</v>
      </c>
      <c r="J99" s="8">
        <v>30900</v>
      </c>
      <c r="K99">
        <v>5</v>
      </c>
      <c r="L99" t="s">
        <v>33</v>
      </c>
      <c r="M99" s="5">
        <f>Cleaned_Data[[#This Row],[Quantity]]*Cleaned_Data[[#This Row],[Unit_Price]]</f>
        <v>30900</v>
      </c>
      <c r="N99" s="7">
        <f>Cleaned_Data[[#This Row],[Total_sales]]*(Cleaned_Data[[#This Row],[Discount_Percent]]/100)</f>
        <v>1545</v>
      </c>
      <c r="O99" s="7">
        <f>Cleaned_Data[[#This Row],[Total_sales]]-Cleaned_Data[[#This Row],[Discount_Amount]]</f>
        <v>29355</v>
      </c>
      <c r="P99" t="str">
        <f>TEXT(Cleaned_Data[[#This Row],[Order_Date]],"MMM-YYYY")</f>
        <v>Jun-2023</v>
      </c>
      <c r="Q99" t="str">
        <f>"Q"&amp;ROUNDUP(MONTH(Cleaned_Data[[#This Row],[Order_Date]])/3,0)&amp;"-2023"</f>
        <v>Q2-2023</v>
      </c>
      <c r="R99" t="str">
        <f>TEXT(Cleaned_Data[[#This Row],[Order_Date]],"DDD")</f>
        <v>Sat</v>
      </c>
      <c r="S99" t="str">
        <f>IF(Cleaned_Data[[#This Row],[Net_Sales]]&gt;=100000,"High",IF(Cleaned_Data[[#This Row],[Net_Sales]]&gt;=50000,"Medium","Low"))</f>
        <v>Low</v>
      </c>
    </row>
    <row r="100" spans="1:19" x14ac:dyDescent="0.3">
      <c r="A100" t="s">
        <v>242</v>
      </c>
      <c r="B100" s="1">
        <v>45110</v>
      </c>
      <c r="C100" t="s">
        <v>130</v>
      </c>
      <c r="D100" t="s">
        <v>53</v>
      </c>
      <c r="E100" t="s">
        <v>15</v>
      </c>
      <c r="F100" t="s">
        <v>131</v>
      </c>
      <c r="G100" t="s">
        <v>45</v>
      </c>
      <c r="H100" t="s">
        <v>52</v>
      </c>
      <c r="I100">
        <v>1</v>
      </c>
      <c r="J100" s="8">
        <v>20000</v>
      </c>
      <c r="K100">
        <v>25</v>
      </c>
      <c r="L100" t="s">
        <v>47</v>
      </c>
      <c r="M100" s="5">
        <f>Cleaned_Data[[#This Row],[Quantity]]*Cleaned_Data[[#This Row],[Unit_Price]]</f>
        <v>20000</v>
      </c>
      <c r="N100" s="7">
        <f>Cleaned_Data[[#This Row],[Total_sales]]*(Cleaned_Data[[#This Row],[Discount_Percent]]/100)</f>
        <v>5000</v>
      </c>
      <c r="O100" s="7">
        <f>Cleaned_Data[[#This Row],[Total_sales]]-Cleaned_Data[[#This Row],[Discount_Amount]]</f>
        <v>15000</v>
      </c>
      <c r="P100" t="str">
        <f>TEXT(Cleaned_Data[[#This Row],[Order_Date]],"MMM-YYYY")</f>
        <v>Jul-2023</v>
      </c>
      <c r="Q100" t="str">
        <f>"Q"&amp;ROUNDUP(MONTH(Cleaned_Data[[#This Row],[Order_Date]])/3,0)&amp;"-2023"</f>
        <v>Q3-2023</v>
      </c>
      <c r="R100" t="str">
        <f>TEXT(Cleaned_Data[[#This Row],[Order_Date]],"DDD")</f>
        <v>Mon</v>
      </c>
      <c r="S100" t="str">
        <f>IF(Cleaned_Data[[#This Row],[Net_Sales]]&gt;=100000,"High",IF(Cleaned_Data[[#This Row],[Net_Sales]]&gt;=50000,"Medium","Low"))</f>
        <v>Low</v>
      </c>
    </row>
    <row r="101" spans="1:19" x14ac:dyDescent="0.3">
      <c r="A101" t="s">
        <v>243</v>
      </c>
      <c r="B101" s="1">
        <v>45110</v>
      </c>
      <c r="C101" t="s">
        <v>244</v>
      </c>
      <c r="D101" t="s">
        <v>245</v>
      </c>
      <c r="E101" t="s">
        <v>23</v>
      </c>
      <c r="F101" t="s">
        <v>44</v>
      </c>
      <c r="G101" t="s">
        <v>17</v>
      </c>
      <c r="H101" t="s">
        <v>196</v>
      </c>
      <c r="I101">
        <v>1</v>
      </c>
      <c r="J101" s="8">
        <v>49900</v>
      </c>
      <c r="K101">
        <v>10</v>
      </c>
      <c r="L101" t="s">
        <v>73</v>
      </c>
      <c r="M101" s="5">
        <f>Cleaned_Data[[#This Row],[Quantity]]*Cleaned_Data[[#This Row],[Unit_Price]]</f>
        <v>49900</v>
      </c>
      <c r="N101" s="7">
        <f>Cleaned_Data[[#This Row],[Total_sales]]*(Cleaned_Data[[#This Row],[Discount_Percent]]/100)</f>
        <v>4990</v>
      </c>
      <c r="O101" s="7">
        <f>Cleaned_Data[[#This Row],[Total_sales]]-Cleaned_Data[[#This Row],[Discount_Amount]]</f>
        <v>44910</v>
      </c>
      <c r="P101" t="str">
        <f>TEXT(Cleaned_Data[[#This Row],[Order_Date]],"MMM-YYYY")</f>
        <v>Jul-2023</v>
      </c>
      <c r="Q101" t="str">
        <f>"Q"&amp;ROUNDUP(MONTH(Cleaned_Data[[#This Row],[Order_Date]])/3,0)&amp;"-2023"</f>
        <v>Q3-2023</v>
      </c>
      <c r="R101" t="str">
        <f>TEXT(Cleaned_Data[[#This Row],[Order_Date]],"DDD")</f>
        <v>Mon</v>
      </c>
      <c r="S101" t="str">
        <f>IF(Cleaned_Data[[#This Row],[Net_Sales]]&gt;=100000,"High",IF(Cleaned_Data[[#This Row],[Net_Sales]]&gt;=50000,"Medium","Low"))</f>
        <v>Low</v>
      </c>
    </row>
    <row r="102" spans="1:19" x14ac:dyDescent="0.3">
      <c r="A102" t="s">
        <v>246</v>
      </c>
      <c r="B102" s="1">
        <v>45110</v>
      </c>
      <c r="C102" t="s">
        <v>64</v>
      </c>
      <c r="D102" t="s">
        <v>65</v>
      </c>
      <c r="E102" t="s">
        <v>37</v>
      </c>
      <c r="F102" t="s">
        <v>61</v>
      </c>
      <c r="G102" t="s">
        <v>97</v>
      </c>
      <c r="H102" t="s">
        <v>171</v>
      </c>
      <c r="I102">
        <v>1</v>
      </c>
      <c r="J102" s="8">
        <v>64600</v>
      </c>
      <c r="K102">
        <v>5</v>
      </c>
      <c r="L102" t="s">
        <v>62</v>
      </c>
      <c r="M102" s="5">
        <f>Cleaned_Data[[#This Row],[Quantity]]*Cleaned_Data[[#This Row],[Unit_Price]]</f>
        <v>64600</v>
      </c>
      <c r="N102" s="7">
        <f>Cleaned_Data[[#This Row],[Total_sales]]*(Cleaned_Data[[#This Row],[Discount_Percent]]/100)</f>
        <v>3230</v>
      </c>
      <c r="O102" s="7">
        <f>Cleaned_Data[[#This Row],[Total_sales]]-Cleaned_Data[[#This Row],[Discount_Amount]]</f>
        <v>61370</v>
      </c>
      <c r="P102" t="str">
        <f>TEXT(Cleaned_Data[[#This Row],[Order_Date]],"MMM-YYYY")</f>
        <v>Jul-2023</v>
      </c>
      <c r="Q102" t="str">
        <f>"Q"&amp;ROUNDUP(MONTH(Cleaned_Data[[#This Row],[Order_Date]])/3,0)&amp;"-2023"</f>
        <v>Q3-2023</v>
      </c>
      <c r="R102" t="str">
        <f>TEXT(Cleaned_Data[[#This Row],[Order_Date]],"DDD")</f>
        <v>Mon</v>
      </c>
      <c r="S102" t="str">
        <f>IF(Cleaned_Data[[#This Row],[Net_Sales]]&gt;=100000,"High",IF(Cleaned_Data[[#This Row],[Net_Sales]]&gt;=50000,"Medium","Low"))</f>
        <v>Medium</v>
      </c>
    </row>
    <row r="103" spans="1:19" x14ac:dyDescent="0.3">
      <c r="A103" t="s">
        <v>247</v>
      </c>
      <c r="B103" s="1">
        <v>45110</v>
      </c>
      <c r="C103" t="s">
        <v>236</v>
      </c>
      <c r="D103" t="s">
        <v>237</v>
      </c>
      <c r="E103" t="s">
        <v>66</v>
      </c>
      <c r="F103" t="s">
        <v>67</v>
      </c>
      <c r="G103" t="s">
        <v>39</v>
      </c>
      <c r="H103" t="s">
        <v>57</v>
      </c>
      <c r="I103">
        <v>1</v>
      </c>
      <c r="J103" s="8">
        <v>11600</v>
      </c>
      <c r="K103">
        <v>20</v>
      </c>
      <c r="L103" t="s">
        <v>33</v>
      </c>
      <c r="M103" s="5">
        <f>Cleaned_Data[[#This Row],[Quantity]]*Cleaned_Data[[#This Row],[Unit_Price]]</f>
        <v>11600</v>
      </c>
      <c r="N103" s="7">
        <f>Cleaned_Data[[#This Row],[Total_sales]]*(Cleaned_Data[[#This Row],[Discount_Percent]]/100)</f>
        <v>2320</v>
      </c>
      <c r="O103" s="7">
        <f>Cleaned_Data[[#This Row],[Total_sales]]-Cleaned_Data[[#This Row],[Discount_Amount]]</f>
        <v>9280</v>
      </c>
      <c r="P103" t="str">
        <f>TEXT(Cleaned_Data[[#This Row],[Order_Date]],"MMM-YYYY")</f>
        <v>Jul-2023</v>
      </c>
      <c r="Q103" t="str">
        <f>"Q"&amp;ROUNDUP(MONTH(Cleaned_Data[[#This Row],[Order_Date]])/3,0)&amp;"-2023"</f>
        <v>Q3-2023</v>
      </c>
      <c r="R103" t="str">
        <f>TEXT(Cleaned_Data[[#This Row],[Order_Date]],"DDD")</f>
        <v>Mon</v>
      </c>
      <c r="S103" t="str">
        <f>IF(Cleaned_Data[[#This Row],[Net_Sales]]&gt;=100000,"High",IF(Cleaned_Data[[#This Row],[Net_Sales]]&gt;=50000,"Medium","Low"))</f>
        <v>Low</v>
      </c>
    </row>
    <row r="104" spans="1:19" x14ac:dyDescent="0.3">
      <c r="A104" t="s">
        <v>248</v>
      </c>
      <c r="B104" s="1">
        <v>45141</v>
      </c>
      <c r="C104" t="s">
        <v>176</v>
      </c>
      <c r="D104" t="s">
        <v>177</v>
      </c>
      <c r="E104" t="s">
        <v>66</v>
      </c>
      <c r="F104" t="s">
        <v>67</v>
      </c>
      <c r="G104" t="s">
        <v>17</v>
      </c>
      <c r="H104" t="s">
        <v>168</v>
      </c>
      <c r="I104">
        <v>1</v>
      </c>
      <c r="J104" s="8">
        <v>32600</v>
      </c>
      <c r="K104">
        <v>0</v>
      </c>
      <c r="L104" t="s">
        <v>33</v>
      </c>
      <c r="M104" s="5">
        <f>Cleaned_Data[[#This Row],[Quantity]]*Cleaned_Data[[#This Row],[Unit_Price]]</f>
        <v>32600</v>
      </c>
      <c r="N104" s="7">
        <f>Cleaned_Data[[#This Row],[Total_sales]]*(Cleaned_Data[[#This Row],[Discount_Percent]]/100)</f>
        <v>0</v>
      </c>
      <c r="O104" s="7">
        <f>Cleaned_Data[[#This Row],[Total_sales]]-Cleaned_Data[[#This Row],[Discount_Amount]]</f>
        <v>32600</v>
      </c>
      <c r="P104" t="str">
        <f>TEXT(Cleaned_Data[[#This Row],[Order_Date]],"MMM-YYYY")</f>
        <v>Aug-2023</v>
      </c>
      <c r="Q104" t="str">
        <f>"Q"&amp;ROUNDUP(MONTH(Cleaned_Data[[#This Row],[Order_Date]])/3,0)&amp;"-2023"</f>
        <v>Q3-2023</v>
      </c>
      <c r="R104" t="str">
        <f>TEXT(Cleaned_Data[[#This Row],[Order_Date]],"DDD")</f>
        <v>Thu</v>
      </c>
      <c r="S104" t="str">
        <f>IF(Cleaned_Data[[#This Row],[Net_Sales]]&gt;=100000,"High",IF(Cleaned_Data[[#This Row],[Net_Sales]]&gt;=50000,"Medium","Low"))</f>
        <v>Low</v>
      </c>
    </row>
    <row r="105" spans="1:19" x14ac:dyDescent="0.3">
      <c r="A105" t="s">
        <v>249</v>
      </c>
      <c r="B105" s="1">
        <v>45141</v>
      </c>
      <c r="C105" t="s">
        <v>250</v>
      </c>
      <c r="D105" t="s">
        <v>251</v>
      </c>
      <c r="E105" t="s">
        <v>81</v>
      </c>
      <c r="F105" t="s">
        <v>82</v>
      </c>
      <c r="G105" t="s">
        <v>45</v>
      </c>
      <c r="H105" t="s">
        <v>52</v>
      </c>
      <c r="I105">
        <v>1</v>
      </c>
      <c r="J105" s="8">
        <v>39100</v>
      </c>
      <c r="K105">
        <v>20</v>
      </c>
      <c r="L105" t="s">
        <v>33</v>
      </c>
      <c r="M105" s="5">
        <f>Cleaned_Data[[#This Row],[Quantity]]*Cleaned_Data[[#This Row],[Unit_Price]]</f>
        <v>39100</v>
      </c>
      <c r="N105" s="7">
        <f>Cleaned_Data[[#This Row],[Total_sales]]*(Cleaned_Data[[#This Row],[Discount_Percent]]/100)</f>
        <v>7820</v>
      </c>
      <c r="O105" s="7">
        <f>Cleaned_Data[[#This Row],[Total_sales]]-Cleaned_Data[[#This Row],[Discount_Amount]]</f>
        <v>31280</v>
      </c>
      <c r="P105" t="str">
        <f>TEXT(Cleaned_Data[[#This Row],[Order_Date]],"MMM-YYYY")</f>
        <v>Aug-2023</v>
      </c>
      <c r="Q105" t="str">
        <f>"Q"&amp;ROUNDUP(MONTH(Cleaned_Data[[#This Row],[Order_Date]])/3,0)&amp;"-2023"</f>
        <v>Q3-2023</v>
      </c>
      <c r="R105" t="str">
        <f>TEXT(Cleaned_Data[[#This Row],[Order_Date]],"DDD")</f>
        <v>Thu</v>
      </c>
      <c r="S105" t="str">
        <f>IF(Cleaned_Data[[#This Row],[Net_Sales]]&gt;=100000,"High",IF(Cleaned_Data[[#This Row],[Net_Sales]]&gt;=50000,"Medium","Low"))</f>
        <v>Low</v>
      </c>
    </row>
    <row r="106" spans="1:19" x14ac:dyDescent="0.3">
      <c r="A106" t="s">
        <v>252</v>
      </c>
      <c r="B106" s="1">
        <v>45141</v>
      </c>
      <c r="C106" t="s">
        <v>115</v>
      </c>
      <c r="D106" t="s">
        <v>116</v>
      </c>
      <c r="E106" t="s">
        <v>15</v>
      </c>
      <c r="F106" t="s">
        <v>128</v>
      </c>
      <c r="G106" t="s">
        <v>25</v>
      </c>
      <c r="H106" t="s">
        <v>32</v>
      </c>
      <c r="I106">
        <v>2</v>
      </c>
      <c r="J106" s="8">
        <v>2600</v>
      </c>
      <c r="K106">
        <v>5</v>
      </c>
      <c r="L106" t="s">
        <v>73</v>
      </c>
      <c r="M106" s="5">
        <f>Cleaned_Data[[#This Row],[Quantity]]*Cleaned_Data[[#This Row],[Unit_Price]]</f>
        <v>5200</v>
      </c>
      <c r="N106" s="7">
        <f>Cleaned_Data[[#This Row],[Total_sales]]*(Cleaned_Data[[#This Row],[Discount_Percent]]/100)</f>
        <v>260</v>
      </c>
      <c r="O106" s="7">
        <f>Cleaned_Data[[#This Row],[Total_sales]]-Cleaned_Data[[#This Row],[Discount_Amount]]</f>
        <v>4940</v>
      </c>
      <c r="P106" t="str">
        <f>TEXT(Cleaned_Data[[#This Row],[Order_Date]],"MMM-YYYY")</f>
        <v>Aug-2023</v>
      </c>
      <c r="Q106" t="str">
        <f>"Q"&amp;ROUNDUP(MONTH(Cleaned_Data[[#This Row],[Order_Date]])/3,0)&amp;"-2023"</f>
        <v>Q3-2023</v>
      </c>
      <c r="R106" t="str">
        <f>TEXT(Cleaned_Data[[#This Row],[Order_Date]],"DDD")</f>
        <v>Thu</v>
      </c>
      <c r="S106" t="str">
        <f>IF(Cleaned_Data[[#This Row],[Net_Sales]]&gt;=100000,"High",IF(Cleaned_Data[[#This Row],[Net_Sales]]&gt;=50000,"Medium","Low"))</f>
        <v>Low</v>
      </c>
    </row>
    <row r="107" spans="1:19" x14ac:dyDescent="0.3">
      <c r="A107" t="s">
        <v>253</v>
      </c>
      <c r="B107" s="1">
        <v>45172</v>
      </c>
      <c r="C107" t="s">
        <v>70</v>
      </c>
      <c r="D107" t="s">
        <v>71</v>
      </c>
      <c r="E107" t="s">
        <v>37</v>
      </c>
      <c r="F107" t="s">
        <v>38</v>
      </c>
      <c r="G107" t="s">
        <v>25</v>
      </c>
      <c r="H107" t="s">
        <v>32</v>
      </c>
      <c r="I107">
        <v>2</v>
      </c>
      <c r="J107" s="8">
        <v>2600</v>
      </c>
      <c r="K107">
        <v>20</v>
      </c>
      <c r="L107" t="s">
        <v>47</v>
      </c>
      <c r="M107" s="5">
        <f>Cleaned_Data[[#This Row],[Quantity]]*Cleaned_Data[[#This Row],[Unit_Price]]</f>
        <v>5200</v>
      </c>
      <c r="N107" s="7">
        <f>Cleaned_Data[[#This Row],[Total_sales]]*(Cleaned_Data[[#This Row],[Discount_Percent]]/100)</f>
        <v>1040</v>
      </c>
      <c r="O107" s="7">
        <f>Cleaned_Data[[#This Row],[Total_sales]]-Cleaned_Data[[#This Row],[Discount_Amount]]</f>
        <v>4160</v>
      </c>
      <c r="P107" t="str">
        <f>TEXT(Cleaned_Data[[#This Row],[Order_Date]],"MMM-YYYY")</f>
        <v>Sep-2023</v>
      </c>
      <c r="Q107" t="str">
        <f>"Q"&amp;ROUNDUP(MONTH(Cleaned_Data[[#This Row],[Order_Date]])/3,0)&amp;"-2023"</f>
        <v>Q3-2023</v>
      </c>
      <c r="R107" t="str">
        <f>TEXT(Cleaned_Data[[#This Row],[Order_Date]],"DDD")</f>
        <v>Sun</v>
      </c>
      <c r="S107" t="str">
        <f>IF(Cleaned_Data[[#This Row],[Net_Sales]]&gt;=100000,"High",IF(Cleaned_Data[[#This Row],[Net_Sales]]&gt;=50000,"Medium","Low"))</f>
        <v>Low</v>
      </c>
    </row>
    <row r="108" spans="1:19" x14ac:dyDescent="0.3">
      <c r="A108" t="s">
        <v>254</v>
      </c>
      <c r="B108" s="1">
        <v>45172</v>
      </c>
      <c r="C108" t="s">
        <v>29</v>
      </c>
      <c r="D108" t="s">
        <v>30</v>
      </c>
      <c r="E108" t="s">
        <v>37</v>
      </c>
      <c r="F108" t="s">
        <v>61</v>
      </c>
      <c r="G108" t="s">
        <v>45</v>
      </c>
      <c r="H108" t="s">
        <v>207</v>
      </c>
      <c r="I108">
        <v>1</v>
      </c>
      <c r="J108" s="8">
        <v>28100</v>
      </c>
      <c r="K108">
        <v>5</v>
      </c>
      <c r="L108" t="s">
        <v>19</v>
      </c>
      <c r="M108" s="5">
        <f>Cleaned_Data[[#This Row],[Quantity]]*Cleaned_Data[[#This Row],[Unit_Price]]</f>
        <v>28100</v>
      </c>
      <c r="N108" s="7">
        <f>Cleaned_Data[[#This Row],[Total_sales]]*(Cleaned_Data[[#This Row],[Discount_Percent]]/100)</f>
        <v>1405</v>
      </c>
      <c r="O108" s="7">
        <f>Cleaned_Data[[#This Row],[Total_sales]]-Cleaned_Data[[#This Row],[Discount_Amount]]</f>
        <v>26695</v>
      </c>
      <c r="P108" t="str">
        <f>TEXT(Cleaned_Data[[#This Row],[Order_Date]],"MMM-YYYY")</f>
        <v>Sep-2023</v>
      </c>
      <c r="Q108" t="str">
        <f>"Q"&amp;ROUNDUP(MONTH(Cleaned_Data[[#This Row],[Order_Date]])/3,0)&amp;"-2023"</f>
        <v>Q3-2023</v>
      </c>
      <c r="R108" t="str">
        <f>TEXT(Cleaned_Data[[#This Row],[Order_Date]],"DDD")</f>
        <v>Sun</v>
      </c>
      <c r="S108" t="str">
        <f>IF(Cleaned_Data[[#This Row],[Net_Sales]]&gt;=100000,"High",IF(Cleaned_Data[[#This Row],[Net_Sales]]&gt;=50000,"Medium","Low"))</f>
        <v>Low</v>
      </c>
    </row>
    <row r="109" spans="1:19" x14ac:dyDescent="0.3">
      <c r="A109" t="s">
        <v>255</v>
      </c>
      <c r="B109" s="1">
        <v>45172</v>
      </c>
      <c r="C109" t="s">
        <v>176</v>
      </c>
      <c r="D109" t="s">
        <v>177</v>
      </c>
      <c r="E109" t="s">
        <v>37</v>
      </c>
      <c r="F109" t="s">
        <v>38</v>
      </c>
      <c r="G109" t="s">
        <v>25</v>
      </c>
      <c r="H109" t="s">
        <v>26</v>
      </c>
      <c r="I109">
        <v>2</v>
      </c>
      <c r="J109" s="8">
        <v>900</v>
      </c>
      <c r="K109">
        <v>5</v>
      </c>
      <c r="L109" t="s">
        <v>62</v>
      </c>
      <c r="M109" s="5">
        <f>Cleaned_Data[[#This Row],[Quantity]]*Cleaned_Data[[#This Row],[Unit_Price]]</f>
        <v>1800</v>
      </c>
      <c r="N109" s="7">
        <f>Cleaned_Data[[#This Row],[Total_sales]]*(Cleaned_Data[[#This Row],[Discount_Percent]]/100)</f>
        <v>90</v>
      </c>
      <c r="O109" s="7">
        <f>Cleaned_Data[[#This Row],[Total_sales]]-Cleaned_Data[[#This Row],[Discount_Amount]]</f>
        <v>1710</v>
      </c>
      <c r="P109" t="str">
        <f>TEXT(Cleaned_Data[[#This Row],[Order_Date]],"MMM-YYYY")</f>
        <v>Sep-2023</v>
      </c>
      <c r="Q109" t="str">
        <f>"Q"&amp;ROUNDUP(MONTH(Cleaned_Data[[#This Row],[Order_Date]])/3,0)&amp;"-2023"</f>
        <v>Q3-2023</v>
      </c>
      <c r="R109" t="str">
        <f>TEXT(Cleaned_Data[[#This Row],[Order_Date]],"DDD")</f>
        <v>Sun</v>
      </c>
      <c r="S109" t="str">
        <f>IF(Cleaned_Data[[#This Row],[Net_Sales]]&gt;=100000,"High",IF(Cleaned_Data[[#This Row],[Net_Sales]]&gt;=50000,"Medium","Low"))</f>
        <v>Low</v>
      </c>
    </row>
    <row r="110" spans="1:19" x14ac:dyDescent="0.3">
      <c r="A110" t="s">
        <v>256</v>
      </c>
      <c r="B110" s="1">
        <v>45172</v>
      </c>
      <c r="C110" t="s">
        <v>244</v>
      </c>
      <c r="D110" t="s">
        <v>245</v>
      </c>
      <c r="E110" t="s">
        <v>23</v>
      </c>
      <c r="F110" t="s">
        <v>44</v>
      </c>
      <c r="G110" t="s">
        <v>25</v>
      </c>
      <c r="H110" t="s">
        <v>32</v>
      </c>
      <c r="I110">
        <v>2</v>
      </c>
      <c r="J110" s="8">
        <v>1900</v>
      </c>
      <c r="K110">
        <v>0</v>
      </c>
      <c r="L110" t="s">
        <v>103</v>
      </c>
      <c r="M110" s="5">
        <f>Cleaned_Data[[#This Row],[Quantity]]*Cleaned_Data[[#This Row],[Unit_Price]]</f>
        <v>3800</v>
      </c>
      <c r="N110" s="7">
        <f>Cleaned_Data[[#This Row],[Total_sales]]*(Cleaned_Data[[#This Row],[Discount_Percent]]/100)</f>
        <v>0</v>
      </c>
      <c r="O110" s="7">
        <f>Cleaned_Data[[#This Row],[Total_sales]]-Cleaned_Data[[#This Row],[Discount_Amount]]</f>
        <v>3800</v>
      </c>
      <c r="P110" t="str">
        <f>TEXT(Cleaned_Data[[#This Row],[Order_Date]],"MMM-YYYY")</f>
        <v>Sep-2023</v>
      </c>
      <c r="Q110" t="str">
        <f>"Q"&amp;ROUNDUP(MONTH(Cleaned_Data[[#This Row],[Order_Date]])/3,0)&amp;"-2023"</f>
        <v>Q3-2023</v>
      </c>
      <c r="R110" t="str">
        <f>TEXT(Cleaned_Data[[#This Row],[Order_Date]],"DDD")</f>
        <v>Sun</v>
      </c>
      <c r="S110" t="str">
        <f>IF(Cleaned_Data[[#This Row],[Net_Sales]]&gt;=100000,"High",IF(Cleaned_Data[[#This Row],[Net_Sales]]&gt;=50000,"Medium","Low"))</f>
        <v>Low</v>
      </c>
    </row>
    <row r="111" spans="1:19" x14ac:dyDescent="0.3">
      <c r="A111" t="s">
        <v>257</v>
      </c>
      <c r="B111" s="1">
        <v>45172</v>
      </c>
      <c r="C111" t="s">
        <v>176</v>
      </c>
      <c r="D111" t="s">
        <v>177</v>
      </c>
      <c r="E111" t="s">
        <v>15</v>
      </c>
      <c r="F111" t="s">
        <v>128</v>
      </c>
      <c r="G111" t="s">
        <v>17</v>
      </c>
      <c r="H111" t="s">
        <v>77</v>
      </c>
      <c r="I111">
        <v>2</v>
      </c>
      <c r="J111" s="8">
        <v>31500</v>
      </c>
      <c r="K111">
        <v>0</v>
      </c>
      <c r="L111" t="s">
        <v>47</v>
      </c>
      <c r="M111" s="5">
        <f>Cleaned_Data[[#This Row],[Quantity]]*Cleaned_Data[[#This Row],[Unit_Price]]</f>
        <v>63000</v>
      </c>
      <c r="N111" s="7">
        <f>Cleaned_Data[[#This Row],[Total_sales]]*(Cleaned_Data[[#This Row],[Discount_Percent]]/100)</f>
        <v>0</v>
      </c>
      <c r="O111" s="7">
        <f>Cleaned_Data[[#This Row],[Total_sales]]-Cleaned_Data[[#This Row],[Discount_Amount]]</f>
        <v>63000</v>
      </c>
      <c r="P111" t="str">
        <f>TEXT(Cleaned_Data[[#This Row],[Order_Date]],"MMM-YYYY")</f>
        <v>Sep-2023</v>
      </c>
      <c r="Q111" t="str">
        <f>"Q"&amp;ROUNDUP(MONTH(Cleaned_Data[[#This Row],[Order_Date]])/3,0)&amp;"-2023"</f>
        <v>Q3-2023</v>
      </c>
      <c r="R111" t="str">
        <f>TEXT(Cleaned_Data[[#This Row],[Order_Date]],"DDD")</f>
        <v>Sun</v>
      </c>
      <c r="S111" t="str">
        <f>IF(Cleaned_Data[[#This Row],[Net_Sales]]&gt;=100000,"High",IF(Cleaned_Data[[#This Row],[Net_Sales]]&gt;=50000,"Medium","Low"))</f>
        <v>Medium</v>
      </c>
    </row>
    <row r="112" spans="1:19" x14ac:dyDescent="0.3">
      <c r="A112" t="s">
        <v>258</v>
      </c>
      <c r="B112" s="1">
        <v>45202</v>
      </c>
      <c r="C112" t="s">
        <v>210</v>
      </c>
      <c r="D112" t="s">
        <v>211</v>
      </c>
      <c r="E112" t="s">
        <v>81</v>
      </c>
      <c r="F112" t="s">
        <v>160</v>
      </c>
      <c r="G112" t="s">
        <v>17</v>
      </c>
      <c r="H112" t="s">
        <v>88</v>
      </c>
      <c r="I112">
        <v>1</v>
      </c>
      <c r="J112" s="8">
        <v>38000</v>
      </c>
      <c r="K112">
        <v>25</v>
      </c>
      <c r="L112" t="s">
        <v>33</v>
      </c>
      <c r="M112" s="5">
        <f>Cleaned_Data[[#This Row],[Quantity]]*Cleaned_Data[[#This Row],[Unit_Price]]</f>
        <v>38000</v>
      </c>
      <c r="N112" s="7">
        <f>Cleaned_Data[[#This Row],[Total_sales]]*(Cleaned_Data[[#This Row],[Discount_Percent]]/100)</f>
        <v>9500</v>
      </c>
      <c r="O112" s="7">
        <f>Cleaned_Data[[#This Row],[Total_sales]]-Cleaned_Data[[#This Row],[Discount_Amount]]</f>
        <v>28500</v>
      </c>
      <c r="P112" t="str">
        <f>TEXT(Cleaned_Data[[#This Row],[Order_Date]],"MMM-YYYY")</f>
        <v>Oct-2023</v>
      </c>
      <c r="Q112" t="str">
        <f>"Q"&amp;ROUNDUP(MONTH(Cleaned_Data[[#This Row],[Order_Date]])/3,0)&amp;"-2023"</f>
        <v>Q4-2023</v>
      </c>
      <c r="R112" t="str">
        <f>TEXT(Cleaned_Data[[#This Row],[Order_Date]],"DDD")</f>
        <v>Tue</v>
      </c>
      <c r="S112" t="str">
        <f>IF(Cleaned_Data[[#This Row],[Net_Sales]]&gt;=100000,"High",IF(Cleaned_Data[[#This Row],[Net_Sales]]&gt;=50000,"Medium","Low"))</f>
        <v>Low</v>
      </c>
    </row>
    <row r="113" spans="1:19" x14ac:dyDescent="0.3">
      <c r="A113" t="s">
        <v>259</v>
      </c>
      <c r="B113" s="1">
        <v>45202</v>
      </c>
      <c r="C113" t="s">
        <v>163</v>
      </c>
      <c r="D113" t="s">
        <v>73</v>
      </c>
      <c r="E113" t="s">
        <v>37</v>
      </c>
      <c r="F113" t="s">
        <v>38</v>
      </c>
      <c r="G113" t="s">
        <v>97</v>
      </c>
      <c r="H113" t="s">
        <v>133</v>
      </c>
      <c r="I113">
        <v>2</v>
      </c>
      <c r="J113" s="8">
        <v>57200</v>
      </c>
      <c r="K113">
        <v>20</v>
      </c>
      <c r="L113" t="s">
        <v>19</v>
      </c>
      <c r="M113" s="5">
        <f>Cleaned_Data[[#This Row],[Quantity]]*Cleaned_Data[[#This Row],[Unit_Price]]</f>
        <v>114400</v>
      </c>
      <c r="N113" s="7">
        <f>Cleaned_Data[[#This Row],[Total_sales]]*(Cleaned_Data[[#This Row],[Discount_Percent]]/100)</f>
        <v>22880</v>
      </c>
      <c r="O113" s="7">
        <f>Cleaned_Data[[#This Row],[Total_sales]]-Cleaned_Data[[#This Row],[Discount_Amount]]</f>
        <v>91520</v>
      </c>
      <c r="P113" t="str">
        <f>TEXT(Cleaned_Data[[#This Row],[Order_Date]],"MMM-YYYY")</f>
        <v>Oct-2023</v>
      </c>
      <c r="Q113" t="str">
        <f>"Q"&amp;ROUNDUP(MONTH(Cleaned_Data[[#This Row],[Order_Date]])/3,0)&amp;"-2023"</f>
        <v>Q4-2023</v>
      </c>
      <c r="R113" t="str">
        <f>TEXT(Cleaned_Data[[#This Row],[Order_Date]],"DDD")</f>
        <v>Tue</v>
      </c>
      <c r="S113" t="str">
        <f>IF(Cleaned_Data[[#This Row],[Net_Sales]]&gt;=100000,"High",IF(Cleaned_Data[[#This Row],[Net_Sales]]&gt;=50000,"Medium","Low"))</f>
        <v>Medium</v>
      </c>
    </row>
    <row r="114" spans="1:19" x14ac:dyDescent="0.3">
      <c r="A114" t="s">
        <v>260</v>
      </c>
      <c r="B114" s="1">
        <v>45233</v>
      </c>
      <c r="C114" t="s">
        <v>95</v>
      </c>
      <c r="D114" t="s">
        <v>96</v>
      </c>
      <c r="E114" t="s">
        <v>15</v>
      </c>
      <c r="F114" t="s">
        <v>128</v>
      </c>
      <c r="G114" t="s">
        <v>97</v>
      </c>
      <c r="H114" t="s">
        <v>98</v>
      </c>
      <c r="I114">
        <v>1</v>
      </c>
      <c r="J114" s="8">
        <v>50200</v>
      </c>
      <c r="K114">
        <v>10</v>
      </c>
      <c r="L114" t="s">
        <v>47</v>
      </c>
      <c r="M114" s="5">
        <f>Cleaned_Data[[#This Row],[Quantity]]*Cleaned_Data[[#This Row],[Unit_Price]]</f>
        <v>50200</v>
      </c>
      <c r="N114" s="7">
        <f>Cleaned_Data[[#This Row],[Total_sales]]*(Cleaned_Data[[#This Row],[Discount_Percent]]/100)</f>
        <v>5020</v>
      </c>
      <c r="O114" s="7">
        <f>Cleaned_Data[[#This Row],[Total_sales]]-Cleaned_Data[[#This Row],[Discount_Amount]]</f>
        <v>45180</v>
      </c>
      <c r="P114" t="str">
        <f>TEXT(Cleaned_Data[[#This Row],[Order_Date]],"MMM-YYYY")</f>
        <v>Nov-2023</v>
      </c>
      <c r="Q114" t="str">
        <f>"Q"&amp;ROUNDUP(MONTH(Cleaned_Data[[#This Row],[Order_Date]])/3,0)&amp;"-2023"</f>
        <v>Q4-2023</v>
      </c>
      <c r="R114" t="str">
        <f>TEXT(Cleaned_Data[[#This Row],[Order_Date]],"DDD")</f>
        <v>Fri</v>
      </c>
      <c r="S114" t="str">
        <f>IF(Cleaned_Data[[#This Row],[Net_Sales]]&gt;=100000,"High",IF(Cleaned_Data[[#This Row],[Net_Sales]]&gt;=50000,"Medium","Low"))</f>
        <v>Low</v>
      </c>
    </row>
    <row r="115" spans="1:19" x14ac:dyDescent="0.3">
      <c r="A115" t="s">
        <v>261</v>
      </c>
      <c r="B115" s="1">
        <v>45233</v>
      </c>
      <c r="C115" t="s">
        <v>236</v>
      </c>
      <c r="D115" t="s">
        <v>237</v>
      </c>
      <c r="E115" t="s">
        <v>23</v>
      </c>
      <c r="F115" t="s">
        <v>24</v>
      </c>
      <c r="G115" t="s">
        <v>97</v>
      </c>
      <c r="H115" t="s">
        <v>154</v>
      </c>
      <c r="I115">
        <v>1</v>
      </c>
      <c r="J115" s="8">
        <v>73000</v>
      </c>
      <c r="K115">
        <v>0</v>
      </c>
      <c r="L115" t="s">
        <v>62</v>
      </c>
      <c r="M115" s="5">
        <f>Cleaned_Data[[#This Row],[Quantity]]*Cleaned_Data[[#This Row],[Unit_Price]]</f>
        <v>73000</v>
      </c>
      <c r="N115" s="7">
        <f>Cleaned_Data[[#This Row],[Total_sales]]*(Cleaned_Data[[#This Row],[Discount_Percent]]/100)</f>
        <v>0</v>
      </c>
      <c r="O115" s="7">
        <f>Cleaned_Data[[#This Row],[Total_sales]]-Cleaned_Data[[#This Row],[Discount_Amount]]</f>
        <v>73000</v>
      </c>
      <c r="P115" t="str">
        <f>TEXT(Cleaned_Data[[#This Row],[Order_Date]],"MMM-YYYY")</f>
        <v>Nov-2023</v>
      </c>
      <c r="Q115" t="str">
        <f>"Q"&amp;ROUNDUP(MONTH(Cleaned_Data[[#This Row],[Order_Date]])/3,0)&amp;"-2023"</f>
        <v>Q4-2023</v>
      </c>
      <c r="R115" t="str">
        <f>TEXT(Cleaned_Data[[#This Row],[Order_Date]],"DDD")</f>
        <v>Fri</v>
      </c>
      <c r="S115" t="str">
        <f>IF(Cleaned_Data[[#This Row],[Net_Sales]]&gt;=100000,"High",IF(Cleaned_Data[[#This Row],[Net_Sales]]&gt;=50000,"Medium","Low"))</f>
        <v>Medium</v>
      </c>
    </row>
    <row r="116" spans="1:19" x14ac:dyDescent="0.3">
      <c r="A116" t="s">
        <v>262</v>
      </c>
      <c r="B116" s="1">
        <v>45233</v>
      </c>
      <c r="C116" t="s">
        <v>203</v>
      </c>
      <c r="D116" t="s">
        <v>204</v>
      </c>
      <c r="E116" t="s">
        <v>81</v>
      </c>
      <c r="F116" t="s">
        <v>110</v>
      </c>
      <c r="G116" t="s">
        <v>39</v>
      </c>
      <c r="H116" t="s">
        <v>68</v>
      </c>
      <c r="I116">
        <v>1</v>
      </c>
      <c r="J116" s="8">
        <v>12500</v>
      </c>
      <c r="K116">
        <v>5</v>
      </c>
      <c r="L116" t="s">
        <v>19</v>
      </c>
      <c r="M116" s="5">
        <f>Cleaned_Data[[#This Row],[Quantity]]*Cleaned_Data[[#This Row],[Unit_Price]]</f>
        <v>12500</v>
      </c>
      <c r="N116" s="7">
        <f>Cleaned_Data[[#This Row],[Total_sales]]*(Cleaned_Data[[#This Row],[Discount_Percent]]/100)</f>
        <v>625</v>
      </c>
      <c r="O116" s="7">
        <f>Cleaned_Data[[#This Row],[Total_sales]]-Cleaned_Data[[#This Row],[Discount_Amount]]</f>
        <v>11875</v>
      </c>
      <c r="P116" t="str">
        <f>TEXT(Cleaned_Data[[#This Row],[Order_Date]],"MMM-YYYY")</f>
        <v>Nov-2023</v>
      </c>
      <c r="Q116" t="str">
        <f>"Q"&amp;ROUNDUP(MONTH(Cleaned_Data[[#This Row],[Order_Date]])/3,0)&amp;"-2023"</f>
        <v>Q4-2023</v>
      </c>
      <c r="R116" t="str">
        <f>TEXT(Cleaned_Data[[#This Row],[Order_Date]],"DDD")</f>
        <v>Fri</v>
      </c>
      <c r="S116" t="str">
        <f>IF(Cleaned_Data[[#This Row],[Net_Sales]]&gt;=100000,"High",IF(Cleaned_Data[[#This Row],[Net_Sales]]&gt;=50000,"Medium","Low"))</f>
        <v>Low</v>
      </c>
    </row>
    <row r="117" spans="1:19" x14ac:dyDescent="0.3">
      <c r="A117" t="s">
        <v>263</v>
      </c>
      <c r="B117" s="1">
        <v>45233</v>
      </c>
      <c r="C117" t="s">
        <v>75</v>
      </c>
      <c r="D117" t="s">
        <v>76</v>
      </c>
      <c r="E117" t="s">
        <v>23</v>
      </c>
      <c r="F117" t="s">
        <v>24</v>
      </c>
      <c r="G117" t="s">
        <v>17</v>
      </c>
      <c r="H117" t="s">
        <v>168</v>
      </c>
      <c r="I117">
        <v>1</v>
      </c>
      <c r="J117" s="8">
        <v>40200</v>
      </c>
      <c r="K117">
        <v>5</v>
      </c>
      <c r="L117" t="s">
        <v>47</v>
      </c>
      <c r="M117" s="5">
        <f>Cleaned_Data[[#This Row],[Quantity]]*Cleaned_Data[[#This Row],[Unit_Price]]</f>
        <v>40200</v>
      </c>
      <c r="N117" s="7">
        <f>Cleaned_Data[[#This Row],[Total_sales]]*(Cleaned_Data[[#This Row],[Discount_Percent]]/100)</f>
        <v>2010</v>
      </c>
      <c r="O117" s="7">
        <f>Cleaned_Data[[#This Row],[Total_sales]]-Cleaned_Data[[#This Row],[Discount_Amount]]</f>
        <v>38190</v>
      </c>
      <c r="P117" t="str">
        <f>TEXT(Cleaned_Data[[#This Row],[Order_Date]],"MMM-YYYY")</f>
        <v>Nov-2023</v>
      </c>
      <c r="Q117" t="str">
        <f>"Q"&amp;ROUNDUP(MONTH(Cleaned_Data[[#This Row],[Order_Date]])/3,0)&amp;"-2023"</f>
        <v>Q4-2023</v>
      </c>
      <c r="R117" t="str">
        <f>TEXT(Cleaned_Data[[#This Row],[Order_Date]],"DDD")</f>
        <v>Fri</v>
      </c>
      <c r="S117" t="str">
        <f>IF(Cleaned_Data[[#This Row],[Net_Sales]]&gt;=100000,"High",IF(Cleaned_Data[[#This Row],[Net_Sales]]&gt;=50000,"Medium","Low"))</f>
        <v>Low</v>
      </c>
    </row>
    <row r="118" spans="1:19" x14ac:dyDescent="0.3">
      <c r="A118" t="s">
        <v>264</v>
      </c>
      <c r="B118" s="1">
        <v>45263</v>
      </c>
      <c r="C118" t="s">
        <v>42</v>
      </c>
      <c r="D118" t="s">
        <v>43</v>
      </c>
      <c r="E118" t="s">
        <v>15</v>
      </c>
      <c r="F118" t="s">
        <v>16</v>
      </c>
      <c r="G118" t="s">
        <v>17</v>
      </c>
      <c r="H118" t="s">
        <v>88</v>
      </c>
      <c r="I118">
        <v>1</v>
      </c>
      <c r="J118" s="8">
        <v>42500</v>
      </c>
      <c r="K118">
        <v>25</v>
      </c>
      <c r="L118" t="s">
        <v>33</v>
      </c>
      <c r="M118" s="5">
        <f>Cleaned_Data[[#This Row],[Quantity]]*Cleaned_Data[[#This Row],[Unit_Price]]</f>
        <v>42500</v>
      </c>
      <c r="N118" s="7">
        <f>Cleaned_Data[[#This Row],[Total_sales]]*(Cleaned_Data[[#This Row],[Discount_Percent]]/100)</f>
        <v>10625</v>
      </c>
      <c r="O118" s="7">
        <f>Cleaned_Data[[#This Row],[Total_sales]]-Cleaned_Data[[#This Row],[Discount_Amount]]</f>
        <v>31875</v>
      </c>
      <c r="P118" t="str">
        <f>TEXT(Cleaned_Data[[#This Row],[Order_Date]],"MMM-YYYY")</f>
        <v>Dec-2023</v>
      </c>
      <c r="Q118" t="str">
        <f>"Q"&amp;ROUNDUP(MONTH(Cleaned_Data[[#This Row],[Order_Date]])/3,0)&amp;"-2023"</f>
        <v>Q4-2023</v>
      </c>
      <c r="R118" t="str">
        <f>TEXT(Cleaned_Data[[#This Row],[Order_Date]],"DDD")</f>
        <v>Sun</v>
      </c>
      <c r="S118" t="str">
        <f>IF(Cleaned_Data[[#This Row],[Net_Sales]]&gt;=100000,"High",IF(Cleaned_Data[[#This Row],[Net_Sales]]&gt;=50000,"Medium","Low"))</f>
        <v>Low</v>
      </c>
    </row>
    <row r="119" spans="1:19" x14ac:dyDescent="0.3">
      <c r="A119" t="s">
        <v>265</v>
      </c>
      <c r="B119" s="1">
        <v>45263</v>
      </c>
      <c r="C119" t="s">
        <v>55</v>
      </c>
      <c r="D119" t="s">
        <v>56</v>
      </c>
      <c r="E119" t="s">
        <v>66</v>
      </c>
      <c r="F119" t="s">
        <v>87</v>
      </c>
      <c r="G119" t="s">
        <v>97</v>
      </c>
      <c r="H119" t="s">
        <v>171</v>
      </c>
      <c r="I119">
        <v>1</v>
      </c>
      <c r="J119" s="8">
        <v>48200</v>
      </c>
      <c r="K119">
        <v>10</v>
      </c>
      <c r="L119" t="s">
        <v>27</v>
      </c>
      <c r="M119" s="5">
        <f>Cleaned_Data[[#This Row],[Quantity]]*Cleaned_Data[[#This Row],[Unit_Price]]</f>
        <v>48200</v>
      </c>
      <c r="N119" s="7">
        <f>Cleaned_Data[[#This Row],[Total_sales]]*(Cleaned_Data[[#This Row],[Discount_Percent]]/100)</f>
        <v>4820</v>
      </c>
      <c r="O119" s="7">
        <f>Cleaned_Data[[#This Row],[Total_sales]]-Cleaned_Data[[#This Row],[Discount_Amount]]</f>
        <v>43380</v>
      </c>
      <c r="P119" t="str">
        <f>TEXT(Cleaned_Data[[#This Row],[Order_Date]],"MMM-YYYY")</f>
        <v>Dec-2023</v>
      </c>
      <c r="Q119" t="str">
        <f>"Q"&amp;ROUNDUP(MONTH(Cleaned_Data[[#This Row],[Order_Date]])/3,0)&amp;"-2023"</f>
        <v>Q4-2023</v>
      </c>
      <c r="R119" t="str">
        <f>TEXT(Cleaned_Data[[#This Row],[Order_Date]],"DDD")</f>
        <v>Sun</v>
      </c>
      <c r="S119" t="str">
        <f>IF(Cleaned_Data[[#This Row],[Net_Sales]]&gt;=100000,"High",IF(Cleaned_Data[[#This Row],[Net_Sales]]&gt;=50000,"Medium","Low"))</f>
        <v>Low</v>
      </c>
    </row>
    <row r="120" spans="1:19" x14ac:dyDescent="0.3">
      <c r="A120" t="s">
        <v>266</v>
      </c>
      <c r="B120" s="1">
        <v>45263</v>
      </c>
      <c r="C120" t="s">
        <v>84</v>
      </c>
      <c r="D120" t="s">
        <v>85</v>
      </c>
      <c r="E120" t="s">
        <v>15</v>
      </c>
      <c r="F120" t="s">
        <v>16</v>
      </c>
      <c r="G120" t="s">
        <v>39</v>
      </c>
      <c r="H120" t="s">
        <v>68</v>
      </c>
      <c r="I120">
        <v>1</v>
      </c>
      <c r="J120" s="8">
        <v>12600</v>
      </c>
      <c r="K120">
        <v>10</v>
      </c>
      <c r="L120" t="s">
        <v>33</v>
      </c>
      <c r="M120" s="5">
        <f>Cleaned_Data[[#This Row],[Quantity]]*Cleaned_Data[[#This Row],[Unit_Price]]</f>
        <v>12600</v>
      </c>
      <c r="N120" s="7">
        <f>Cleaned_Data[[#This Row],[Total_sales]]*(Cleaned_Data[[#This Row],[Discount_Percent]]/100)</f>
        <v>1260</v>
      </c>
      <c r="O120" s="7">
        <f>Cleaned_Data[[#This Row],[Total_sales]]-Cleaned_Data[[#This Row],[Discount_Amount]]</f>
        <v>11340</v>
      </c>
      <c r="P120" t="str">
        <f>TEXT(Cleaned_Data[[#This Row],[Order_Date]],"MMM-YYYY")</f>
        <v>Dec-2023</v>
      </c>
      <c r="Q120" t="str">
        <f>"Q"&amp;ROUNDUP(MONTH(Cleaned_Data[[#This Row],[Order_Date]])/3,0)&amp;"-2023"</f>
        <v>Q4-2023</v>
      </c>
      <c r="R120" t="str">
        <f>TEXT(Cleaned_Data[[#This Row],[Order_Date]],"DDD")</f>
        <v>Sun</v>
      </c>
      <c r="S120" t="str">
        <f>IF(Cleaned_Data[[#This Row],[Net_Sales]]&gt;=100000,"High",IF(Cleaned_Data[[#This Row],[Net_Sales]]&gt;=50000,"Medium","Low"))</f>
        <v>Low</v>
      </c>
    </row>
    <row r="121" spans="1:19" x14ac:dyDescent="0.3">
      <c r="A121" t="s">
        <v>267</v>
      </c>
      <c r="B121" s="1">
        <v>45263</v>
      </c>
      <c r="C121" t="s">
        <v>75</v>
      </c>
      <c r="D121" t="s">
        <v>76</v>
      </c>
      <c r="E121" t="s">
        <v>81</v>
      </c>
      <c r="F121" t="s">
        <v>82</v>
      </c>
      <c r="G121" t="s">
        <v>45</v>
      </c>
      <c r="H121" t="s">
        <v>156</v>
      </c>
      <c r="I121">
        <v>1</v>
      </c>
      <c r="J121" s="8">
        <v>24800</v>
      </c>
      <c r="K121">
        <v>0</v>
      </c>
      <c r="L121" t="s">
        <v>19</v>
      </c>
      <c r="M121" s="5">
        <f>Cleaned_Data[[#This Row],[Quantity]]*Cleaned_Data[[#This Row],[Unit_Price]]</f>
        <v>24800</v>
      </c>
      <c r="N121" s="7">
        <f>Cleaned_Data[[#This Row],[Total_sales]]*(Cleaned_Data[[#This Row],[Discount_Percent]]/100)</f>
        <v>0</v>
      </c>
      <c r="O121" s="7">
        <f>Cleaned_Data[[#This Row],[Total_sales]]-Cleaned_Data[[#This Row],[Discount_Amount]]</f>
        <v>24800</v>
      </c>
      <c r="P121" t="str">
        <f>TEXT(Cleaned_Data[[#This Row],[Order_Date]],"MMM-YYYY")</f>
        <v>Dec-2023</v>
      </c>
      <c r="Q121" t="str">
        <f>"Q"&amp;ROUNDUP(MONTH(Cleaned_Data[[#This Row],[Order_Date]])/3,0)&amp;"-2023"</f>
        <v>Q4-2023</v>
      </c>
      <c r="R121" t="str">
        <f>TEXT(Cleaned_Data[[#This Row],[Order_Date]],"DDD")</f>
        <v>Sun</v>
      </c>
      <c r="S121" t="str">
        <f>IF(Cleaned_Data[[#This Row],[Net_Sales]]&gt;=100000,"High",IF(Cleaned_Data[[#This Row],[Net_Sales]]&gt;=50000,"Medium","Low"))</f>
        <v>Low</v>
      </c>
    </row>
    <row r="122" spans="1:19" x14ac:dyDescent="0.3">
      <c r="A122" t="s">
        <v>268</v>
      </c>
      <c r="B122" s="1">
        <v>44930</v>
      </c>
      <c r="C122" t="s">
        <v>112</v>
      </c>
      <c r="D122" t="s">
        <v>113</v>
      </c>
      <c r="E122" t="s">
        <v>37</v>
      </c>
      <c r="F122" t="s">
        <v>38</v>
      </c>
      <c r="G122" t="s">
        <v>39</v>
      </c>
      <c r="H122" t="s">
        <v>68</v>
      </c>
      <c r="I122">
        <v>1</v>
      </c>
      <c r="J122" s="8">
        <v>26400</v>
      </c>
      <c r="K122">
        <v>0</v>
      </c>
      <c r="L122" t="s">
        <v>103</v>
      </c>
      <c r="M122" s="5">
        <f>Cleaned_Data[[#This Row],[Quantity]]*Cleaned_Data[[#This Row],[Unit_Price]]</f>
        <v>26400</v>
      </c>
      <c r="N122" s="7">
        <f>Cleaned_Data[[#This Row],[Total_sales]]*(Cleaned_Data[[#This Row],[Discount_Percent]]/100)</f>
        <v>0</v>
      </c>
      <c r="O122" s="7">
        <f>Cleaned_Data[[#This Row],[Total_sales]]-Cleaned_Data[[#This Row],[Discount_Amount]]</f>
        <v>26400</v>
      </c>
      <c r="P122" t="str">
        <f>TEXT(Cleaned_Data[[#This Row],[Order_Date]],"MMM-YYYY")</f>
        <v>Jan-2023</v>
      </c>
      <c r="Q122" t="str">
        <f>"Q"&amp;ROUNDUP(MONTH(Cleaned_Data[[#This Row],[Order_Date]])/3,0)&amp;"-2023"</f>
        <v>Q1-2023</v>
      </c>
      <c r="R122" t="str">
        <f>TEXT(Cleaned_Data[[#This Row],[Order_Date]],"DDD")</f>
        <v>Wed</v>
      </c>
      <c r="S122" t="str">
        <f>IF(Cleaned_Data[[#This Row],[Net_Sales]]&gt;=100000,"High",IF(Cleaned_Data[[#This Row],[Net_Sales]]&gt;=50000,"Medium","Low"))</f>
        <v>Low</v>
      </c>
    </row>
    <row r="123" spans="1:19" x14ac:dyDescent="0.3">
      <c r="A123" t="s">
        <v>269</v>
      </c>
      <c r="B123" s="1">
        <v>44961</v>
      </c>
      <c r="C123" t="s">
        <v>70</v>
      </c>
      <c r="D123" t="s">
        <v>71</v>
      </c>
      <c r="E123" t="s">
        <v>23</v>
      </c>
      <c r="F123" t="s">
        <v>44</v>
      </c>
      <c r="G123" t="s">
        <v>39</v>
      </c>
      <c r="H123" t="s">
        <v>68</v>
      </c>
      <c r="I123">
        <v>1</v>
      </c>
      <c r="J123" s="8">
        <v>23900</v>
      </c>
      <c r="K123">
        <v>20</v>
      </c>
      <c r="L123" t="s">
        <v>47</v>
      </c>
      <c r="M123" s="5">
        <f>Cleaned_Data[[#This Row],[Quantity]]*Cleaned_Data[[#This Row],[Unit_Price]]</f>
        <v>23900</v>
      </c>
      <c r="N123" s="7">
        <f>Cleaned_Data[[#This Row],[Total_sales]]*(Cleaned_Data[[#This Row],[Discount_Percent]]/100)</f>
        <v>4780</v>
      </c>
      <c r="O123" s="7">
        <f>Cleaned_Data[[#This Row],[Total_sales]]-Cleaned_Data[[#This Row],[Discount_Amount]]</f>
        <v>19120</v>
      </c>
      <c r="P123" t="str">
        <f>TEXT(Cleaned_Data[[#This Row],[Order_Date]],"MMM-YYYY")</f>
        <v>Feb-2023</v>
      </c>
      <c r="Q123" t="str">
        <f>"Q"&amp;ROUNDUP(MONTH(Cleaned_Data[[#This Row],[Order_Date]])/3,0)&amp;"-2023"</f>
        <v>Q1-2023</v>
      </c>
      <c r="R123" t="str">
        <f>TEXT(Cleaned_Data[[#This Row],[Order_Date]],"DDD")</f>
        <v>Sat</v>
      </c>
      <c r="S123" t="str">
        <f>IF(Cleaned_Data[[#This Row],[Net_Sales]]&gt;=100000,"High",IF(Cleaned_Data[[#This Row],[Net_Sales]]&gt;=50000,"Medium","Low"))</f>
        <v>Low</v>
      </c>
    </row>
    <row r="124" spans="1:19" x14ac:dyDescent="0.3">
      <c r="A124" t="s">
        <v>270</v>
      </c>
      <c r="B124" s="1">
        <v>44961</v>
      </c>
      <c r="C124" t="s">
        <v>135</v>
      </c>
      <c r="D124" t="s">
        <v>136</v>
      </c>
      <c r="E124" t="s">
        <v>15</v>
      </c>
      <c r="F124" t="s">
        <v>131</v>
      </c>
      <c r="G124" t="s">
        <v>17</v>
      </c>
      <c r="H124" t="s">
        <v>168</v>
      </c>
      <c r="I124">
        <v>1</v>
      </c>
      <c r="J124" s="8">
        <v>60000</v>
      </c>
      <c r="K124">
        <v>0</v>
      </c>
      <c r="L124" t="s">
        <v>53</v>
      </c>
      <c r="M124" s="5">
        <f>Cleaned_Data[[#This Row],[Quantity]]*Cleaned_Data[[#This Row],[Unit_Price]]</f>
        <v>60000</v>
      </c>
      <c r="N124" s="7">
        <f>Cleaned_Data[[#This Row],[Total_sales]]*(Cleaned_Data[[#This Row],[Discount_Percent]]/100)</f>
        <v>0</v>
      </c>
      <c r="O124" s="7">
        <f>Cleaned_Data[[#This Row],[Total_sales]]-Cleaned_Data[[#This Row],[Discount_Amount]]</f>
        <v>60000</v>
      </c>
      <c r="P124" t="str">
        <f>TEXT(Cleaned_Data[[#This Row],[Order_Date]],"MMM-YYYY")</f>
        <v>Feb-2023</v>
      </c>
      <c r="Q124" t="str">
        <f>"Q"&amp;ROUNDUP(MONTH(Cleaned_Data[[#This Row],[Order_Date]])/3,0)&amp;"-2023"</f>
        <v>Q1-2023</v>
      </c>
      <c r="R124" t="str">
        <f>TEXT(Cleaned_Data[[#This Row],[Order_Date]],"DDD")</f>
        <v>Sat</v>
      </c>
      <c r="S124" t="str">
        <f>IF(Cleaned_Data[[#This Row],[Net_Sales]]&gt;=100000,"High",IF(Cleaned_Data[[#This Row],[Net_Sales]]&gt;=50000,"Medium","Low"))</f>
        <v>Medium</v>
      </c>
    </row>
    <row r="125" spans="1:19" x14ac:dyDescent="0.3">
      <c r="A125" t="s">
        <v>271</v>
      </c>
      <c r="B125" s="1">
        <v>44961</v>
      </c>
      <c r="C125" t="s">
        <v>188</v>
      </c>
      <c r="D125" t="s">
        <v>189</v>
      </c>
      <c r="E125" t="s">
        <v>37</v>
      </c>
      <c r="F125" t="s">
        <v>101</v>
      </c>
      <c r="G125" t="s">
        <v>17</v>
      </c>
      <c r="H125" t="s">
        <v>18</v>
      </c>
      <c r="I125">
        <v>1</v>
      </c>
      <c r="J125" s="8">
        <v>40000</v>
      </c>
      <c r="K125">
        <v>15</v>
      </c>
      <c r="L125" t="s">
        <v>103</v>
      </c>
      <c r="M125" s="5">
        <f>Cleaned_Data[[#This Row],[Quantity]]*Cleaned_Data[[#This Row],[Unit_Price]]</f>
        <v>40000</v>
      </c>
      <c r="N125" s="7">
        <f>Cleaned_Data[[#This Row],[Total_sales]]*(Cleaned_Data[[#This Row],[Discount_Percent]]/100)</f>
        <v>6000</v>
      </c>
      <c r="O125" s="7">
        <f>Cleaned_Data[[#This Row],[Total_sales]]-Cleaned_Data[[#This Row],[Discount_Amount]]</f>
        <v>34000</v>
      </c>
      <c r="P125" t="str">
        <f>TEXT(Cleaned_Data[[#This Row],[Order_Date]],"MMM-YYYY")</f>
        <v>Feb-2023</v>
      </c>
      <c r="Q125" t="str">
        <f>"Q"&amp;ROUNDUP(MONTH(Cleaned_Data[[#This Row],[Order_Date]])/3,0)&amp;"-2023"</f>
        <v>Q1-2023</v>
      </c>
      <c r="R125" t="str">
        <f>TEXT(Cleaned_Data[[#This Row],[Order_Date]],"DDD")</f>
        <v>Sat</v>
      </c>
      <c r="S125" t="str">
        <f>IF(Cleaned_Data[[#This Row],[Net_Sales]]&gt;=100000,"High",IF(Cleaned_Data[[#This Row],[Net_Sales]]&gt;=50000,"Medium","Low"))</f>
        <v>Low</v>
      </c>
    </row>
    <row r="126" spans="1:19" x14ac:dyDescent="0.3">
      <c r="A126" t="s">
        <v>272</v>
      </c>
      <c r="B126" s="1">
        <v>44961</v>
      </c>
      <c r="C126" t="s">
        <v>250</v>
      </c>
      <c r="D126" t="s">
        <v>251</v>
      </c>
      <c r="E126" t="s">
        <v>15</v>
      </c>
      <c r="F126" t="s">
        <v>119</v>
      </c>
      <c r="G126" t="s">
        <v>25</v>
      </c>
      <c r="H126" t="s">
        <v>32</v>
      </c>
      <c r="I126">
        <v>3</v>
      </c>
      <c r="J126" s="8">
        <v>1600</v>
      </c>
      <c r="K126">
        <v>10</v>
      </c>
      <c r="L126" t="s">
        <v>47</v>
      </c>
      <c r="M126" s="5">
        <f>Cleaned_Data[[#This Row],[Quantity]]*Cleaned_Data[[#This Row],[Unit_Price]]</f>
        <v>4800</v>
      </c>
      <c r="N126" s="7">
        <f>Cleaned_Data[[#This Row],[Total_sales]]*(Cleaned_Data[[#This Row],[Discount_Percent]]/100)</f>
        <v>480</v>
      </c>
      <c r="O126" s="7">
        <f>Cleaned_Data[[#This Row],[Total_sales]]-Cleaned_Data[[#This Row],[Discount_Amount]]</f>
        <v>4320</v>
      </c>
      <c r="P126" t="str">
        <f>TEXT(Cleaned_Data[[#This Row],[Order_Date]],"MMM-YYYY")</f>
        <v>Feb-2023</v>
      </c>
      <c r="Q126" t="str">
        <f>"Q"&amp;ROUNDUP(MONTH(Cleaned_Data[[#This Row],[Order_Date]])/3,0)&amp;"-2023"</f>
        <v>Q1-2023</v>
      </c>
      <c r="R126" t="str">
        <f>TEXT(Cleaned_Data[[#This Row],[Order_Date]],"DDD")</f>
        <v>Sat</v>
      </c>
      <c r="S126" t="str">
        <f>IF(Cleaned_Data[[#This Row],[Net_Sales]]&gt;=100000,"High",IF(Cleaned_Data[[#This Row],[Net_Sales]]&gt;=50000,"Medium","Low"))</f>
        <v>Low</v>
      </c>
    </row>
    <row r="127" spans="1:19" x14ac:dyDescent="0.3">
      <c r="A127" t="s">
        <v>273</v>
      </c>
      <c r="B127" s="1">
        <v>44989</v>
      </c>
      <c r="C127" t="s">
        <v>29</v>
      </c>
      <c r="D127" t="s">
        <v>30</v>
      </c>
      <c r="E127" t="s">
        <v>37</v>
      </c>
      <c r="F127" t="s">
        <v>141</v>
      </c>
      <c r="G127" t="s">
        <v>25</v>
      </c>
      <c r="H127" t="s">
        <v>32</v>
      </c>
      <c r="I127">
        <v>2</v>
      </c>
      <c r="J127" s="8">
        <v>2000</v>
      </c>
      <c r="K127">
        <v>0</v>
      </c>
      <c r="L127" t="s">
        <v>73</v>
      </c>
      <c r="M127" s="5">
        <f>Cleaned_Data[[#This Row],[Quantity]]*Cleaned_Data[[#This Row],[Unit_Price]]</f>
        <v>4000</v>
      </c>
      <c r="N127" s="7">
        <f>Cleaned_Data[[#This Row],[Total_sales]]*(Cleaned_Data[[#This Row],[Discount_Percent]]/100)</f>
        <v>0</v>
      </c>
      <c r="O127" s="7">
        <f>Cleaned_Data[[#This Row],[Total_sales]]-Cleaned_Data[[#This Row],[Discount_Amount]]</f>
        <v>4000</v>
      </c>
      <c r="P127" t="str">
        <f>TEXT(Cleaned_Data[[#This Row],[Order_Date]],"MMM-YYYY")</f>
        <v>Mar-2023</v>
      </c>
      <c r="Q127" t="str">
        <f>"Q"&amp;ROUNDUP(MONTH(Cleaned_Data[[#This Row],[Order_Date]])/3,0)&amp;"-2023"</f>
        <v>Q1-2023</v>
      </c>
      <c r="R127" t="str">
        <f>TEXT(Cleaned_Data[[#This Row],[Order_Date]],"DDD")</f>
        <v>Sat</v>
      </c>
      <c r="S127" t="str">
        <f>IF(Cleaned_Data[[#This Row],[Net_Sales]]&gt;=100000,"High",IF(Cleaned_Data[[#This Row],[Net_Sales]]&gt;=50000,"Medium","Low"))</f>
        <v>Low</v>
      </c>
    </row>
    <row r="128" spans="1:19" x14ac:dyDescent="0.3">
      <c r="A128" t="s">
        <v>274</v>
      </c>
      <c r="B128" s="1">
        <v>44989</v>
      </c>
      <c r="C128" t="s">
        <v>210</v>
      </c>
      <c r="D128" t="s">
        <v>211</v>
      </c>
      <c r="E128" t="s">
        <v>37</v>
      </c>
      <c r="F128" t="s">
        <v>141</v>
      </c>
      <c r="G128" t="s">
        <v>25</v>
      </c>
      <c r="H128" t="s">
        <v>124</v>
      </c>
      <c r="I128">
        <v>2</v>
      </c>
      <c r="J128" s="8">
        <v>1200</v>
      </c>
      <c r="K128">
        <v>25</v>
      </c>
      <c r="L128" t="s">
        <v>47</v>
      </c>
      <c r="M128" s="5">
        <f>Cleaned_Data[[#This Row],[Quantity]]*Cleaned_Data[[#This Row],[Unit_Price]]</f>
        <v>2400</v>
      </c>
      <c r="N128" s="7">
        <f>Cleaned_Data[[#This Row],[Total_sales]]*(Cleaned_Data[[#This Row],[Discount_Percent]]/100)</f>
        <v>600</v>
      </c>
      <c r="O128" s="7">
        <f>Cleaned_Data[[#This Row],[Total_sales]]-Cleaned_Data[[#This Row],[Discount_Amount]]</f>
        <v>1800</v>
      </c>
      <c r="P128" t="str">
        <f>TEXT(Cleaned_Data[[#This Row],[Order_Date]],"MMM-YYYY")</f>
        <v>Mar-2023</v>
      </c>
      <c r="Q128" t="str">
        <f>"Q"&amp;ROUNDUP(MONTH(Cleaned_Data[[#This Row],[Order_Date]])/3,0)&amp;"-2023"</f>
        <v>Q1-2023</v>
      </c>
      <c r="R128" t="str">
        <f>TEXT(Cleaned_Data[[#This Row],[Order_Date]],"DDD")</f>
        <v>Sat</v>
      </c>
      <c r="S128" t="str">
        <f>IF(Cleaned_Data[[#This Row],[Net_Sales]]&gt;=100000,"High",IF(Cleaned_Data[[#This Row],[Net_Sales]]&gt;=50000,"Medium","Low"))</f>
        <v>Low</v>
      </c>
    </row>
    <row r="129" spans="1:19" x14ac:dyDescent="0.3">
      <c r="A129" t="s">
        <v>275</v>
      </c>
      <c r="B129" s="1">
        <v>44989</v>
      </c>
      <c r="C129" t="s">
        <v>49</v>
      </c>
      <c r="D129" t="s">
        <v>50</v>
      </c>
      <c r="E129" t="s">
        <v>81</v>
      </c>
      <c r="F129" t="s">
        <v>160</v>
      </c>
      <c r="G129" t="s">
        <v>39</v>
      </c>
      <c r="H129" t="s">
        <v>68</v>
      </c>
      <c r="I129">
        <v>1</v>
      </c>
      <c r="J129" s="8">
        <v>26200</v>
      </c>
      <c r="K129">
        <v>20</v>
      </c>
      <c r="L129" t="s">
        <v>33</v>
      </c>
      <c r="M129" s="5">
        <f>Cleaned_Data[[#This Row],[Quantity]]*Cleaned_Data[[#This Row],[Unit_Price]]</f>
        <v>26200</v>
      </c>
      <c r="N129" s="7">
        <f>Cleaned_Data[[#This Row],[Total_sales]]*(Cleaned_Data[[#This Row],[Discount_Percent]]/100)</f>
        <v>5240</v>
      </c>
      <c r="O129" s="7">
        <f>Cleaned_Data[[#This Row],[Total_sales]]-Cleaned_Data[[#This Row],[Discount_Amount]]</f>
        <v>20960</v>
      </c>
      <c r="P129" t="str">
        <f>TEXT(Cleaned_Data[[#This Row],[Order_Date]],"MMM-YYYY")</f>
        <v>Mar-2023</v>
      </c>
      <c r="Q129" t="str">
        <f>"Q"&amp;ROUNDUP(MONTH(Cleaned_Data[[#This Row],[Order_Date]])/3,0)&amp;"-2023"</f>
        <v>Q1-2023</v>
      </c>
      <c r="R129" t="str">
        <f>TEXT(Cleaned_Data[[#This Row],[Order_Date]],"DDD")</f>
        <v>Sat</v>
      </c>
      <c r="S129" t="str">
        <f>IF(Cleaned_Data[[#This Row],[Net_Sales]]&gt;=100000,"High",IF(Cleaned_Data[[#This Row],[Net_Sales]]&gt;=50000,"Medium","Low"))</f>
        <v>Low</v>
      </c>
    </row>
    <row r="130" spans="1:19" x14ac:dyDescent="0.3">
      <c r="A130" t="s">
        <v>276</v>
      </c>
      <c r="B130" s="1">
        <v>44989</v>
      </c>
      <c r="C130" t="s">
        <v>130</v>
      </c>
      <c r="D130" t="s">
        <v>53</v>
      </c>
      <c r="E130" t="s">
        <v>37</v>
      </c>
      <c r="F130" t="s">
        <v>101</v>
      </c>
      <c r="G130" t="s">
        <v>25</v>
      </c>
      <c r="H130" t="s">
        <v>32</v>
      </c>
      <c r="I130">
        <v>2</v>
      </c>
      <c r="J130" s="8">
        <v>2300</v>
      </c>
      <c r="K130">
        <v>15</v>
      </c>
      <c r="L130" t="s">
        <v>53</v>
      </c>
      <c r="M130" s="5">
        <f>Cleaned_Data[[#This Row],[Quantity]]*Cleaned_Data[[#This Row],[Unit_Price]]</f>
        <v>4600</v>
      </c>
      <c r="N130" s="7">
        <f>Cleaned_Data[[#This Row],[Total_sales]]*(Cleaned_Data[[#This Row],[Discount_Percent]]/100)</f>
        <v>690</v>
      </c>
      <c r="O130" s="7">
        <f>Cleaned_Data[[#This Row],[Total_sales]]-Cleaned_Data[[#This Row],[Discount_Amount]]</f>
        <v>3910</v>
      </c>
      <c r="P130" t="str">
        <f>TEXT(Cleaned_Data[[#This Row],[Order_Date]],"MMM-YYYY")</f>
        <v>Mar-2023</v>
      </c>
      <c r="Q130" t="str">
        <f>"Q"&amp;ROUNDUP(MONTH(Cleaned_Data[[#This Row],[Order_Date]])/3,0)&amp;"-2023"</f>
        <v>Q1-2023</v>
      </c>
      <c r="R130" t="str">
        <f>TEXT(Cleaned_Data[[#This Row],[Order_Date]],"DDD")</f>
        <v>Sat</v>
      </c>
      <c r="S130" t="str">
        <f>IF(Cleaned_Data[[#This Row],[Net_Sales]]&gt;=100000,"High",IF(Cleaned_Data[[#This Row],[Net_Sales]]&gt;=50000,"Medium","Low"))</f>
        <v>Low</v>
      </c>
    </row>
    <row r="131" spans="1:19" x14ac:dyDescent="0.3">
      <c r="A131" t="s">
        <v>277</v>
      </c>
      <c r="B131" s="1">
        <v>45020</v>
      </c>
      <c r="C131" t="s">
        <v>183</v>
      </c>
      <c r="D131" t="s">
        <v>27</v>
      </c>
      <c r="E131" t="s">
        <v>15</v>
      </c>
      <c r="F131" t="s">
        <v>16</v>
      </c>
      <c r="G131" t="s">
        <v>39</v>
      </c>
      <c r="H131" t="s">
        <v>57</v>
      </c>
      <c r="I131">
        <v>1</v>
      </c>
      <c r="J131" s="8">
        <v>17500</v>
      </c>
      <c r="K131">
        <v>25</v>
      </c>
      <c r="L131" t="s">
        <v>73</v>
      </c>
      <c r="M131" s="5">
        <f>Cleaned_Data[[#This Row],[Quantity]]*Cleaned_Data[[#This Row],[Unit_Price]]</f>
        <v>17500</v>
      </c>
      <c r="N131" s="7">
        <f>Cleaned_Data[[#This Row],[Total_sales]]*(Cleaned_Data[[#This Row],[Discount_Percent]]/100)</f>
        <v>4375</v>
      </c>
      <c r="O131" s="7">
        <f>Cleaned_Data[[#This Row],[Total_sales]]-Cleaned_Data[[#This Row],[Discount_Amount]]</f>
        <v>13125</v>
      </c>
      <c r="P131" t="str">
        <f>TEXT(Cleaned_Data[[#This Row],[Order_Date]],"MMM-YYYY")</f>
        <v>Apr-2023</v>
      </c>
      <c r="Q131" t="str">
        <f>"Q"&amp;ROUNDUP(MONTH(Cleaned_Data[[#This Row],[Order_Date]])/3,0)&amp;"-2023"</f>
        <v>Q2-2023</v>
      </c>
      <c r="R131" t="str">
        <f>TEXT(Cleaned_Data[[#This Row],[Order_Date]],"DDD")</f>
        <v>Tue</v>
      </c>
      <c r="S131" t="str">
        <f>IF(Cleaned_Data[[#This Row],[Net_Sales]]&gt;=100000,"High",IF(Cleaned_Data[[#This Row],[Net_Sales]]&gt;=50000,"Medium","Low"))</f>
        <v>Low</v>
      </c>
    </row>
    <row r="132" spans="1:19" x14ac:dyDescent="0.3">
      <c r="A132" t="s">
        <v>278</v>
      </c>
      <c r="B132" s="1">
        <v>45020</v>
      </c>
      <c r="C132" t="s">
        <v>135</v>
      </c>
      <c r="D132" t="s">
        <v>136</v>
      </c>
      <c r="E132" t="s">
        <v>66</v>
      </c>
      <c r="F132" t="s">
        <v>72</v>
      </c>
      <c r="G132" t="s">
        <v>39</v>
      </c>
      <c r="H132" t="s">
        <v>57</v>
      </c>
      <c r="I132">
        <v>1</v>
      </c>
      <c r="J132" s="8">
        <v>23400</v>
      </c>
      <c r="K132">
        <v>0</v>
      </c>
      <c r="L132" t="s">
        <v>33</v>
      </c>
      <c r="M132" s="5">
        <f>Cleaned_Data[[#This Row],[Quantity]]*Cleaned_Data[[#This Row],[Unit_Price]]</f>
        <v>23400</v>
      </c>
      <c r="N132" s="7">
        <f>Cleaned_Data[[#This Row],[Total_sales]]*(Cleaned_Data[[#This Row],[Discount_Percent]]/100)</f>
        <v>0</v>
      </c>
      <c r="O132" s="7">
        <f>Cleaned_Data[[#This Row],[Total_sales]]-Cleaned_Data[[#This Row],[Discount_Amount]]</f>
        <v>23400</v>
      </c>
      <c r="P132" t="str">
        <f>TEXT(Cleaned_Data[[#This Row],[Order_Date]],"MMM-YYYY")</f>
        <v>Apr-2023</v>
      </c>
      <c r="Q132" t="str">
        <f>"Q"&amp;ROUNDUP(MONTH(Cleaned_Data[[#This Row],[Order_Date]])/3,0)&amp;"-2023"</f>
        <v>Q2-2023</v>
      </c>
      <c r="R132" t="str">
        <f>TEXT(Cleaned_Data[[#This Row],[Order_Date]],"DDD")</f>
        <v>Tue</v>
      </c>
      <c r="S132" t="str">
        <f>IF(Cleaned_Data[[#This Row],[Net_Sales]]&gt;=100000,"High",IF(Cleaned_Data[[#This Row],[Net_Sales]]&gt;=50000,"Medium","Low"))</f>
        <v>Low</v>
      </c>
    </row>
    <row r="133" spans="1:19" x14ac:dyDescent="0.3">
      <c r="A133" t="s">
        <v>279</v>
      </c>
      <c r="B133" s="1">
        <v>45020</v>
      </c>
      <c r="C133" t="s">
        <v>244</v>
      </c>
      <c r="D133" t="s">
        <v>245</v>
      </c>
      <c r="E133" t="s">
        <v>81</v>
      </c>
      <c r="F133" t="s">
        <v>110</v>
      </c>
      <c r="G133" t="s">
        <v>17</v>
      </c>
      <c r="H133" t="s">
        <v>88</v>
      </c>
      <c r="I133">
        <v>1</v>
      </c>
      <c r="J133" s="8">
        <v>48500</v>
      </c>
      <c r="K133">
        <v>15</v>
      </c>
      <c r="L133" t="s">
        <v>19</v>
      </c>
      <c r="M133" s="5">
        <f>Cleaned_Data[[#This Row],[Quantity]]*Cleaned_Data[[#This Row],[Unit_Price]]</f>
        <v>48500</v>
      </c>
      <c r="N133" s="7">
        <f>Cleaned_Data[[#This Row],[Total_sales]]*(Cleaned_Data[[#This Row],[Discount_Percent]]/100)</f>
        <v>7275</v>
      </c>
      <c r="O133" s="7">
        <f>Cleaned_Data[[#This Row],[Total_sales]]-Cleaned_Data[[#This Row],[Discount_Amount]]</f>
        <v>41225</v>
      </c>
      <c r="P133" t="str">
        <f>TEXT(Cleaned_Data[[#This Row],[Order_Date]],"MMM-YYYY")</f>
        <v>Apr-2023</v>
      </c>
      <c r="Q133" t="str">
        <f>"Q"&amp;ROUNDUP(MONTH(Cleaned_Data[[#This Row],[Order_Date]])/3,0)&amp;"-2023"</f>
        <v>Q2-2023</v>
      </c>
      <c r="R133" t="str">
        <f>TEXT(Cleaned_Data[[#This Row],[Order_Date]],"DDD")</f>
        <v>Tue</v>
      </c>
      <c r="S133" t="str">
        <f>IF(Cleaned_Data[[#This Row],[Net_Sales]]&gt;=100000,"High",IF(Cleaned_Data[[#This Row],[Net_Sales]]&gt;=50000,"Medium","Low"))</f>
        <v>Low</v>
      </c>
    </row>
    <row r="134" spans="1:19" x14ac:dyDescent="0.3">
      <c r="A134" t="s">
        <v>280</v>
      </c>
      <c r="B134" s="1">
        <v>45020</v>
      </c>
      <c r="C134" t="s">
        <v>176</v>
      </c>
      <c r="D134" t="s">
        <v>177</v>
      </c>
      <c r="E134" t="s">
        <v>37</v>
      </c>
      <c r="F134" t="s">
        <v>38</v>
      </c>
      <c r="G134" t="s">
        <v>17</v>
      </c>
      <c r="H134" t="s">
        <v>196</v>
      </c>
      <c r="I134">
        <v>1</v>
      </c>
      <c r="J134" s="8">
        <v>49700</v>
      </c>
      <c r="K134">
        <v>0</v>
      </c>
      <c r="L134" t="s">
        <v>53</v>
      </c>
      <c r="M134" s="5">
        <f>Cleaned_Data[[#This Row],[Quantity]]*Cleaned_Data[[#This Row],[Unit_Price]]</f>
        <v>49700</v>
      </c>
      <c r="N134" s="7">
        <f>Cleaned_Data[[#This Row],[Total_sales]]*(Cleaned_Data[[#This Row],[Discount_Percent]]/100)</f>
        <v>0</v>
      </c>
      <c r="O134" s="7">
        <f>Cleaned_Data[[#This Row],[Total_sales]]-Cleaned_Data[[#This Row],[Discount_Amount]]</f>
        <v>49700</v>
      </c>
      <c r="P134" t="str">
        <f>TEXT(Cleaned_Data[[#This Row],[Order_Date]],"MMM-YYYY")</f>
        <v>Apr-2023</v>
      </c>
      <c r="Q134" t="str">
        <f>"Q"&amp;ROUNDUP(MONTH(Cleaned_Data[[#This Row],[Order_Date]])/3,0)&amp;"-2023"</f>
        <v>Q2-2023</v>
      </c>
      <c r="R134" t="str">
        <f>TEXT(Cleaned_Data[[#This Row],[Order_Date]],"DDD")</f>
        <v>Tue</v>
      </c>
      <c r="S134" t="str">
        <f>IF(Cleaned_Data[[#This Row],[Net_Sales]]&gt;=100000,"High",IF(Cleaned_Data[[#This Row],[Net_Sales]]&gt;=50000,"Medium","Low"))</f>
        <v>Low</v>
      </c>
    </row>
    <row r="135" spans="1:19" x14ac:dyDescent="0.3">
      <c r="A135" t="s">
        <v>281</v>
      </c>
      <c r="B135" s="1">
        <v>45020</v>
      </c>
      <c r="C135" t="s">
        <v>115</v>
      </c>
      <c r="D135" t="s">
        <v>116</v>
      </c>
      <c r="E135" t="s">
        <v>23</v>
      </c>
      <c r="F135" t="s">
        <v>44</v>
      </c>
      <c r="G135" t="s">
        <v>45</v>
      </c>
      <c r="H135" t="s">
        <v>46</v>
      </c>
      <c r="I135">
        <v>1</v>
      </c>
      <c r="J135" s="8">
        <v>32100</v>
      </c>
      <c r="K135">
        <v>15</v>
      </c>
      <c r="L135" t="s">
        <v>19</v>
      </c>
      <c r="M135" s="5">
        <f>Cleaned_Data[[#This Row],[Quantity]]*Cleaned_Data[[#This Row],[Unit_Price]]</f>
        <v>32100</v>
      </c>
      <c r="N135" s="7">
        <f>Cleaned_Data[[#This Row],[Total_sales]]*(Cleaned_Data[[#This Row],[Discount_Percent]]/100)</f>
        <v>4815</v>
      </c>
      <c r="O135" s="7">
        <f>Cleaned_Data[[#This Row],[Total_sales]]-Cleaned_Data[[#This Row],[Discount_Amount]]</f>
        <v>27285</v>
      </c>
      <c r="P135" t="str">
        <f>TEXT(Cleaned_Data[[#This Row],[Order_Date]],"MMM-YYYY")</f>
        <v>Apr-2023</v>
      </c>
      <c r="Q135" t="str">
        <f>"Q"&amp;ROUNDUP(MONTH(Cleaned_Data[[#This Row],[Order_Date]])/3,0)&amp;"-2023"</f>
        <v>Q2-2023</v>
      </c>
      <c r="R135" t="str">
        <f>TEXT(Cleaned_Data[[#This Row],[Order_Date]],"DDD")</f>
        <v>Tue</v>
      </c>
      <c r="S135" t="str">
        <f>IF(Cleaned_Data[[#This Row],[Net_Sales]]&gt;=100000,"High",IF(Cleaned_Data[[#This Row],[Net_Sales]]&gt;=50000,"Medium","Low"))</f>
        <v>Low</v>
      </c>
    </row>
    <row r="136" spans="1:19" x14ac:dyDescent="0.3">
      <c r="A136" t="s">
        <v>282</v>
      </c>
      <c r="B136" s="1">
        <v>45050</v>
      </c>
      <c r="C136" t="s">
        <v>21</v>
      </c>
      <c r="D136" t="s">
        <v>22</v>
      </c>
      <c r="E136" t="s">
        <v>81</v>
      </c>
      <c r="F136" t="s">
        <v>117</v>
      </c>
      <c r="G136" t="s">
        <v>17</v>
      </c>
      <c r="H136" t="s">
        <v>196</v>
      </c>
      <c r="I136">
        <v>1</v>
      </c>
      <c r="J136" s="8">
        <v>60000</v>
      </c>
      <c r="K136">
        <v>5</v>
      </c>
      <c r="L136" t="s">
        <v>53</v>
      </c>
      <c r="M136" s="5">
        <f>Cleaned_Data[[#This Row],[Quantity]]*Cleaned_Data[[#This Row],[Unit_Price]]</f>
        <v>60000</v>
      </c>
      <c r="N136" s="7">
        <f>Cleaned_Data[[#This Row],[Total_sales]]*(Cleaned_Data[[#This Row],[Discount_Percent]]/100)</f>
        <v>3000</v>
      </c>
      <c r="O136" s="7">
        <f>Cleaned_Data[[#This Row],[Total_sales]]-Cleaned_Data[[#This Row],[Discount_Amount]]</f>
        <v>57000</v>
      </c>
      <c r="P136" t="str">
        <f>TEXT(Cleaned_Data[[#This Row],[Order_Date]],"MMM-YYYY")</f>
        <v>May-2023</v>
      </c>
      <c r="Q136" t="str">
        <f>"Q"&amp;ROUNDUP(MONTH(Cleaned_Data[[#This Row],[Order_Date]])/3,0)&amp;"-2023"</f>
        <v>Q2-2023</v>
      </c>
      <c r="R136" t="str">
        <f>TEXT(Cleaned_Data[[#This Row],[Order_Date]],"DDD")</f>
        <v>Thu</v>
      </c>
      <c r="S136" t="str">
        <f>IF(Cleaned_Data[[#This Row],[Net_Sales]]&gt;=100000,"High",IF(Cleaned_Data[[#This Row],[Net_Sales]]&gt;=50000,"Medium","Low"))</f>
        <v>Medium</v>
      </c>
    </row>
    <row r="137" spans="1:19" x14ac:dyDescent="0.3">
      <c r="A137" t="s">
        <v>283</v>
      </c>
      <c r="B137" s="1">
        <v>45050</v>
      </c>
      <c r="C137" t="s">
        <v>284</v>
      </c>
      <c r="D137" t="s">
        <v>285</v>
      </c>
      <c r="E137" t="s">
        <v>23</v>
      </c>
      <c r="F137" t="s">
        <v>31</v>
      </c>
      <c r="G137" t="s">
        <v>17</v>
      </c>
      <c r="H137" t="s">
        <v>88</v>
      </c>
      <c r="I137">
        <v>2</v>
      </c>
      <c r="J137" s="8">
        <v>57200</v>
      </c>
      <c r="K137">
        <v>10</v>
      </c>
      <c r="L137" t="s">
        <v>53</v>
      </c>
      <c r="M137" s="5">
        <f>Cleaned_Data[[#This Row],[Quantity]]*Cleaned_Data[[#This Row],[Unit_Price]]</f>
        <v>114400</v>
      </c>
      <c r="N137" s="7">
        <f>Cleaned_Data[[#This Row],[Total_sales]]*(Cleaned_Data[[#This Row],[Discount_Percent]]/100)</f>
        <v>11440</v>
      </c>
      <c r="O137" s="7">
        <f>Cleaned_Data[[#This Row],[Total_sales]]-Cleaned_Data[[#This Row],[Discount_Amount]]</f>
        <v>102960</v>
      </c>
      <c r="P137" t="str">
        <f>TEXT(Cleaned_Data[[#This Row],[Order_Date]],"MMM-YYYY")</f>
        <v>May-2023</v>
      </c>
      <c r="Q137" t="str">
        <f>"Q"&amp;ROUNDUP(MONTH(Cleaned_Data[[#This Row],[Order_Date]])/3,0)&amp;"-2023"</f>
        <v>Q2-2023</v>
      </c>
      <c r="R137" t="str">
        <f>TEXT(Cleaned_Data[[#This Row],[Order_Date]],"DDD")</f>
        <v>Thu</v>
      </c>
      <c r="S137" t="str">
        <f>IF(Cleaned_Data[[#This Row],[Net_Sales]]&gt;=100000,"High",IF(Cleaned_Data[[#This Row],[Net_Sales]]&gt;=50000,"Medium","Low"))</f>
        <v>High</v>
      </c>
    </row>
    <row r="138" spans="1:19" x14ac:dyDescent="0.3">
      <c r="A138" t="s">
        <v>286</v>
      </c>
      <c r="B138" s="1">
        <v>45081</v>
      </c>
      <c r="C138" t="s">
        <v>236</v>
      </c>
      <c r="D138" t="s">
        <v>237</v>
      </c>
      <c r="E138" t="s">
        <v>37</v>
      </c>
      <c r="F138" t="s">
        <v>141</v>
      </c>
      <c r="G138" t="s">
        <v>25</v>
      </c>
      <c r="H138" t="s">
        <v>26</v>
      </c>
      <c r="I138">
        <v>2</v>
      </c>
      <c r="J138" s="8">
        <v>1700</v>
      </c>
      <c r="K138">
        <v>5</v>
      </c>
      <c r="L138" t="s">
        <v>53</v>
      </c>
      <c r="M138" s="5">
        <f>Cleaned_Data[[#This Row],[Quantity]]*Cleaned_Data[[#This Row],[Unit_Price]]</f>
        <v>3400</v>
      </c>
      <c r="N138" s="7">
        <f>Cleaned_Data[[#This Row],[Total_sales]]*(Cleaned_Data[[#This Row],[Discount_Percent]]/100)</f>
        <v>170</v>
      </c>
      <c r="O138" s="7">
        <f>Cleaned_Data[[#This Row],[Total_sales]]-Cleaned_Data[[#This Row],[Discount_Amount]]</f>
        <v>3230</v>
      </c>
      <c r="P138" t="str">
        <f>TEXT(Cleaned_Data[[#This Row],[Order_Date]],"MMM-YYYY")</f>
        <v>Jun-2023</v>
      </c>
      <c r="Q138" t="str">
        <f>"Q"&amp;ROUNDUP(MONTH(Cleaned_Data[[#This Row],[Order_Date]])/3,0)&amp;"-2023"</f>
        <v>Q2-2023</v>
      </c>
      <c r="R138" t="str">
        <f>TEXT(Cleaned_Data[[#This Row],[Order_Date]],"DDD")</f>
        <v>Sun</v>
      </c>
      <c r="S138" t="str">
        <f>IF(Cleaned_Data[[#This Row],[Net_Sales]]&gt;=100000,"High",IF(Cleaned_Data[[#This Row],[Net_Sales]]&gt;=50000,"Medium","Low"))</f>
        <v>Low</v>
      </c>
    </row>
    <row r="139" spans="1:19" x14ac:dyDescent="0.3">
      <c r="A139" t="s">
        <v>287</v>
      </c>
      <c r="B139" s="1">
        <v>45111</v>
      </c>
      <c r="C139" t="s">
        <v>232</v>
      </c>
      <c r="D139" t="s">
        <v>233</v>
      </c>
      <c r="E139" t="s">
        <v>15</v>
      </c>
      <c r="F139" t="s">
        <v>119</v>
      </c>
      <c r="G139" t="s">
        <v>45</v>
      </c>
      <c r="H139" t="s">
        <v>207</v>
      </c>
      <c r="I139">
        <v>1</v>
      </c>
      <c r="J139" s="8">
        <v>32500</v>
      </c>
      <c r="K139">
        <v>25</v>
      </c>
      <c r="L139" t="s">
        <v>103</v>
      </c>
      <c r="M139" s="5">
        <f>Cleaned_Data[[#This Row],[Quantity]]*Cleaned_Data[[#This Row],[Unit_Price]]</f>
        <v>32500</v>
      </c>
      <c r="N139" s="7">
        <f>Cleaned_Data[[#This Row],[Total_sales]]*(Cleaned_Data[[#This Row],[Discount_Percent]]/100)</f>
        <v>8125</v>
      </c>
      <c r="O139" s="7">
        <f>Cleaned_Data[[#This Row],[Total_sales]]-Cleaned_Data[[#This Row],[Discount_Amount]]</f>
        <v>24375</v>
      </c>
      <c r="P139" t="str">
        <f>TEXT(Cleaned_Data[[#This Row],[Order_Date]],"MMM-YYYY")</f>
        <v>Jul-2023</v>
      </c>
      <c r="Q139" t="str">
        <f>"Q"&amp;ROUNDUP(MONTH(Cleaned_Data[[#This Row],[Order_Date]])/3,0)&amp;"-2023"</f>
        <v>Q3-2023</v>
      </c>
      <c r="R139" t="str">
        <f>TEXT(Cleaned_Data[[#This Row],[Order_Date]],"DDD")</f>
        <v>Tue</v>
      </c>
      <c r="S139" t="str">
        <f>IF(Cleaned_Data[[#This Row],[Net_Sales]]&gt;=100000,"High",IF(Cleaned_Data[[#This Row],[Net_Sales]]&gt;=50000,"Medium","Low"))</f>
        <v>Low</v>
      </c>
    </row>
    <row r="140" spans="1:19" x14ac:dyDescent="0.3">
      <c r="A140" t="s">
        <v>288</v>
      </c>
      <c r="B140" s="1">
        <v>45142</v>
      </c>
      <c r="C140" t="s">
        <v>84</v>
      </c>
      <c r="D140" t="s">
        <v>85</v>
      </c>
      <c r="E140" t="s">
        <v>81</v>
      </c>
      <c r="F140" t="s">
        <v>160</v>
      </c>
      <c r="G140" t="s">
        <v>45</v>
      </c>
      <c r="H140" t="s">
        <v>46</v>
      </c>
      <c r="I140">
        <v>1</v>
      </c>
      <c r="J140" s="8">
        <v>31000</v>
      </c>
      <c r="K140">
        <v>0</v>
      </c>
      <c r="L140" t="s">
        <v>47</v>
      </c>
      <c r="M140" s="5">
        <f>Cleaned_Data[[#This Row],[Quantity]]*Cleaned_Data[[#This Row],[Unit_Price]]</f>
        <v>31000</v>
      </c>
      <c r="N140" s="7">
        <f>Cleaned_Data[[#This Row],[Total_sales]]*(Cleaned_Data[[#This Row],[Discount_Percent]]/100)</f>
        <v>0</v>
      </c>
      <c r="O140" s="7">
        <f>Cleaned_Data[[#This Row],[Total_sales]]-Cleaned_Data[[#This Row],[Discount_Amount]]</f>
        <v>31000</v>
      </c>
      <c r="P140" t="str">
        <f>TEXT(Cleaned_Data[[#This Row],[Order_Date]],"MMM-YYYY")</f>
        <v>Aug-2023</v>
      </c>
      <c r="Q140" t="str">
        <f>"Q"&amp;ROUNDUP(MONTH(Cleaned_Data[[#This Row],[Order_Date]])/3,0)&amp;"-2023"</f>
        <v>Q3-2023</v>
      </c>
      <c r="R140" t="str">
        <f>TEXT(Cleaned_Data[[#This Row],[Order_Date]],"DDD")</f>
        <v>Fri</v>
      </c>
      <c r="S140" t="str">
        <f>IF(Cleaned_Data[[#This Row],[Net_Sales]]&gt;=100000,"High",IF(Cleaned_Data[[#This Row],[Net_Sales]]&gt;=50000,"Medium","Low"))</f>
        <v>Low</v>
      </c>
    </row>
    <row r="141" spans="1:19" x14ac:dyDescent="0.3">
      <c r="A141" t="s">
        <v>289</v>
      </c>
      <c r="B141" s="1">
        <v>45142</v>
      </c>
      <c r="C141" t="s">
        <v>188</v>
      </c>
      <c r="D141" t="s">
        <v>189</v>
      </c>
      <c r="E141" t="s">
        <v>15</v>
      </c>
      <c r="F141" t="s">
        <v>131</v>
      </c>
      <c r="G141" t="s">
        <v>97</v>
      </c>
      <c r="H141" t="s">
        <v>133</v>
      </c>
      <c r="I141">
        <v>1</v>
      </c>
      <c r="J141" s="8">
        <v>51200</v>
      </c>
      <c r="K141">
        <v>15</v>
      </c>
      <c r="L141" t="s">
        <v>19</v>
      </c>
      <c r="M141" s="5">
        <f>Cleaned_Data[[#This Row],[Quantity]]*Cleaned_Data[[#This Row],[Unit_Price]]</f>
        <v>51200</v>
      </c>
      <c r="N141" s="7">
        <f>Cleaned_Data[[#This Row],[Total_sales]]*(Cleaned_Data[[#This Row],[Discount_Percent]]/100)</f>
        <v>7680</v>
      </c>
      <c r="O141" s="7">
        <f>Cleaned_Data[[#This Row],[Total_sales]]-Cleaned_Data[[#This Row],[Discount_Amount]]</f>
        <v>43520</v>
      </c>
      <c r="P141" t="str">
        <f>TEXT(Cleaned_Data[[#This Row],[Order_Date]],"MMM-YYYY")</f>
        <v>Aug-2023</v>
      </c>
      <c r="Q141" t="str">
        <f>"Q"&amp;ROUNDUP(MONTH(Cleaned_Data[[#This Row],[Order_Date]])/3,0)&amp;"-2023"</f>
        <v>Q3-2023</v>
      </c>
      <c r="R141" t="str">
        <f>TEXT(Cleaned_Data[[#This Row],[Order_Date]],"DDD")</f>
        <v>Fri</v>
      </c>
      <c r="S141" t="str">
        <f>IF(Cleaned_Data[[#This Row],[Net_Sales]]&gt;=100000,"High",IF(Cleaned_Data[[#This Row],[Net_Sales]]&gt;=50000,"Medium","Low"))</f>
        <v>Low</v>
      </c>
    </row>
    <row r="142" spans="1:19" x14ac:dyDescent="0.3">
      <c r="A142" t="s">
        <v>290</v>
      </c>
      <c r="B142" s="1">
        <v>45173</v>
      </c>
      <c r="C142" t="s">
        <v>180</v>
      </c>
      <c r="D142" t="s">
        <v>181</v>
      </c>
      <c r="E142" t="s">
        <v>81</v>
      </c>
      <c r="F142" t="s">
        <v>160</v>
      </c>
      <c r="G142" t="s">
        <v>25</v>
      </c>
      <c r="H142" t="s">
        <v>108</v>
      </c>
      <c r="I142">
        <v>2</v>
      </c>
      <c r="J142" s="8">
        <v>2000</v>
      </c>
      <c r="K142">
        <v>5</v>
      </c>
      <c r="L142" t="s">
        <v>62</v>
      </c>
      <c r="M142" s="5">
        <f>Cleaned_Data[[#This Row],[Quantity]]*Cleaned_Data[[#This Row],[Unit_Price]]</f>
        <v>4000</v>
      </c>
      <c r="N142" s="7">
        <f>Cleaned_Data[[#This Row],[Total_sales]]*(Cleaned_Data[[#This Row],[Discount_Percent]]/100)</f>
        <v>200</v>
      </c>
      <c r="O142" s="7">
        <f>Cleaned_Data[[#This Row],[Total_sales]]-Cleaned_Data[[#This Row],[Discount_Amount]]</f>
        <v>3800</v>
      </c>
      <c r="P142" t="str">
        <f>TEXT(Cleaned_Data[[#This Row],[Order_Date]],"MMM-YYYY")</f>
        <v>Sep-2023</v>
      </c>
      <c r="Q142" t="str">
        <f>"Q"&amp;ROUNDUP(MONTH(Cleaned_Data[[#This Row],[Order_Date]])/3,0)&amp;"-2023"</f>
        <v>Q3-2023</v>
      </c>
      <c r="R142" t="str">
        <f>TEXT(Cleaned_Data[[#This Row],[Order_Date]],"DDD")</f>
        <v>Mon</v>
      </c>
      <c r="S142" t="str">
        <f>IF(Cleaned_Data[[#This Row],[Net_Sales]]&gt;=100000,"High",IF(Cleaned_Data[[#This Row],[Net_Sales]]&gt;=50000,"Medium","Low"))</f>
        <v>Low</v>
      </c>
    </row>
    <row r="143" spans="1:19" x14ac:dyDescent="0.3">
      <c r="A143" t="s">
        <v>291</v>
      </c>
      <c r="B143" s="1">
        <v>45173</v>
      </c>
      <c r="C143" t="s">
        <v>165</v>
      </c>
      <c r="D143" t="s">
        <v>166</v>
      </c>
      <c r="E143" t="s">
        <v>37</v>
      </c>
      <c r="F143" t="s">
        <v>141</v>
      </c>
      <c r="G143" t="s">
        <v>97</v>
      </c>
      <c r="H143" t="s">
        <v>171</v>
      </c>
      <c r="I143">
        <v>1</v>
      </c>
      <c r="J143" s="8">
        <v>44000</v>
      </c>
      <c r="K143">
        <v>10</v>
      </c>
      <c r="L143" t="s">
        <v>27</v>
      </c>
      <c r="M143" s="5">
        <f>Cleaned_Data[[#This Row],[Quantity]]*Cleaned_Data[[#This Row],[Unit_Price]]</f>
        <v>44000</v>
      </c>
      <c r="N143" s="7">
        <f>Cleaned_Data[[#This Row],[Total_sales]]*(Cleaned_Data[[#This Row],[Discount_Percent]]/100)</f>
        <v>4400</v>
      </c>
      <c r="O143" s="7">
        <f>Cleaned_Data[[#This Row],[Total_sales]]-Cleaned_Data[[#This Row],[Discount_Amount]]</f>
        <v>39600</v>
      </c>
      <c r="P143" t="str">
        <f>TEXT(Cleaned_Data[[#This Row],[Order_Date]],"MMM-YYYY")</f>
        <v>Sep-2023</v>
      </c>
      <c r="Q143" t="str">
        <f>"Q"&amp;ROUNDUP(MONTH(Cleaned_Data[[#This Row],[Order_Date]])/3,0)&amp;"-2023"</f>
        <v>Q3-2023</v>
      </c>
      <c r="R143" t="str">
        <f>TEXT(Cleaned_Data[[#This Row],[Order_Date]],"DDD")</f>
        <v>Mon</v>
      </c>
      <c r="S143" t="str">
        <f>IF(Cleaned_Data[[#This Row],[Net_Sales]]&gt;=100000,"High",IF(Cleaned_Data[[#This Row],[Net_Sales]]&gt;=50000,"Medium","Low"))</f>
        <v>Low</v>
      </c>
    </row>
    <row r="144" spans="1:19" x14ac:dyDescent="0.3">
      <c r="A144" t="s">
        <v>292</v>
      </c>
      <c r="B144" s="1">
        <v>45203</v>
      </c>
      <c r="C144" t="s">
        <v>70</v>
      </c>
      <c r="D144" t="s">
        <v>71</v>
      </c>
      <c r="E144" t="s">
        <v>23</v>
      </c>
      <c r="F144" t="s">
        <v>44</v>
      </c>
      <c r="G144" t="s">
        <v>39</v>
      </c>
      <c r="H144" t="s">
        <v>57</v>
      </c>
      <c r="I144">
        <v>1</v>
      </c>
      <c r="J144" s="8">
        <v>29400</v>
      </c>
      <c r="K144">
        <v>5</v>
      </c>
      <c r="L144" t="s">
        <v>53</v>
      </c>
      <c r="M144" s="5">
        <f>Cleaned_Data[[#This Row],[Quantity]]*Cleaned_Data[[#This Row],[Unit_Price]]</f>
        <v>29400</v>
      </c>
      <c r="N144" s="7">
        <f>Cleaned_Data[[#This Row],[Total_sales]]*(Cleaned_Data[[#This Row],[Discount_Percent]]/100)</f>
        <v>1470</v>
      </c>
      <c r="O144" s="7">
        <f>Cleaned_Data[[#This Row],[Total_sales]]-Cleaned_Data[[#This Row],[Discount_Amount]]</f>
        <v>27930</v>
      </c>
      <c r="P144" t="str">
        <f>TEXT(Cleaned_Data[[#This Row],[Order_Date]],"MMM-YYYY")</f>
        <v>Oct-2023</v>
      </c>
      <c r="Q144" t="str">
        <f>"Q"&amp;ROUNDUP(MONTH(Cleaned_Data[[#This Row],[Order_Date]])/3,0)&amp;"-2023"</f>
        <v>Q4-2023</v>
      </c>
      <c r="R144" t="str">
        <f>TEXT(Cleaned_Data[[#This Row],[Order_Date]],"DDD")</f>
        <v>Wed</v>
      </c>
      <c r="S144" t="str">
        <f>IF(Cleaned_Data[[#This Row],[Net_Sales]]&gt;=100000,"High",IF(Cleaned_Data[[#This Row],[Net_Sales]]&gt;=50000,"Medium","Low"))</f>
        <v>Low</v>
      </c>
    </row>
    <row r="145" spans="1:19" x14ac:dyDescent="0.3">
      <c r="A145" t="s">
        <v>293</v>
      </c>
      <c r="B145" s="1">
        <v>45203</v>
      </c>
      <c r="C145" t="s">
        <v>90</v>
      </c>
      <c r="D145" t="s">
        <v>91</v>
      </c>
      <c r="E145" t="s">
        <v>37</v>
      </c>
      <c r="F145" t="s">
        <v>101</v>
      </c>
      <c r="G145" t="s">
        <v>17</v>
      </c>
      <c r="H145" t="s">
        <v>18</v>
      </c>
      <c r="I145">
        <v>1</v>
      </c>
      <c r="J145" s="8">
        <v>60000</v>
      </c>
      <c r="K145">
        <v>5</v>
      </c>
      <c r="L145" t="s">
        <v>53</v>
      </c>
      <c r="M145" s="5">
        <f>Cleaned_Data[[#This Row],[Quantity]]*Cleaned_Data[[#This Row],[Unit_Price]]</f>
        <v>60000</v>
      </c>
      <c r="N145" s="7">
        <f>Cleaned_Data[[#This Row],[Total_sales]]*(Cleaned_Data[[#This Row],[Discount_Percent]]/100)</f>
        <v>3000</v>
      </c>
      <c r="O145" s="7">
        <f>Cleaned_Data[[#This Row],[Total_sales]]-Cleaned_Data[[#This Row],[Discount_Amount]]</f>
        <v>57000</v>
      </c>
      <c r="P145" t="str">
        <f>TEXT(Cleaned_Data[[#This Row],[Order_Date]],"MMM-YYYY")</f>
        <v>Oct-2023</v>
      </c>
      <c r="Q145" t="str">
        <f>"Q"&amp;ROUNDUP(MONTH(Cleaned_Data[[#This Row],[Order_Date]])/3,0)&amp;"-2023"</f>
        <v>Q4-2023</v>
      </c>
      <c r="R145" t="str">
        <f>TEXT(Cleaned_Data[[#This Row],[Order_Date]],"DDD")</f>
        <v>Wed</v>
      </c>
      <c r="S145" t="str">
        <f>IF(Cleaned_Data[[#This Row],[Net_Sales]]&gt;=100000,"High",IF(Cleaned_Data[[#This Row],[Net_Sales]]&gt;=50000,"Medium","Low"))</f>
        <v>Medium</v>
      </c>
    </row>
    <row r="146" spans="1:19" x14ac:dyDescent="0.3">
      <c r="A146" t="s">
        <v>294</v>
      </c>
      <c r="B146" s="1">
        <v>45203</v>
      </c>
      <c r="C146" t="s">
        <v>135</v>
      </c>
      <c r="D146" t="s">
        <v>136</v>
      </c>
      <c r="E146" t="s">
        <v>15</v>
      </c>
      <c r="F146" t="s">
        <v>131</v>
      </c>
      <c r="G146" t="s">
        <v>39</v>
      </c>
      <c r="H146" t="s">
        <v>40</v>
      </c>
      <c r="I146">
        <v>1</v>
      </c>
      <c r="J146" s="8">
        <v>10300</v>
      </c>
      <c r="K146">
        <v>15</v>
      </c>
      <c r="L146" t="s">
        <v>19</v>
      </c>
      <c r="M146" s="5">
        <f>Cleaned_Data[[#This Row],[Quantity]]*Cleaned_Data[[#This Row],[Unit_Price]]</f>
        <v>10300</v>
      </c>
      <c r="N146" s="7">
        <f>Cleaned_Data[[#This Row],[Total_sales]]*(Cleaned_Data[[#This Row],[Discount_Percent]]/100)</f>
        <v>1545</v>
      </c>
      <c r="O146" s="7">
        <f>Cleaned_Data[[#This Row],[Total_sales]]-Cleaned_Data[[#This Row],[Discount_Amount]]</f>
        <v>8755</v>
      </c>
      <c r="P146" t="str">
        <f>TEXT(Cleaned_Data[[#This Row],[Order_Date]],"MMM-YYYY")</f>
        <v>Oct-2023</v>
      </c>
      <c r="Q146" t="str">
        <f>"Q"&amp;ROUNDUP(MONTH(Cleaned_Data[[#This Row],[Order_Date]])/3,0)&amp;"-2023"</f>
        <v>Q4-2023</v>
      </c>
      <c r="R146" t="str">
        <f>TEXT(Cleaned_Data[[#This Row],[Order_Date]],"DDD")</f>
        <v>Wed</v>
      </c>
      <c r="S146" t="str">
        <f>IF(Cleaned_Data[[#This Row],[Net_Sales]]&gt;=100000,"High",IF(Cleaned_Data[[#This Row],[Net_Sales]]&gt;=50000,"Medium","Low"))</f>
        <v>Low</v>
      </c>
    </row>
    <row r="147" spans="1:19" x14ac:dyDescent="0.3">
      <c r="A147" t="s">
        <v>295</v>
      </c>
      <c r="B147" s="1">
        <v>45234</v>
      </c>
      <c r="C147" t="s">
        <v>105</v>
      </c>
      <c r="D147" t="s">
        <v>106</v>
      </c>
      <c r="E147" t="s">
        <v>81</v>
      </c>
      <c r="F147" t="s">
        <v>117</v>
      </c>
      <c r="G147" t="s">
        <v>97</v>
      </c>
      <c r="H147" t="s">
        <v>98</v>
      </c>
      <c r="I147">
        <v>1</v>
      </c>
      <c r="J147" s="8">
        <v>63100</v>
      </c>
      <c r="K147">
        <v>0</v>
      </c>
      <c r="L147" t="s">
        <v>19</v>
      </c>
      <c r="M147" s="5">
        <f>Cleaned_Data[[#This Row],[Quantity]]*Cleaned_Data[[#This Row],[Unit_Price]]</f>
        <v>63100</v>
      </c>
      <c r="N147" s="7">
        <f>Cleaned_Data[[#This Row],[Total_sales]]*(Cleaned_Data[[#This Row],[Discount_Percent]]/100)</f>
        <v>0</v>
      </c>
      <c r="O147" s="7">
        <f>Cleaned_Data[[#This Row],[Total_sales]]-Cleaned_Data[[#This Row],[Discount_Amount]]</f>
        <v>63100</v>
      </c>
      <c r="P147" t="str">
        <f>TEXT(Cleaned_Data[[#This Row],[Order_Date]],"MMM-YYYY")</f>
        <v>Nov-2023</v>
      </c>
      <c r="Q147" t="str">
        <f>"Q"&amp;ROUNDUP(MONTH(Cleaned_Data[[#This Row],[Order_Date]])/3,0)&amp;"-2023"</f>
        <v>Q4-2023</v>
      </c>
      <c r="R147" t="str">
        <f>TEXT(Cleaned_Data[[#This Row],[Order_Date]],"DDD")</f>
        <v>Sat</v>
      </c>
      <c r="S147" t="str">
        <f>IF(Cleaned_Data[[#This Row],[Net_Sales]]&gt;=100000,"High",IF(Cleaned_Data[[#This Row],[Net_Sales]]&gt;=50000,"Medium","Low"))</f>
        <v>Medium</v>
      </c>
    </row>
    <row r="148" spans="1:19" x14ac:dyDescent="0.3">
      <c r="A148" t="s">
        <v>296</v>
      </c>
      <c r="B148" s="1">
        <v>45234</v>
      </c>
      <c r="C148" t="s">
        <v>59</v>
      </c>
      <c r="D148" t="s">
        <v>60</v>
      </c>
      <c r="E148" t="s">
        <v>37</v>
      </c>
      <c r="F148" t="s">
        <v>61</v>
      </c>
      <c r="G148" t="s">
        <v>17</v>
      </c>
      <c r="H148" t="s">
        <v>77</v>
      </c>
      <c r="I148">
        <v>1</v>
      </c>
      <c r="J148" s="8">
        <v>32200</v>
      </c>
      <c r="K148">
        <v>0</v>
      </c>
      <c r="L148" t="s">
        <v>62</v>
      </c>
      <c r="M148" s="5">
        <f>Cleaned_Data[[#This Row],[Quantity]]*Cleaned_Data[[#This Row],[Unit_Price]]</f>
        <v>32200</v>
      </c>
      <c r="N148" s="7">
        <f>Cleaned_Data[[#This Row],[Total_sales]]*(Cleaned_Data[[#This Row],[Discount_Percent]]/100)</f>
        <v>0</v>
      </c>
      <c r="O148" s="7">
        <f>Cleaned_Data[[#This Row],[Total_sales]]-Cleaned_Data[[#This Row],[Discount_Amount]]</f>
        <v>32200</v>
      </c>
      <c r="P148" t="str">
        <f>TEXT(Cleaned_Data[[#This Row],[Order_Date]],"MMM-YYYY")</f>
        <v>Nov-2023</v>
      </c>
      <c r="Q148" t="str">
        <f>"Q"&amp;ROUNDUP(MONTH(Cleaned_Data[[#This Row],[Order_Date]])/3,0)&amp;"-2023"</f>
        <v>Q4-2023</v>
      </c>
      <c r="R148" t="str">
        <f>TEXT(Cleaned_Data[[#This Row],[Order_Date]],"DDD")</f>
        <v>Sat</v>
      </c>
      <c r="S148" t="str">
        <f>IF(Cleaned_Data[[#This Row],[Net_Sales]]&gt;=100000,"High",IF(Cleaned_Data[[#This Row],[Net_Sales]]&gt;=50000,"Medium","Low"))</f>
        <v>Low</v>
      </c>
    </row>
    <row r="149" spans="1:19" x14ac:dyDescent="0.3">
      <c r="A149" t="s">
        <v>297</v>
      </c>
      <c r="B149" s="1">
        <v>44931</v>
      </c>
      <c r="C149" t="s">
        <v>42</v>
      </c>
      <c r="D149" t="s">
        <v>43</v>
      </c>
      <c r="E149" t="s">
        <v>66</v>
      </c>
      <c r="F149" t="s">
        <v>67</v>
      </c>
      <c r="G149" t="s">
        <v>97</v>
      </c>
      <c r="H149" t="s">
        <v>154</v>
      </c>
      <c r="I149">
        <v>1</v>
      </c>
      <c r="J149" s="8">
        <v>54100</v>
      </c>
      <c r="K149">
        <v>5</v>
      </c>
      <c r="L149" t="s">
        <v>47</v>
      </c>
      <c r="M149" s="5">
        <f>Cleaned_Data[[#This Row],[Quantity]]*Cleaned_Data[[#This Row],[Unit_Price]]</f>
        <v>54100</v>
      </c>
      <c r="N149" s="7">
        <f>Cleaned_Data[[#This Row],[Total_sales]]*(Cleaned_Data[[#This Row],[Discount_Percent]]/100)</f>
        <v>2705</v>
      </c>
      <c r="O149" s="7">
        <f>Cleaned_Data[[#This Row],[Total_sales]]-Cleaned_Data[[#This Row],[Discount_Amount]]</f>
        <v>51395</v>
      </c>
      <c r="P149" t="str">
        <f>TEXT(Cleaned_Data[[#This Row],[Order_Date]],"MMM-YYYY")</f>
        <v>Jan-2023</v>
      </c>
      <c r="Q149" t="str">
        <f>"Q"&amp;ROUNDUP(MONTH(Cleaned_Data[[#This Row],[Order_Date]])/3,0)&amp;"-2023"</f>
        <v>Q1-2023</v>
      </c>
      <c r="R149" t="str">
        <f>TEXT(Cleaned_Data[[#This Row],[Order_Date]],"DDD")</f>
        <v>Thu</v>
      </c>
      <c r="S149" t="str">
        <f>IF(Cleaned_Data[[#This Row],[Net_Sales]]&gt;=100000,"High",IF(Cleaned_Data[[#This Row],[Net_Sales]]&gt;=50000,"Medium","Low"))</f>
        <v>Medium</v>
      </c>
    </row>
    <row r="150" spans="1:19" x14ac:dyDescent="0.3">
      <c r="A150" t="s">
        <v>298</v>
      </c>
      <c r="B150" s="1">
        <v>44962</v>
      </c>
      <c r="C150" t="s">
        <v>75</v>
      </c>
      <c r="D150" t="s">
        <v>76</v>
      </c>
      <c r="E150" t="s">
        <v>66</v>
      </c>
      <c r="F150" t="s">
        <v>67</v>
      </c>
      <c r="G150" t="s">
        <v>45</v>
      </c>
      <c r="H150" t="s">
        <v>156</v>
      </c>
      <c r="I150">
        <v>1</v>
      </c>
      <c r="J150" s="8">
        <v>32400</v>
      </c>
      <c r="K150">
        <v>0</v>
      </c>
      <c r="L150" t="s">
        <v>27</v>
      </c>
      <c r="M150" s="5">
        <f>Cleaned_Data[[#This Row],[Quantity]]*Cleaned_Data[[#This Row],[Unit_Price]]</f>
        <v>32400</v>
      </c>
      <c r="N150" s="7">
        <f>Cleaned_Data[[#This Row],[Total_sales]]*(Cleaned_Data[[#This Row],[Discount_Percent]]/100)</f>
        <v>0</v>
      </c>
      <c r="O150" s="7">
        <f>Cleaned_Data[[#This Row],[Total_sales]]-Cleaned_Data[[#This Row],[Discount_Amount]]</f>
        <v>32400</v>
      </c>
      <c r="P150" t="str">
        <f>TEXT(Cleaned_Data[[#This Row],[Order_Date]],"MMM-YYYY")</f>
        <v>Feb-2023</v>
      </c>
      <c r="Q150" t="str">
        <f>"Q"&amp;ROUNDUP(MONTH(Cleaned_Data[[#This Row],[Order_Date]])/3,0)&amp;"-2023"</f>
        <v>Q1-2023</v>
      </c>
      <c r="R150" t="str">
        <f>TEXT(Cleaned_Data[[#This Row],[Order_Date]],"DDD")</f>
        <v>Sun</v>
      </c>
      <c r="S150" t="str">
        <f>IF(Cleaned_Data[[#This Row],[Net_Sales]]&gt;=100000,"High",IF(Cleaned_Data[[#This Row],[Net_Sales]]&gt;=50000,"Medium","Low"))</f>
        <v>Low</v>
      </c>
    </row>
    <row r="151" spans="1:19" x14ac:dyDescent="0.3">
      <c r="A151" t="s">
        <v>299</v>
      </c>
      <c r="B151" s="1">
        <v>44962</v>
      </c>
      <c r="C151" t="s">
        <v>183</v>
      </c>
      <c r="D151" t="s">
        <v>27</v>
      </c>
      <c r="E151" t="s">
        <v>66</v>
      </c>
      <c r="F151" t="s">
        <v>92</v>
      </c>
      <c r="G151" t="s">
        <v>17</v>
      </c>
      <c r="H151" t="s">
        <v>88</v>
      </c>
      <c r="I151">
        <v>1</v>
      </c>
      <c r="J151" s="8">
        <v>47600</v>
      </c>
      <c r="K151">
        <v>15</v>
      </c>
      <c r="L151" t="s">
        <v>27</v>
      </c>
      <c r="M151" s="5">
        <f>Cleaned_Data[[#This Row],[Quantity]]*Cleaned_Data[[#This Row],[Unit_Price]]</f>
        <v>47600</v>
      </c>
      <c r="N151" s="7">
        <f>Cleaned_Data[[#This Row],[Total_sales]]*(Cleaned_Data[[#This Row],[Discount_Percent]]/100)</f>
        <v>7140</v>
      </c>
      <c r="O151" s="7">
        <f>Cleaned_Data[[#This Row],[Total_sales]]-Cleaned_Data[[#This Row],[Discount_Amount]]</f>
        <v>40460</v>
      </c>
      <c r="P151" t="str">
        <f>TEXT(Cleaned_Data[[#This Row],[Order_Date]],"MMM-YYYY")</f>
        <v>Feb-2023</v>
      </c>
      <c r="Q151" t="str">
        <f>"Q"&amp;ROUNDUP(MONTH(Cleaned_Data[[#This Row],[Order_Date]])/3,0)&amp;"-2023"</f>
        <v>Q1-2023</v>
      </c>
      <c r="R151" t="str">
        <f>TEXT(Cleaned_Data[[#This Row],[Order_Date]],"DDD")</f>
        <v>Sun</v>
      </c>
      <c r="S151" t="str">
        <f>IF(Cleaned_Data[[#This Row],[Net_Sales]]&gt;=100000,"High",IF(Cleaned_Data[[#This Row],[Net_Sales]]&gt;=50000,"Medium","Low"))</f>
        <v>Low</v>
      </c>
    </row>
    <row r="152" spans="1:19" x14ac:dyDescent="0.3">
      <c r="A152" t="s">
        <v>300</v>
      </c>
      <c r="B152" s="1">
        <v>44990</v>
      </c>
      <c r="C152" t="s">
        <v>151</v>
      </c>
      <c r="D152" t="s">
        <v>152</v>
      </c>
      <c r="E152" t="s">
        <v>15</v>
      </c>
      <c r="F152" t="s">
        <v>128</v>
      </c>
      <c r="G152" t="s">
        <v>39</v>
      </c>
      <c r="H152" t="s">
        <v>57</v>
      </c>
      <c r="I152">
        <v>1</v>
      </c>
      <c r="J152" s="8">
        <v>23200</v>
      </c>
      <c r="K152">
        <v>0</v>
      </c>
      <c r="L152" t="s">
        <v>103</v>
      </c>
      <c r="M152" s="5">
        <f>Cleaned_Data[[#This Row],[Quantity]]*Cleaned_Data[[#This Row],[Unit_Price]]</f>
        <v>23200</v>
      </c>
      <c r="N152" s="7">
        <f>Cleaned_Data[[#This Row],[Total_sales]]*(Cleaned_Data[[#This Row],[Discount_Percent]]/100)</f>
        <v>0</v>
      </c>
      <c r="O152" s="7">
        <f>Cleaned_Data[[#This Row],[Total_sales]]-Cleaned_Data[[#This Row],[Discount_Amount]]</f>
        <v>23200</v>
      </c>
      <c r="P152" t="str">
        <f>TEXT(Cleaned_Data[[#This Row],[Order_Date]],"MMM-YYYY")</f>
        <v>Mar-2023</v>
      </c>
      <c r="Q152" t="str">
        <f>"Q"&amp;ROUNDUP(MONTH(Cleaned_Data[[#This Row],[Order_Date]])/3,0)&amp;"-2023"</f>
        <v>Q1-2023</v>
      </c>
      <c r="R152" t="str">
        <f>TEXT(Cleaned_Data[[#This Row],[Order_Date]],"DDD")</f>
        <v>Sun</v>
      </c>
      <c r="S152" t="str">
        <f>IF(Cleaned_Data[[#This Row],[Net_Sales]]&gt;=100000,"High",IF(Cleaned_Data[[#This Row],[Net_Sales]]&gt;=50000,"Medium","Low"))</f>
        <v>Low</v>
      </c>
    </row>
    <row r="153" spans="1:19" x14ac:dyDescent="0.3">
      <c r="A153" t="s">
        <v>301</v>
      </c>
      <c r="B153" s="1">
        <v>44990</v>
      </c>
      <c r="C153" t="s">
        <v>244</v>
      </c>
      <c r="D153" t="s">
        <v>245</v>
      </c>
      <c r="E153" t="s">
        <v>23</v>
      </c>
      <c r="F153" t="s">
        <v>24</v>
      </c>
      <c r="G153" t="s">
        <v>39</v>
      </c>
      <c r="H153" t="s">
        <v>68</v>
      </c>
      <c r="I153">
        <v>1</v>
      </c>
      <c r="J153" s="8">
        <v>15900</v>
      </c>
      <c r="K153">
        <v>20</v>
      </c>
      <c r="L153" t="s">
        <v>19</v>
      </c>
      <c r="M153" s="5">
        <f>Cleaned_Data[[#This Row],[Quantity]]*Cleaned_Data[[#This Row],[Unit_Price]]</f>
        <v>15900</v>
      </c>
      <c r="N153" s="7">
        <f>Cleaned_Data[[#This Row],[Total_sales]]*(Cleaned_Data[[#This Row],[Discount_Percent]]/100)</f>
        <v>3180</v>
      </c>
      <c r="O153" s="7">
        <f>Cleaned_Data[[#This Row],[Total_sales]]-Cleaned_Data[[#This Row],[Discount_Amount]]</f>
        <v>12720</v>
      </c>
      <c r="P153" t="str">
        <f>TEXT(Cleaned_Data[[#This Row],[Order_Date]],"MMM-YYYY")</f>
        <v>Mar-2023</v>
      </c>
      <c r="Q153" t="str">
        <f>"Q"&amp;ROUNDUP(MONTH(Cleaned_Data[[#This Row],[Order_Date]])/3,0)&amp;"-2023"</f>
        <v>Q1-2023</v>
      </c>
      <c r="R153" t="str">
        <f>TEXT(Cleaned_Data[[#This Row],[Order_Date]],"DDD")</f>
        <v>Sun</v>
      </c>
      <c r="S153" t="str">
        <f>IF(Cleaned_Data[[#This Row],[Net_Sales]]&gt;=100000,"High",IF(Cleaned_Data[[#This Row],[Net_Sales]]&gt;=50000,"Medium","Low"))</f>
        <v>Low</v>
      </c>
    </row>
    <row r="154" spans="1:19" x14ac:dyDescent="0.3">
      <c r="A154" t="s">
        <v>302</v>
      </c>
      <c r="B154" s="1">
        <v>44990</v>
      </c>
      <c r="C154" t="s">
        <v>29</v>
      </c>
      <c r="D154" t="s">
        <v>30</v>
      </c>
      <c r="E154" t="s">
        <v>37</v>
      </c>
      <c r="F154" t="s">
        <v>141</v>
      </c>
      <c r="G154" t="s">
        <v>25</v>
      </c>
      <c r="H154" t="s">
        <v>26</v>
      </c>
      <c r="I154">
        <v>2</v>
      </c>
      <c r="J154" s="8">
        <v>1300</v>
      </c>
      <c r="K154">
        <v>10</v>
      </c>
      <c r="L154" t="s">
        <v>62</v>
      </c>
      <c r="M154" s="5">
        <f>Cleaned_Data[[#This Row],[Quantity]]*Cleaned_Data[[#This Row],[Unit_Price]]</f>
        <v>2600</v>
      </c>
      <c r="N154" s="7">
        <f>Cleaned_Data[[#This Row],[Total_sales]]*(Cleaned_Data[[#This Row],[Discount_Percent]]/100)</f>
        <v>260</v>
      </c>
      <c r="O154" s="7">
        <f>Cleaned_Data[[#This Row],[Total_sales]]-Cleaned_Data[[#This Row],[Discount_Amount]]</f>
        <v>2340</v>
      </c>
      <c r="P154" t="str">
        <f>TEXT(Cleaned_Data[[#This Row],[Order_Date]],"MMM-YYYY")</f>
        <v>Mar-2023</v>
      </c>
      <c r="Q154" t="str">
        <f>"Q"&amp;ROUNDUP(MONTH(Cleaned_Data[[#This Row],[Order_Date]])/3,0)&amp;"-2023"</f>
        <v>Q1-2023</v>
      </c>
      <c r="R154" t="str">
        <f>TEXT(Cleaned_Data[[#This Row],[Order_Date]],"DDD")</f>
        <v>Sun</v>
      </c>
      <c r="S154" t="str">
        <f>IF(Cleaned_Data[[#This Row],[Net_Sales]]&gt;=100000,"High",IF(Cleaned_Data[[#This Row],[Net_Sales]]&gt;=50000,"Medium","Low"))</f>
        <v>Low</v>
      </c>
    </row>
    <row r="155" spans="1:19" x14ac:dyDescent="0.3">
      <c r="A155" t="s">
        <v>303</v>
      </c>
      <c r="B155" s="1">
        <v>45021</v>
      </c>
      <c r="C155" t="s">
        <v>105</v>
      </c>
      <c r="D155" t="s">
        <v>106</v>
      </c>
      <c r="E155" t="s">
        <v>37</v>
      </c>
      <c r="F155" t="s">
        <v>61</v>
      </c>
      <c r="G155" t="s">
        <v>17</v>
      </c>
      <c r="H155" t="s">
        <v>88</v>
      </c>
      <c r="I155">
        <v>1</v>
      </c>
      <c r="J155" s="8">
        <v>39900</v>
      </c>
      <c r="K155">
        <v>0</v>
      </c>
      <c r="L155" t="s">
        <v>103</v>
      </c>
      <c r="M155" s="5">
        <f>Cleaned_Data[[#This Row],[Quantity]]*Cleaned_Data[[#This Row],[Unit_Price]]</f>
        <v>39900</v>
      </c>
      <c r="N155" s="7">
        <f>Cleaned_Data[[#This Row],[Total_sales]]*(Cleaned_Data[[#This Row],[Discount_Percent]]/100)</f>
        <v>0</v>
      </c>
      <c r="O155" s="7">
        <f>Cleaned_Data[[#This Row],[Total_sales]]-Cleaned_Data[[#This Row],[Discount_Amount]]</f>
        <v>39900</v>
      </c>
      <c r="P155" t="str">
        <f>TEXT(Cleaned_Data[[#This Row],[Order_Date]],"MMM-YYYY")</f>
        <v>Apr-2023</v>
      </c>
      <c r="Q155" t="str">
        <f>"Q"&amp;ROUNDUP(MONTH(Cleaned_Data[[#This Row],[Order_Date]])/3,0)&amp;"-2023"</f>
        <v>Q2-2023</v>
      </c>
      <c r="R155" t="str">
        <f>TEXT(Cleaned_Data[[#This Row],[Order_Date]],"DDD")</f>
        <v>Wed</v>
      </c>
      <c r="S155" t="str">
        <f>IF(Cleaned_Data[[#This Row],[Net_Sales]]&gt;=100000,"High",IF(Cleaned_Data[[#This Row],[Net_Sales]]&gt;=50000,"Medium","Low"))</f>
        <v>Low</v>
      </c>
    </row>
    <row r="156" spans="1:19" x14ac:dyDescent="0.3">
      <c r="A156" t="s">
        <v>304</v>
      </c>
      <c r="B156" s="1">
        <v>45021</v>
      </c>
      <c r="C156" t="s">
        <v>250</v>
      </c>
      <c r="D156" t="s">
        <v>251</v>
      </c>
      <c r="E156" t="s">
        <v>23</v>
      </c>
      <c r="F156" t="s">
        <v>31</v>
      </c>
      <c r="G156" t="s">
        <v>39</v>
      </c>
      <c r="H156" t="s">
        <v>57</v>
      </c>
      <c r="I156">
        <v>1</v>
      </c>
      <c r="J156" s="8">
        <v>25500</v>
      </c>
      <c r="K156">
        <v>10</v>
      </c>
      <c r="L156" t="s">
        <v>27</v>
      </c>
      <c r="M156" s="5">
        <f>Cleaned_Data[[#This Row],[Quantity]]*Cleaned_Data[[#This Row],[Unit_Price]]</f>
        <v>25500</v>
      </c>
      <c r="N156" s="7">
        <f>Cleaned_Data[[#This Row],[Total_sales]]*(Cleaned_Data[[#This Row],[Discount_Percent]]/100)</f>
        <v>2550</v>
      </c>
      <c r="O156" s="7">
        <f>Cleaned_Data[[#This Row],[Total_sales]]-Cleaned_Data[[#This Row],[Discount_Amount]]</f>
        <v>22950</v>
      </c>
      <c r="P156" t="str">
        <f>TEXT(Cleaned_Data[[#This Row],[Order_Date]],"MMM-YYYY")</f>
        <v>Apr-2023</v>
      </c>
      <c r="Q156" t="str">
        <f>"Q"&amp;ROUNDUP(MONTH(Cleaned_Data[[#This Row],[Order_Date]])/3,0)&amp;"-2023"</f>
        <v>Q2-2023</v>
      </c>
      <c r="R156" t="str">
        <f>TEXT(Cleaned_Data[[#This Row],[Order_Date]],"DDD")</f>
        <v>Wed</v>
      </c>
      <c r="S156" t="str">
        <f>IF(Cleaned_Data[[#This Row],[Net_Sales]]&gt;=100000,"High",IF(Cleaned_Data[[#This Row],[Net_Sales]]&gt;=50000,"Medium","Low"))</f>
        <v>Low</v>
      </c>
    </row>
    <row r="157" spans="1:19" x14ac:dyDescent="0.3">
      <c r="A157" t="s">
        <v>305</v>
      </c>
      <c r="B157" s="1">
        <v>45051</v>
      </c>
      <c r="C157" t="s">
        <v>115</v>
      </c>
      <c r="D157" t="s">
        <v>116</v>
      </c>
      <c r="E157" t="s">
        <v>66</v>
      </c>
      <c r="F157" t="s">
        <v>72</v>
      </c>
      <c r="G157" t="s">
        <v>17</v>
      </c>
      <c r="H157" t="s">
        <v>88</v>
      </c>
      <c r="I157">
        <v>1</v>
      </c>
      <c r="J157" s="8">
        <v>44400</v>
      </c>
      <c r="K157">
        <v>0</v>
      </c>
      <c r="L157" t="s">
        <v>53</v>
      </c>
      <c r="M157" s="5">
        <f>Cleaned_Data[[#This Row],[Quantity]]*Cleaned_Data[[#This Row],[Unit_Price]]</f>
        <v>44400</v>
      </c>
      <c r="N157" s="7">
        <f>Cleaned_Data[[#This Row],[Total_sales]]*(Cleaned_Data[[#This Row],[Discount_Percent]]/100)</f>
        <v>0</v>
      </c>
      <c r="O157" s="7">
        <f>Cleaned_Data[[#This Row],[Total_sales]]-Cleaned_Data[[#This Row],[Discount_Amount]]</f>
        <v>44400</v>
      </c>
      <c r="P157" t="str">
        <f>TEXT(Cleaned_Data[[#This Row],[Order_Date]],"MMM-YYYY")</f>
        <v>May-2023</v>
      </c>
      <c r="Q157" t="str">
        <f>"Q"&amp;ROUNDUP(MONTH(Cleaned_Data[[#This Row],[Order_Date]])/3,0)&amp;"-2023"</f>
        <v>Q2-2023</v>
      </c>
      <c r="R157" t="str">
        <f>TEXT(Cleaned_Data[[#This Row],[Order_Date]],"DDD")</f>
        <v>Fri</v>
      </c>
      <c r="S157" t="str">
        <f>IF(Cleaned_Data[[#This Row],[Net_Sales]]&gt;=100000,"High",IF(Cleaned_Data[[#This Row],[Net_Sales]]&gt;=50000,"Medium","Low"))</f>
        <v>Low</v>
      </c>
    </row>
    <row r="158" spans="1:19" x14ac:dyDescent="0.3">
      <c r="A158" t="s">
        <v>306</v>
      </c>
      <c r="B158" s="1">
        <v>45051</v>
      </c>
      <c r="C158" t="s">
        <v>236</v>
      </c>
      <c r="D158" t="s">
        <v>237</v>
      </c>
      <c r="E158" t="s">
        <v>15</v>
      </c>
      <c r="F158" t="s">
        <v>131</v>
      </c>
      <c r="G158" t="s">
        <v>17</v>
      </c>
      <c r="H158" t="s">
        <v>88</v>
      </c>
      <c r="I158">
        <v>1</v>
      </c>
      <c r="J158" s="8">
        <v>48600</v>
      </c>
      <c r="K158">
        <v>25</v>
      </c>
      <c r="L158" t="s">
        <v>62</v>
      </c>
      <c r="M158" s="5">
        <f>Cleaned_Data[[#This Row],[Quantity]]*Cleaned_Data[[#This Row],[Unit_Price]]</f>
        <v>48600</v>
      </c>
      <c r="N158" s="7">
        <f>Cleaned_Data[[#This Row],[Total_sales]]*(Cleaned_Data[[#This Row],[Discount_Percent]]/100)</f>
        <v>12150</v>
      </c>
      <c r="O158" s="7">
        <f>Cleaned_Data[[#This Row],[Total_sales]]-Cleaned_Data[[#This Row],[Discount_Amount]]</f>
        <v>36450</v>
      </c>
      <c r="P158" t="str">
        <f>TEXT(Cleaned_Data[[#This Row],[Order_Date]],"MMM-YYYY")</f>
        <v>May-2023</v>
      </c>
      <c r="Q158" t="str">
        <f>"Q"&amp;ROUNDUP(MONTH(Cleaned_Data[[#This Row],[Order_Date]])/3,0)&amp;"-2023"</f>
        <v>Q2-2023</v>
      </c>
      <c r="R158" t="str">
        <f>TEXT(Cleaned_Data[[#This Row],[Order_Date]],"DDD")</f>
        <v>Fri</v>
      </c>
      <c r="S158" t="str">
        <f>IF(Cleaned_Data[[#This Row],[Net_Sales]]&gt;=100000,"High",IF(Cleaned_Data[[#This Row],[Net_Sales]]&gt;=50000,"Medium","Low"))</f>
        <v>Low</v>
      </c>
    </row>
    <row r="159" spans="1:19" x14ac:dyDescent="0.3">
      <c r="A159" t="s">
        <v>307</v>
      </c>
      <c r="B159" s="1">
        <v>45051</v>
      </c>
      <c r="C159" t="s">
        <v>203</v>
      </c>
      <c r="D159" t="s">
        <v>204</v>
      </c>
      <c r="E159" t="s">
        <v>81</v>
      </c>
      <c r="F159" t="s">
        <v>110</v>
      </c>
      <c r="G159" t="s">
        <v>25</v>
      </c>
      <c r="H159" t="s">
        <v>108</v>
      </c>
      <c r="I159">
        <v>1</v>
      </c>
      <c r="J159" s="8">
        <v>2800</v>
      </c>
      <c r="K159">
        <v>0</v>
      </c>
      <c r="L159" t="s">
        <v>19</v>
      </c>
      <c r="M159" s="5">
        <f>Cleaned_Data[[#This Row],[Quantity]]*Cleaned_Data[[#This Row],[Unit_Price]]</f>
        <v>2800</v>
      </c>
      <c r="N159" s="7">
        <f>Cleaned_Data[[#This Row],[Total_sales]]*(Cleaned_Data[[#This Row],[Discount_Percent]]/100)</f>
        <v>0</v>
      </c>
      <c r="O159" s="7">
        <f>Cleaned_Data[[#This Row],[Total_sales]]-Cleaned_Data[[#This Row],[Discount_Amount]]</f>
        <v>2800</v>
      </c>
      <c r="P159" t="str">
        <f>TEXT(Cleaned_Data[[#This Row],[Order_Date]],"MMM-YYYY")</f>
        <v>May-2023</v>
      </c>
      <c r="Q159" t="str">
        <f>"Q"&amp;ROUNDUP(MONTH(Cleaned_Data[[#This Row],[Order_Date]])/3,0)&amp;"-2023"</f>
        <v>Q2-2023</v>
      </c>
      <c r="R159" t="str">
        <f>TEXT(Cleaned_Data[[#This Row],[Order_Date]],"DDD")</f>
        <v>Fri</v>
      </c>
      <c r="S159" t="str">
        <f>IF(Cleaned_Data[[#This Row],[Net_Sales]]&gt;=100000,"High",IF(Cleaned_Data[[#This Row],[Net_Sales]]&gt;=50000,"Medium","Low"))</f>
        <v>Low</v>
      </c>
    </row>
    <row r="160" spans="1:19" x14ac:dyDescent="0.3">
      <c r="A160" t="s">
        <v>308</v>
      </c>
      <c r="B160" s="1">
        <v>45051</v>
      </c>
      <c r="C160" t="s">
        <v>59</v>
      </c>
      <c r="D160" t="s">
        <v>60</v>
      </c>
      <c r="E160" t="s">
        <v>23</v>
      </c>
      <c r="F160" t="s">
        <v>51</v>
      </c>
      <c r="G160" t="s">
        <v>17</v>
      </c>
      <c r="H160" t="s">
        <v>88</v>
      </c>
      <c r="I160">
        <v>1</v>
      </c>
      <c r="J160" s="8">
        <v>27300</v>
      </c>
      <c r="K160">
        <v>0</v>
      </c>
      <c r="L160" t="s">
        <v>53</v>
      </c>
      <c r="M160" s="5">
        <f>Cleaned_Data[[#This Row],[Quantity]]*Cleaned_Data[[#This Row],[Unit_Price]]</f>
        <v>27300</v>
      </c>
      <c r="N160" s="7">
        <f>Cleaned_Data[[#This Row],[Total_sales]]*(Cleaned_Data[[#This Row],[Discount_Percent]]/100)</f>
        <v>0</v>
      </c>
      <c r="O160" s="7">
        <f>Cleaned_Data[[#This Row],[Total_sales]]-Cleaned_Data[[#This Row],[Discount_Amount]]</f>
        <v>27300</v>
      </c>
      <c r="P160" t="str">
        <f>TEXT(Cleaned_Data[[#This Row],[Order_Date]],"MMM-YYYY")</f>
        <v>May-2023</v>
      </c>
      <c r="Q160" t="str">
        <f>"Q"&amp;ROUNDUP(MONTH(Cleaned_Data[[#This Row],[Order_Date]])/3,0)&amp;"-2023"</f>
        <v>Q2-2023</v>
      </c>
      <c r="R160" t="str">
        <f>TEXT(Cleaned_Data[[#This Row],[Order_Date]],"DDD")</f>
        <v>Fri</v>
      </c>
      <c r="S160" t="str">
        <f>IF(Cleaned_Data[[#This Row],[Net_Sales]]&gt;=100000,"High",IF(Cleaned_Data[[#This Row],[Net_Sales]]&gt;=50000,"Medium","Low"))</f>
        <v>Low</v>
      </c>
    </row>
    <row r="161" spans="1:19" x14ac:dyDescent="0.3">
      <c r="A161" t="s">
        <v>309</v>
      </c>
      <c r="B161" s="1">
        <v>45112</v>
      </c>
      <c r="C161" t="s">
        <v>188</v>
      </c>
      <c r="D161" t="s">
        <v>189</v>
      </c>
      <c r="E161" t="s">
        <v>66</v>
      </c>
      <c r="F161" t="s">
        <v>67</v>
      </c>
      <c r="G161" t="s">
        <v>39</v>
      </c>
      <c r="H161" t="s">
        <v>57</v>
      </c>
      <c r="I161">
        <v>1</v>
      </c>
      <c r="J161" s="8">
        <v>21900</v>
      </c>
      <c r="K161">
        <v>15</v>
      </c>
      <c r="L161" t="s">
        <v>53</v>
      </c>
      <c r="M161" s="5">
        <f>Cleaned_Data[[#This Row],[Quantity]]*Cleaned_Data[[#This Row],[Unit_Price]]</f>
        <v>21900</v>
      </c>
      <c r="N161" s="7">
        <f>Cleaned_Data[[#This Row],[Total_sales]]*(Cleaned_Data[[#This Row],[Discount_Percent]]/100)</f>
        <v>3285</v>
      </c>
      <c r="O161" s="7">
        <f>Cleaned_Data[[#This Row],[Total_sales]]-Cleaned_Data[[#This Row],[Discount_Amount]]</f>
        <v>18615</v>
      </c>
      <c r="P161" t="str">
        <f>TEXT(Cleaned_Data[[#This Row],[Order_Date]],"MMM-YYYY")</f>
        <v>Jul-2023</v>
      </c>
      <c r="Q161" t="str">
        <f>"Q"&amp;ROUNDUP(MONTH(Cleaned_Data[[#This Row],[Order_Date]])/3,0)&amp;"-2023"</f>
        <v>Q3-2023</v>
      </c>
      <c r="R161" t="str">
        <f>TEXT(Cleaned_Data[[#This Row],[Order_Date]],"DDD")</f>
        <v>Wed</v>
      </c>
      <c r="S161" t="str">
        <f>IF(Cleaned_Data[[#This Row],[Net_Sales]]&gt;=100000,"High",IF(Cleaned_Data[[#This Row],[Net_Sales]]&gt;=50000,"Medium","Low"))</f>
        <v>Low</v>
      </c>
    </row>
    <row r="162" spans="1:19" x14ac:dyDescent="0.3">
      <c r="A162" t="s">
        <v>310</v>
      </c>
      <c r="B162" s="1">
        <v>45112</v>
      </c>
      <c r="C162" t="s">
        <v>158</v>
      </c>
      <c r="D162" t="s">
        <v>159</v>
      </c>
      <c r="E162" t="s">
        <v>15</v>
      </c>
      <c r="F162" t="s">
        <v>16</v>
      </c>
      <c r="G162" t="s">
        <v>97</v>
      </c>
      <c r="H162" t="s">
        <v>133</v>
      </c>
      <c r="I162">
        <v>2</v>
      </c>
      <c r="J162" s="8">
        <v>63600</v>
      </c>
      <c r="K162">
        <v>20</v>
      </c>
      <c r="L162" t="s">
        <v>47</v>
      </c>
      <c r="M162" s="5">
        <f>Cleaned_Data[[#This Row],[Quantity]]*Cleaned_Data[[#This Row],[Unit_Price]]</f>
        <v>127200</v>
      </c>
      <c r="N162" s="7">
        <f>Cleaned_Data[[#This Row],[Total_sales]]*(Cleaned_Data[[#This Row],[Discount_Percent]]/100)</f>
        <v>25440</v>
      </c>
      <c r="O162" s="7">
        <f>Cleaned_Data[[#This Row],[Total_sales]]-Cleaned_Data[[#This Row],[Discount_Amount]]</f>
        <v>101760</v>
      </c>
      <c r="P162" t="str">
        <f>TEXT(Cleaned_Data[[#This Row],[Order_Date]],"MMM-YYYY")</f>
        <v>Jul-2023</v>
      </c>
      <c r="Q162" t="str">
        <f>"Q"&amp;ROUNDUP(MONTH(Cleaned_Data[[#This Row],[Order_Date]])/3,0)&amp;"-2023"</f>
        <v>Q3-2023</v>
      </c>
      <c r="R162" t="str">
        <f>TEXT(Cleaned_Data[[#This Row],[Order_Date]],"DDD")</f>
        <v>Wed</v>
      </c>
      <c r="S162" t="str">
        <f>IF(Cleaned_Data[[#This Row],[Net_Sales]]&gt;=100000,"High",IF(Cleaned_Data[[#This Row],[Net_Sales]]&gt;=50000,"Medium","Low"))</f>
        <v>High</v>
      </c>
    </row>
    <row r="163" spans="1:19" x14ac:dyDescent="0.3">
      <c r="A163" t="s">
        <v>311</v>
      </c>
      <c r="B163" s="1">
        <v>45112</v>
      </c>
      <c r="C163" t="s">
        <v>130</v>
      </c>
      <c r="D163" t="s">
        <v>53</v>
      </c>
      <c r="E163" t="s">
        <v>81</v>
      </c>
      <c r="F163" t="s">
        <v>117</v>
      </c>
      <c r="G163" t="s">
        <v>97</v>
      </c>
      <c r="H163" t="s">
        <v>171</v>
      </c>
      <c r="I163">
        <v>1</v>
      </c>
      <c r="J163" s="8">
        <v>59700</v>
      </c>
      <c r="K163">
        <v>25</v>
      </c>
      <c r="L163" t="s">
        <v>19</v>
      </c>
      <c r="M163" s="5">
        <f>Cleaned_Data[[#This Row],[Quantity]]*Cleaned_Data[[#This Row],[Unit_Price]]</f>
        <v>59700</v>
      </c>
      <c r="N163" s="7">
        <f>Cleaned_Data[[#This Row],[Total_sales]]*(Cleaned_Data[[#This Row],[Discount_Percent]]/100)</f>
        <v>14925</v>
      </c>
      <c r="O163" s="7">
        <f>Cleaned_Data[[#This Row],[Total_sales]]-Cleaned_Data[[#This Row],[Discount_Amount]]</f>
        <v>44775</v>
      </c>
      <c r="P163" t="str">
        <f>TEXT(Cleaned_Data[[#This Row],[Order_Date]],"MMM-YYYY")</f>
        <v>Jul-2023</v>
      </c>
      <c r="Q163" t="str">
        <f>"Q"&amp;ROUNDUP(MONTH(Cleaned_Data[[#This Row],[Order_Date]])/3,0)&amp;"-2023"</f>
        <v>Q3-2023</v>
      </c>
      <c r="R163" t="str">
        <f>TEXT(Cleaned_Data[[#This Row],[Order_Date]],"DDD")</f>
        <v>Wed</v>
      </c>
      <c r="S163" t="str">
        <f>IF(Cleaned_Data[[#This Row],[Net_Sales]]&gt;=100000,"High",IF(Cleaned_Data[[#This Row],[Net_Sales]]&gt;=50000,"Medium","Low"))</f>
        <v>Low</v>
      </c>
    </row>
    <row r="164" spans="1:19" x14ac:dyDescent="0.3">
      <c r="A164" t="s">
        <v>312</v>
      </c>
      <c r="B164" s="1">
        <v>45112</v>
      </c>
      <c r="C164" t="s">
        <v>143</v>
      </c>
      <c r="D164" t="s">
        <v>144</v>
      </c>
      <c r="E164" t="s">
        <v>15</v>
      </c>
      <c r="F164" t="s">
        <v>128</v>
      </c>
      <c r="G164" t="s">
        <v>97</v>
      </c>
      <c r="H164" t="s">
        <v>171</v>
      </c>
      <c r="I164">
        <v>1</v>
      </c>
      <c r="J164" s="8">
        <v>48600</v>
      </c>
      <c r="K164">
        <v>0</v>
      </c>
      <c r="L164" t="s">
        <v>73</v>
      </c>
      <c r="M164" s="5">
        <f>Cleaned_Data[[#This Row],[Quantity]]*Cleaned_Data[[#This Row],[Unit_Price]]</f>
        <v>48600</v>
      </c>
      <c r="N164" s="7">
        <f>Cleaned_Data[[#This Row],[Total_sales]]*(Cleaned_Data[[#This Row],[Discount_Percent]]/100)</f>
        <v>0</v>
      </c>
      <c r="O164" s="7">
        <f>Cleaned_Data[[#This Row],[Total_sales]]-Cleaned_Data[[#This Row],[Discount_Amount]]</f>
        <v>48600</v>
      </c>
      <c r="P164" t="str">
        <f>TEXT(Cleaned_Data[[#This Row],[Order_Date]],"MMM-YYYY")</f>
        <v>Jul-2023</v>
      </c>
      <c r="Q164" t="str">
        <f>"Q"&amp;ROUNDUP(MONTH(Cleaned_Data[[#This Row],[Order_Date]])/3,0)&amp;"-2023"</f>
        <v>Q3-2023</v>
      </c>
      <c r="R164" t="str">
        <f>TEXT(Cleaned_Data[[#This Row],[Order_Date]],"DDD")</f>
        <v>Wed</v>
      </c>
      <c r="S164" t="str">
        <f>IF(Cleaned_Data[[#This Row],[Net_Sales]]&gt;=100000,"High",IF(Cleaned_Data[[#This Row],[Net_Sales]]&gt;=50000,"Medium","Low"))</f>
        <v>Low</v>
      </c>
    </row>
    <row r="165" spans="1:19" x14ac:dyDescent="0.3">
      <c r="A165" t="s">
        <v>313</v>
      </c>
      <c r="B165" s="1">
        <v>45112</v>
      </c>
      <c r="C165" t="s">
        <v>64</v>
      </c>
      <c r="D165" t="s">
        <v>65</v>
      </c>
      <c r="E165" t="s">
        <v>37</v>
      </c>
      <c r="F165" t="s">
        <v>38</v>
      </c>
      <c r="G165" t="s">
        <v>39</v>
      </c>
      <c r="H165" t="s">
        <v>68</v>
      </c>
      <c r="I165">
        <v>1</v>
      </c>
      <c r="J165" s="8">
        <v>24800</v>
      </c>
      <c r="K165">
        <v>0</v>
      </c>
      <c r="L165" t="s">
        <v>19</v>
      </c>
      <c r="M165" s="5">
        <f>Cleaned_Data[[#This Row],[Quantity]]*Cleaned_Data[[#This Row],[Unit_Price]]</f>
        <v>24800</v>
      </c>
      <c r="N165" s="7">
        <f>Cleaned_Data[[#This Row],[Total_sales]]*(Cleaned_Data[[#This Row],[Discount_Percent]]/100)</f>
        <v>0</v>
      </c>
      <c r="O165" s="7">
        <f>Cleaned_Data[[#This Row],[Total_sales]]-Cleaned_Data[[#This Row],[Discount_Amount]]</f>
        <v>24800</v>
      </c>
      <c r="P165" t="str">
        <f>TEXT(Cleaned_Data[[#This Row],[Order_Date]],"MMM-YYYY")</f>
        <v>Jul-2023</v>
      </c>
      <c r="Q165" t="str">
        <f>"Q"&amp;ROUNDUP(MONTH(Cleaned_Data[[#This Row],[Order_Date]])/3,0)&amp;"-2023"</f>
        <v>Q3-2023</v>
      </c>
      <c r="R165" t="str">
        <f>TEXT(Cleaned_Data[[#This Row],[Order_Date]],"DDD")</f>
        <v>Wed</v>
      </c>
      <c r="S165" t="str">
        <f>IF(Cleaned_Data[[#This Row],[Net_Sales]]&gt;=100000,"High",IF(Cleaned_Data[[#This Row],[Net_Sales]]&gt;=50000,"Medium","Low"))</f>
        <v>Low</v>
      </c>
    </row>
    <row r="166" spans="1:19" x14ac:dyDescent="0.3">
      <c r="A166" t="s">
        <v>314</v>
      </c>
      <c r="B166" s="1">
        <v>45143</v>
      </c>
      <c r="C166" t="s">
        <v>79</v>
      </c>
      <c r="D166" t="s">
        <v>80</v>
      </c>
      <c r="E166" t="s">
        <v>66</v>
      </c>
      <c r="F166" t="s">
        <v>72</v>
      </c>
      <c r="G166" t="s">
        <v>97</v>
      </c>
      <c r="H166" t="s">
        <v>174</v>
      </c>
      <c r="I166">
        <v>2</v>
      </c>
      <c r="J166" s="8">
        <v>68000</v>
      </c>
      <c r="K166">
        <v>0</v>
      </c>
      <c r="L166" t="s">
        <v>53</v>
      </c>
      <c r="M166" s="5">
        <f>Cleaned_Data[[#This Row],[Quantity]]*Cleaned_Data[[#This Row],[Unit_Price]]</f>
        <v>136000</v>
      </c>
      <c r="N166" s="7">
        <f>Cleaned_Data[[#This Row],[Total_sales]]*(Cleaned_Data[[#This Row],[Discount_Percent]]/100)</f>
        <v>0</v>
      </c>
      <c r="O166" s="7">
        <f>Cleaned_Data[[#This Row],[Total_sales]]-Cleaned_Data[[#This Row],[Discount_Amount]]</f>
        <v>136000</v>
      </c>
      <c r="P166" t="str">
        <f>TEXT(Cleaned_Data[[#This Row],[Order_Date]],"MMM-YYYY")</f>
        <v>Aug-2023</v>
      </c>
      <c r="Q166" t="str">
        <f>"Q"&amp;ROUNDUP(MONTH(Cleaned_Data[[#This Row],[Order_Date]])/3,0)&amp;"-2023"</f>
        <v>Q3-2023</v>
      </c>
      <c r="R166" t="str">
        <f>TEXT(Cleaned_Data[[#This Row],[Order_Date]],"DDD")</f>
        <v>Sat</v>
      </c>
      <c r="S166" t="str">
        <f>IF(Cleaned_Data[[#This Row],[Net_Sales]]&gt;=100000,"High",IF(Cleaned_Data[[#This Row],[Net_Sales]]&gt;=50000,"Medium","Low"))</f>
        <v>High</v>
      </c>
    </row>
    <row r="167" spans="1:19" x14ac:dyDescent="0.3">
      <c r="A167" t="s">
        <v>315</v>
      </c>
      <c r="B167" s="1">
        <v>45143</v>
      </c>
      <c r="C167" t="s">
        <v>126</v>
      </c>
      <c r="D167" t="s">
        <v>127</v>
      </c>
      <c r="E167" t="s">
        <v>23</v>
      </c>
      <c r="F167" t="s">
        <v>44</v>
      </c>
      <c r="G167" t="s">
        <v>17</v>
      </c>
      <c r="H167" t="s">
        <v>196</v>
      </c>
      <c r="I167">
        <v>1</v>
      </c>
      <c r="J167" s="8">
        <v>60000</v>
      </c>
      <c r="K167">
        <v>25</v>
      </c>
      <c r="L167" t="s">
        <v>53</v>
      </c>
      <c r="M167" s="5">
        <f>Cleaned_Data[[#This Row],[Quantity]]*Cleaned_Data[[#This Row],[Unit_Price]]</f>
        <v>60000</v>
      </c>
      <c r="N167" s="7">
        <f>Cleaned_Data[[#This Row],[Total_sales]]*(Cleaned_Data[[#This Row],[Discount_Percent]]/100)</f>
        <v>15000</v>
      </c>
      <c r="O167" s="7">
        <f>Cleaned_Data[[#This Row],[Total_sales]]-Cleaned_Data[[#This Row],[Discount_Amount]]</f>
        <v>45000</v>
      </c>
      <c r="P167" t="str">
        <f>TEXT(Cleaned_Data[[#This Row],[Order_Date]],"MMM-YYYY")</f>
        <v>Aug-2023</v>
      </c>
      <c r="Q167" t="str">
        <f>"Q"&amp;ROUNDUP(MONTH(Cleaned_Data[[#This Row],[Order_Date]])/3,0)&amp;"-2023"</f>
        <v>Q3-2023</v>
      </c>
      <c r="R167" t="str">
        <f>TEXT(Cleaned_Data[[#This Row],[Order_Date]],"DDD")</f>
        <v>Sat</v>
      </c>
      <c r="S167" t="str">
        <f>IF(Cleaned_Data[[#This Row],[Net_Sales]]&gt;=100000,"High",IF(Cleaned_Data[[#This Row],[Net_Sales]]&gt;=50000,"Medium","Low"))</f>
        <v>Low</v>
      </c>
    </row>
    <row r="168" spans="1:19" x14ac:dyDescent="0.3">
      <c r="A168" t="s">
        <v>316</v>
      </c>
      <c r="B168" s="1">
        <v>45143</v>
      </c>
      <c r="C168" t="s">
        <v>55</v>
      </c>
      <c r="D168" t="s">
        <v>56</v>
      </c>
      <c r="E168" t="s">
        <v>66</v>
      </c>
      <c r="F168" t="s">
        <v>92</v>
      </c>
      <c r="G168" t="s">
        <v>25</v>
      </c>
      <c r="H168" t="s">
        <v>124</v>
      </c>
      <c r="I168">
        <v>3</v>
      </c>
      <c r="J168" s="8">
        <v>1100</v>
      </c>
      <c r="K168">
        <v>5</v>
      </c>
      <c r="L168" t="s">
        <v>47</v>
      </c>
      <c r="M168" s="5">
        <f>Cleaned_Data[[#This Row],[Quantity]]*Cleaned_Data[[#This Row],[Unit_Price]]</f>
        <v>3300</v>
      </c>
      <c r="N168" s="7">
        <f>Cleaned_Data[[#This Row],[Total_sales]]*(Cleaned_Data[[#This Row],[Discount_Percent]]/100)</f>
        <v>165</v>
      </c>
      <c r="O168" s="7">
        <f>Cleaned_Data[[#This Row],[Total_sales]]-Cleaned_Data[[#This Row],[Discount_Amount]]</f>
        <v>3135</v>
      </c>
      <c r="P168" t="str">
        <f>TEXT(Cleaned_Data[[#This Row],[Order_Date]],"MMM-YYYY")</f>
        <v>Aug-2023</v>
      </c>
      <c r="Q168" t="str">
        <f>"Q"&amp;ROUNDUP(MONTH(Cleaned_Data[[#This Row],[Order_Date]])/3,0)&amp;"-2023"</f>
        <v>Q3-2023</v>
      </c>
      <c r="R168" t="str">
        <f>TEXT(Cleaned_Data[[#This Row],[Order_Date]],"DDD")</f>
        <v>Sat</v>
      </c>
      <c r="S168" t="str">
        <f>IF(Cleaned_Data[[#This Row],[Net_Sales]]&gt;=100000,"High",IF(Cleaned_Data[[#This Row],[Net_Sales]]&gt;=50000,"Medium","Low"))</f>
        <v>Low</v>
      </c>
    </row>
    <row r="169" spans="1:19" x14ac:dyDescent="0.3">
      <c r="A169" t="s">
        <v>317</v>
      </c>
      <c r="B169" s="1">
        <v>45143</v>
      </c>
      <c r="C169" t="s">
        <v>180</v>
      </c>
      <c r="D169" t="s">
        <v>181</v>
      </c>
      <c r="E169" t="s">
        <v>23</v>
      </c>
      <c r="F169" t="s">
        <v>24</v>
      </c>
      <c r="G169" t="s">
        <v>17</v>
      </c>
      <c r="H169" t="s">
        <v>196</v>
      </c>
      <c r="I169">
        <v>1</v>
      </c>
      <c r="J169" s="8">
        <v>49500</v>
      </c>
      <c r="K169">
        <v>15</v>
      </c>
      <c r="L169" t="s">
        <v>73</v>
      </c>
      <c r="M169" s="5">
        <f>Cleaned_Data[[#This Row],[Quantity]]*Cleaned_Data[[#This Row],[Unit_Price]]</f>
        <v>49500</v>
      </c>
      <c r="N169" s="7">
        <f>Cleaned_Data[[#This Row],[Total_sales]]*(Cleaned_Data[[#This Row],[Discount_Percent]]/100)</f>
        <v>7425</v>
      </c>
      <c r="O169" s="7">
        <f>Cleaned_Data[[#This Row],[Total_sales]]-Cleaned_Data[[#This Row],[Discount_Amount]]</f>
        <v>42075</v>
      </c>
      <c r="P169" t="str">
        <f>TEXT(Cleaned_Data[[#This Row],[Order_Date]],"MMM-YYYY")</f>
        <v>Aug-2023</v>
      </c>
      <c r="Q169" t="str">
        <f>"Q"&amp;ROUNDUP(MONTH(Cleaned_Data[[#This Row],[Order_Date]])/3,0)&amp;"-2023"</f>
        <v>Q3-2023</v>
      </c>
      <c r="R169" t="str">
        <f>TEXT(Cleaned_Data[[#This Row],[Order_Date]],"DDD")</f>
        <v>Sat</v>
      </c>
      <c r="S169" t="str">
        <f>IF(Cleaned_Data[[#This Row],[Net_Sales]]&gt;=100000,"High",IF(Cleaned_Data[[#This Row],[Net_Sales]]&gt;=50000,"Medium","Low"))</f>
        <v>Low</v>
      </c>
    </row>
    <row r="170" spans="1:19" x14ac:dyDescent="0.3">
      <c r="A170" t="s">
        <v>318</v>
      </c>
      <c r="B170" s="1">
        <v>45143</v>
      </c>
      <c r="C170" t="s">
        <v>135</v>
      </c>
      <c r="D170" t="s">
        <v>136</v>
      </c>
      <c r="E170" t="s">
        <v>23</v>
      </c>
      <c r="F170" t="s">
        <v>51</v>
      </c>
      <c r="G170" t="s">
        <v>17</v>
      </c>
      <c r="H170" t="s">
        <v>168</v>
      </c>
      <c r="I170">
        <v>1</v>
      </c>
      <c r="J170" s="8">
        <v>46300</v>
      </c>
      <c r="K170">
        <v>0</v>
      </c>
      <c r="L170" t="s">
        <v>47</v>
      </c>
      <c r="M170" s="5">
        <f>Cleaned_Data[[#This Row],[Quantity]]*Cleaned_Data[[#This Row],[Unit_Price]]</f>
        <v>46300</v>
      </c>
      <c r="N170" s="7">
        <f>Cleaned_Data[[#This Row],[Total_sales]]*(Cleaned_Data[[#This Row],[Discount_Percent]]/100)</f>
        <v>0</v>
      </c>
      <c r="O170" s="7">
        <f>Cleaned_Data[[#This Row],[Total_sales]]-Cleaned_Data[[#This Row],[Discount_Amount]]</f>
        <v>46300</v>
      </c>
      <c r="P170" t="str">
        <f>TEXT(Cleaned_Data[[#This Row],[Order_Date]],"MMM-YYYY")</f>
        <v>Aug-2023</v>
      </c>
      <c r="Q170" t="str">
        <f>"Q"&amp;ROUNDUP(MONTH(Cleaned_Data[[#This Row],[Order_Date]])/3,0)&amp;"-2023"</f>
        <v>Q3-2023</v>
      </c>
      <c r="R170" t="str">
        <f>TEXT(Cleaned_Data[[#This Row],[Order_Date]],"DDD")</f>
        <v>Sat</v>
      </c>
      <c r="S170" t="str">
        <f>IF(Cleaned_Data[[#This Row],[Net_Sales]]&gt;=100000,"High",IF(Cleaned_Data[[#This Row],[Net_Sales]]&gt;=50000,"Medium","Low"))</f>
        <v>Low</v>
      </c>
    </row>
    <row r="171" spans="1:19" x14ac:dyDescent="0.3">
      <c r="A171" t="s">
        <v>319</v>
      </c>
      <c r="B171" s="1">
        <v>45143</v>
      </c>
      <c r="C171" t="s">
        <v>158</v>
      </c>
      <c r="D171" t="s">
        <v>159</v>
      </c>
      <c r="E171" t="s">
        <v>81</v>
      </c>
      <c r="F171" t="s">
        <v>82</v>
      </c>
      <c r="G171" t="s">
        <v>39</v>
      </c>
      <c r="H171" t="s">
        <v>57</v>
      </c>
      <c r="I171">
        <v>1</v>
      </c>
      <c r="J171" s="8">
        <v>24300</v>
      </c>
      <c r="K171">
        <v>15</v>
      </c>
      <c r="L171" t="s">
        <v>19</v>
      </c>
      <c r="M171" s="5">
        <f>Cleaned_Data[[#This Row],[Quantity]]*Cleaned_Data[[#This Row],[Unit_Price]]</f>
        <v>24300</v>
      </c>
      <c r="N171" s="7">
        <f>Cleaned_Data[[#This Row],[Total_sales]]*(Cleaned_Data[[#This Row],[Discount_Percent]]/100)</f>
        <v>3645</v>
      </c>
      <c r="O171" s="7">
        <f>Cleaned_Data[[#This Row],[Total_sales]]-Cleaned_Data[[#This Row],[Discount_Amount]]</f>
        <v>20655</v>
      </c>
      <c r="P171" t="str">
        <f>TEXT(Cleaned_Data[[#This Row],[Order_Date]],"MMM-YYYY")</f>
        <v>Aug-2023</v>
      </c>
      <c r="Q171" t="str">
        <f>"Q"&amp;ROUNDUP(MONTH(Cleaned_Data[[#This Row],[Order_Date]])/3,0)&amp;"-2023"</f>
        <v>Q3-2023</v>
      </c>
      <c r="R171" t="str">
        <f>TEXT(Cleaned_Data[[#This Row],[Order_Date]],"DDD")</f>
        <v>Sat</v>
      </c>
      <c r="S171" t="str">
        <f>IF(Cleaned_Data[[#This Row],[Net_Sales]]&gt;=100000,"High",IF(Cleaned_Data[[#This Row],[Net_Sales]]&gt;=50000,"Medium","Low"))</f>
        <v>Low</v>
      </c>
    </row>
    <row r="172" spans="1:19" x14ac:dyDescent="0.3">
      <c r="A172" t="s">
        <v>320</v>
      </c>
      <c r="B172" s="1">
        <v>45174</v>
      </c>
      <c r="C172" t="s">
        <v>250</v>
      </c>
      <c r="D172" t="s">
        <v>251</v>
      </c>
      <c r="E172" t="s">
        <v>81</v>
      </c>
      <c r="F172" t="s">
        <v>82</v>
      </c>
      <c r="G172" t="s">
        <v>17</v>
      </c>
      <c r="H172" t="s">
        <v>77</v>
      </c>
      <c r="I172">
        <v>1</v>
      </c>
      <c r="J172" s="8">
        <v>23700</v>
      </c>
      <c r="K172">
        <v>5</v>
      </c>
      <c r="L172" t="s">
        <v>47</v>
      </c>
      <c r="M172" s="5">
        <f>Cleaned_Data[[#This Row],[Quantity]]*Cleaned_Data[[#This Row],[Unit_Price]]</f>
        <v>23700</v>
      </c>
      <c r="N172" s="7">
        <f>Cleaned_Data[[#This Row],[Total_sales]]*(Cleaned_Data[[#This Row],[Discount_Percent]]/100)</f>
        <v>1185</v>
      </c>
      <c r="O172" s="7">
        <f>Cleaned_Data[[#This Row],[Total_sales]]-Cleaned_Data[[#This Row],[Discount_Amount]]</f>
        <v>22515</v>
      </c>
      <c r="P172" t="str">
        <f>TEXT(Cleaned_Data[[#This Row],[Order_Date]],"MMM-YYYY")</f>
        <v>Sep-2023</v>
      </c>
      <c r="Q172" t="str">
        <f>"Q"&amp;ROUNDUP(MONTH(Cleaned_Data[[#This Row],[Order_Date]])/3,0)&amp;"-2023"</f>
        <v>Q3-2023</v>
      </c>
      <c r="R172" t="str">
        <f>TEXT(Cleaned_Data[[#This Row],[Order_Date]],"DDD")</f>
        <v>Tue</v>
      </c>
      <c r="S172" t="str">
        <f>IF(Cleaned_Data[[#This Row],[Net_Sales]]&gt;=100000,"High",IF(Cleaned_Data[[#This Row],[Net_Sales]]&gt;=50000,"Medium","Low"))</f>
        <v>Low</v>
      </c>
    </row>
    <row r="173" spans="1:19" x14ac:dyDescent="0.3">
      <c r="A173" t="s">
        <v>321</v>
      </c>
      <c r="B173" s="1">
        <v>45174</v>
      </c>
      <c r="C173" t="s">
        <v>90</v>
      </c>
      <c r="D173" t="s">
        <v>91</v>
      </c>
      <c r="E173" t="s">
        <v>81</v>
      </c>
      <c r="F173" t="s">
        <v>160</v>
      </c>
      <c r="G173" t="s">
        <v>97</v>
      </c>
      <c r="H173" t="s">
        <v>171</v>
      </c>
      <c r="I173">
        <v>1</v>
      </c>
      <c r="J173" s="8">
        <v>62900</v>
      </c>
      <c r="K173">
        <v>5</v>
      </c>
      <c r="L173" t="s">
        <v>53</v>
      </c>
      <c r="M173" s="5">
        <f>Cleaned_Data[[#This Row],[Quantity]]*Cleaned_Data[[#This Row],[Unit_Price]]</f>
        <v>62900</v>
      </c>
      <c r="N173" s="7">
        <f>Cleaned_Data[[#This Row],[Total_sales]]*(Cleaned_Data[[#This Row],[Discount_Percent]]/100)</f>
        <v>3145</v>
      </c>
      <c r="O173" s="7">
        <f>Cleaned_Data[[#This Row],[Total_sales]]-Cleaned_Data[[#This Row],[Discount_Amount]]</f>
        <v>59755</v>
      </c>
      <c r="P173" t="str">
        <f>TEXT(Cleaned_Data[[#This Row],[Order_Date]],"MMM-YYYY")</f>
        <v>Sep-2023</v>
      </c>
      <c r="Q173" t="str">
        <f>"Q"&amp;ROUNDUP(MONTH(Cleaned_Data[[#This Row],[Order_Date]])/3,0)&amp;"-2023"</f>
        <v>Q3-2023</v>
      </c>
      <c r="R173" t="str">
        <f>TEXT(Cleaned_Data[[#This Row],[Order_Date]],"DDD")</f>
        <v>Tue</v>
      </c>
      <c r="S173" t="str">
        <f>IF(Cleaned_Data[[#This Row],[Net_Sales]]&gt;=100000,"High",IF(Cleaned_Data[[#This Row],[Net_Sales]]&gt;=50000,"Medium","Low"))</f>
        <v>Medium</v>
      </c>
    </row>
    <row r="174" spans="1:19" x14ac:dyDescent="0.3">
      <c r="A174" t="s">
        <v>322</v>
      </c>
      <c r="B174" s="1">
        <v>45174</v>
      </c>
      <c r="C174" t="s">
        <v>236</v>
      </c>
      <c r="D174" t="s">
        <v>237</v>
      </c>
      <c r="E174" t="s">
        <v>66</v>
      </c>
      <c r="F174" t="s">
        <v>87</v>
      </c>
      <c r="G174" t="s">
        <v>25</v>
      </c>
      <c r="H174" t="s">
        <v>108</v>
      </c>
      <c r="I174">
        <v>2</v>
      </c>
      <c r="J174" s="8">
        <v>1900</v>
      </c>
      <c r="K174">
        <v>0</v>
      </c>
      <c r="L174" t="s">
        <v>33</v>
      </c>
      <c r="M174" s="5">
        <f>Cleaned_Data[[#This Row],[Quantity]]*Cleaned_Data[[#This Row],[Unit_Price]]</f>
        <v>3800</v>
      </c>
      <c r="N174" s="7">
        <f>Cleaned_Data[[#This Row],[Total_sales]]*(Cleaned_Data[[#This Row],[Discount_Percent]]/100)</f>
        <v>0</v>
      </c>
      <c r="O174" s="7">
        <f>Cleaned_Data[[#This Row],[Total_sales]]-Cleaned_Data[[#This Row],[Discount_Amount]]</f>
        <v>3800</v>
      </c>
      <c r="P174" t="str">
        <f>TEXT(Cleaned_Data[[#This Row],[Order_Date]],"MMM-YYYY")</f>
        <v>Sep-2023</v>
      </c>
      <c r="Q174" t="str">
        <f>"Q"&amp;ROUNDUP(MONTH(Cleaned_Data[[#This Row],[Order_Date]])/3,0)&amp;"-2023"</f>
        <v>Q3-2023</v>
      </c>
      <c r="R174" t="str">
        <f>TEXT(Cleaned_Data[[#This Row],[Order_Date]],"DDD")</f>
        <v>Tue</v>
      </c>
      <c r="S174" t="str">
        <f>IF(Cleaned_Data[[#This Row],[Net_Sales]]&gt;=100000,"High",IF(Cleaned_Data[[#This Row],[Net_Sales]]&gt;=50000,"Medium","Low"))</f>
        <v>Low</v>
      </c>
    </row>
    <row r="175" spans="1:19" x14ac:dyDescent="0.3">
      <c r="A175" t="s">
        <v>323</v>
      </c>
      <c r="B175" s="1">
        <v>45204</v>
      </c>
      <c r="C175" t="s">
        <v>29</v>
      </c>
      <c r="D175" t="s">
        <v>30</v>
      </c>
      <c r="E175" t="s">
        <v>37</v>
      </c>
      <c r="F175" t="s">
        <v>38</v>
      </c>
      <c r="G175" t="s">
        <v>17</v>
      </c>
      <c r="H175" t="s">
        <v>18</v>
      </c>
      <c r="I175">
        <v>1</v>
      </c>
      <c r="J175" s="8">
        <v>34700</v>
      </c>
      <c r="K175">
        <v>20</v>
      </c>
      <c r="L175" t="s">
        <v>62</v>
      </c>
      <c r="M175" s="5">
        <f>Cleaned_Data[[#This Row],[Quantity]]*Cleaned_Data[[#This Row],[Unit_Price]]</f>
        <v>34700</v>
      </c>
      <c r="N175" s="7">
        <f>Cleaned_Data[[#This Row],[Total_sales]]*(Cleaned_Data[[#This Row],[Discount_Percent]]/100)</f>
        <v>6940</v>
      </c>
      <c r="O175" s="7">
        <f>Cleaned_Data[[#This Row],[Total_sales]]-Cleaned_Data[[#This Row],[Discount_Amount]]</f>
        <v>27760</v>
      </c>
      <c r="P175" t="str">
        <f>TEXT(Cleaned_Data[[#This Row],[Order_Date]],"MMM-YYYY")</f>
        <v>Oct-2023</v>
      </c>
      <c r="Q175" t="str">
        <f>"Q"&amp;ROUNDUP(MONTH(Cleaned_Data[[#This Row],[Order_Date]])/3,0)&amp;"-2023"</f>
        <v>Q4-2023</v>
      </c>
      <c r="R175" t="str">
        <f>TEXT(Cleaned_Data[[#This Row],[Order_Date]],"DDD")</f>
        <v>Thu</v>
      </c>
      <c r="S175" t="str">
        <f>IF(Cleaned_Data[[#This Row],[Net_Sales]]&gt;=100000,"High",IF(Cleaned_Data[[#This Row],[Net_Sales]]&gt;=50000,"Medium","Low"))</f>
        <v>Low</v>
      </c>
    </row>
    <row r="176" spans="1:19" x14ac:dyDescent="0.3">
      <c r="A176" t="s">
        <v>324</v>
      </c>
      <c r="B176" s="1">
        <v>45204</v>
      </c>
      <c r="C176" t="s">
        <v>64</v>
      </c>
      <c r="D176" t="s">
        <v>65</v>
      </c>
      <c r="E176" t="s">
        <v>81</v>
      </c>
      <c r="F176" t="s">
        <v>117</v>
      </c>
      <c r="G176" t="s">
        <v>25</v>
      </c>
      <c r="H176" t="s">
        <v>26</v>
      </c>
      <c r="I176">
        <v>2</v>
      </c>
      <c r="J176" s="8">
        <v>2000</v>
      </c>
      <c r="K176">
        <v>0</v>
      </c>
      <c r="L176" t="s">
        <v>33</v>
      </c>
      <c r="M176" s="5">
        <f>Cleaned_Data[[#This Row],[Quantity]]*Cleaned_Data[[#This Row],[Unit_Price]]</f>
        <v>4000</v>
      </c>
      <c r="N176" s="7">
        <f>Cleaned_Data[[#This Row],[Total_sales]]*(Cleaned_Data[[#This Row],[Discount_Percent]]/100)</f>
        <v>0</v>
      </c>
      <c r="O176" s="7">
        <f>Cleaned_Data[[#This Row],[Total_sales]]-Cleaned_Data[[#This Row],[Discount_Amount]]</f>
        <v>4000</v>
      </c>
      <c r="P176" t="str">
        <f>TEXT(Cleaned_Data[[#This Row],[Order_Date]],"MMM-YYYY")</f>
        <v>Oct-2023</v>
      </c>
      <c r="Q176" t="str">
        <f>"Q"&amp;ROUNDUP(MONTH(Cleaned_Data[[#This Row],[Order_Date]])/3,0)&amp;"-2023"</f>
        <v>Q4-2023</v>
      </c>
      <c r="R176" t="str">
        <f>TEXT(Cleaned_Data[[#This Row],[Order_Date]],"DDD")</f>
        <v>Thu</v>
      </c>
      <c r="S176" t="str">
        <f>IF(Cleaned_Data[[#This Row],[Net_Sales]]&gt;=100000,"High",IF(Cleaned_Data[[#This Row],[Net_Sales]]&gt;=50000,"Medium","Low"))</f>
        <v>Low</v>
      </c>
    </row>
    <row r="177" spans="1:19" x14ac:dyDescent="0.3">
      <c r="A177" t="s">
        <v>325</v>
      </c>
      <c r="B177" s="1">
        <v>45235</v>
      </c>
      <c r="C177" t="s">
        <v>203</v>
      </c>
      <c r="D177" t="s">
        <v>204</v>
      </c>
      <c r="E177" t="s">
        <v>23</v>
      </c>
      <c r="F177" t="s">
        <v>51</v>
      </c>
      <c r="G177" t="s">
        <v>25</v>
      </c>
      <c r="H177" t="s">
        <v>124</v>
      </c>
      <c r="I177">
        <v>2</v>
      </c>
      <c r="J177" s="8">
        <v>500</v>
      </c>
      <c r="K177">
        <v>0</v>
      </c>
      <c r="L177" t="s">
        <v>73</v>
      </c>
      <c r="M177" s="5">
        <f>Cleaned_Data[[#This Row],[Quantity]]*Cleaned_Data[[#This Row],[Unit_Price]]</f>
        <v>1000</v>
      </c>
      <c r="N177" s="7">
        <f>Cleaned_Data[[#This Row],[Total_sales]]*(Cleaned_Data[[#This Row],[Discount_Percent]]/100)</f>
        <v>0</v>
      </c>
      <c r="O177" s="7">
        <f>Cleaned_Data[[#This Row],[Total_sales]]-Cleaned_Data[[#This Row],[Discount_Amount]]</f>
        <v>1000</v>
      </c>
      <c r="P177" t="str">
        <f>TEXT(Cleaned_Data[[#This Row],[Order_Date]],"MMM-YYYY")</f>
        <v>Nov-2023</v>
      </c>
      <c r="Q177" t="str">
        <f>"Q"&amp;ROUNDUP(MONTH(Cleaned_Data[[#This Row],[Order_Date]])/3,0)&amp;"-2023"</f>
        <v>Q4-2023</v>
      </c>
      <c r="R177" t="str">
        <f>TEXT(Cleaned_Data[[#This Row],[Order_Date]],"DDD")</f>
        <v>Sun</v>
      </c>
      <c r="S177" t="str">
        <f>IF(Cleaned_Data[[#This Row],[Net_Sales]]&gt;=100000,"High",IF(Cleaned_Data[[#This Row],[Net_Sales]]&gt;=50000,"Medium","Low"))</f>
        <v>Low</v>
      </c>
    </row>
    <row r="178" spans="1:19" x14ac:dyDescent="0.3">
      <c r="A178" t="s">
        <v>326</v>
      </c>
      <c r="B178" s="1">
        <v>45235</v>
      </c>
      <c r="C178" t="s">
        <v>70</v>
      </c>
      <c r="D178" t="s">
        <v>71</v>
      </c>
      <c r="E178" t="s">
        <v>37</v>
      </c>
      <c r="F178" t="s">
        <v>141</v>
      </c>
      <c r="G178" t="s">
        <v>45</v>
      </c>
      <c r="H178" t="s">
        <v>46</v>
      </c>
      <c r="I178">
        <v>1</v>
      </c>
      <c r="J178" s="8">
        <v>46300</v>
      </c>
      <c r="K178">
        <v>10</v>
      </c>
      <c r="L178" t="s">
        <v>47</v>
      </c>
      <c r="M178" s="5">
        <f>Cleaned_Data[[#This Row],[Quantity]]*Cleaned_Data[[#This Row],[Unit_Price]]</f>
        <v>46300</v>
      </c>
      <c r="N178" s="7">
        <f>Cleaned_Data[[#This Row],[Total_sales]]*(Cleaned_Data[[#This Row],[Discount_Percent]]/100)</f>
        <v>4630</v>
      </c>
      <c r="O178" s="7">
        <f>Cleaned_Data[[#This Row],[Total_sales]]-Cleaned_Data[[#This Row],[Discount_Amount]]</f>
        <v>41670</v>
      </c>
      <c r="P178" t="str">
        <f>TEXT(Cleaned_Data[[#This Row],[Order_Date]],"MMM-YYYY")</f>
        <v>Nov-2023</v>
      </c>
      <c r="Q178" t="str">
        <f>"Q"&amp;ROUNDUP(MONTH(Cleaned_Data[[#This Row],[Order_Date]])/3,0)&amp;"-2023"</f>
        <v>Q4-2023</v>
      </c>
      <c r="R178" t="str">
        <f>TEXT(Cleaned_Data[[#This Row],[Order_Date]],"DDD")</f>
        <v>Sun</v>
      </c>
      <c r="S178" t="str">
        <f>IF(Cleaned_Data[[#This Row],[Net_Sales]]&gt;=100000,"High",IF(Cleaned_Data[[#This Row],[Net_Sales]]&gt;=50000,"Medium","Low"))</f>
        <v>Low</v>
      </c>
    </row>
    <row r="179" spans="1:19" x14ac:dyDescent="0.3">
      <c r="A179" t="s">
        <v>327</v>
      </c>
      <c r="B179" s="1">
        <v>45235</v>
      </c>
      <c r="C179" t="s">
        <v>49</v>
      </c>
      <c r="D179" t="s">
        <v>50</v>
      </c>
      <c r="E179" t="s">
        <v>15</v>
      </c>
      <c r="F179" t="s">
        <v>16</v>
      </c>
      <c r="G179" t="s">
        <v>39</v>
      </c>
      <c r="H179" t="s">
        <v>40</v>
      </c>
      <c r="I179">
        <v>1</v>
      </c>
      <c r="J179" s="8">
        <v>25000</v>
      </c>
      <c r="K179">
        <v>20</v>
      </c>
      <c r="L179" t="s">
        <v>33</v>
      </c>
      <c r="M179" s="5">
        <f>Cleaned_Data[[#This Row],[Quantity]]*Cleaned_Data[[#This Row],[Unit_Price]]</f>
        <v>25000</v>
      </c>
      <c r="N179" s="7">
        <f>Cleaned_Data[[#This Row],[Total_sales]]*(Cleaned_Data[[#This Row],[Discount_Percent]]/100)</f>
        <v>5000</v>
      </c>
      <c r="O179" s="7">
        <f>Cleaned_Data[[#This Row],[Total_sales]]-Cleaned_Data[[#This Row],[Discount_Amount]]</f>
        <v>20000</v>
      </c>
      <c r="P179" t="str">
        <f>TEXT(Cleaned_Data[[#This Row],[Order_Date]],"MMM-YYYY")</f>
        <v>Nov-2023</v>
      </c>
      <c r="Q179" t="str">
        <f>"Q"&amp;ROUNDUP(MONTH(Cleaned_Data[[#This Row],[Order_Date]])/3,0)&amp;"-2023"</f>
        <v>Q4-2023</v>
      </c>
      <c r="R179" t="str">
        <f>TEXT(Cleaned_Data[[#This Row],[Order_Date]],"DDD")</f>
        <v>Sun</v>
      </c>
      <c r="S179" t="str">
        <f>IF(Cleaned_Data[[#This Row],[Net_Sales]]&gt;=100000,"High",IF(Cleaned_Data[[#This Row],[Net_Sales]]&gt;=50000,"Medium","Low"))</f>
        <v>Low</v>
      </c>
    </row>
    <row r="180" spans="1:19" x14ac:dyDescent="0.3">
      <c r="A180" t="s">
        <v>328</v>
      </c>
      <c r="B180" s="1">
        <v>45235</v>
      </c>
      <c r="C180" t="s">
        <v>95</v>
      </c>
      <c r="D180" t="s">
        <v>96</v>
      </c>
      <c r="E180" t="s">
        <v>37</v>
      </c>
      <c r="F180" t="s">
        <v>101</v>
      </c>
      <c r="G180" t="s">
        <v>39</v>
      </c>
      <c r="H180" t="s">
        <v>68</v>
      </c>
      <c r="I180">
        <v>1</v>
      </c>
      <c r="J180" s="8">
        <v>26500</v>
      </c>
      <c r="K180">
        <v>0</v>
      </c>
      <c r="L180" t="s">
        <v>33</v>
      </c>
      <c r="M180" s="5">
        <f>Cleaned_Data[[#This Row],[Quantity]]*Cleaned_Data[[#This Row],[Unit_Price]]</f>
        <v>26500</v>
      </c>
      <c r="N180" s="7">
        <f>Cleaned_Data[[#This Row],[Total_sales]]*(Cleaned_Data[[#This Row],[Discount_Percent]]/100)</f>
        <v>0</v>
      </c>
      <c r="O180" s="7">
        <f>Cleaned_Data[[#This Row],[Total_sales]]-Cleaned_Data[[#This Row],[Discount_Amount]]</f>
        <v>26500</v>
      </c>
      <c r="P180" t="str">
        <f>TEXT(Cleaned_Data[[#This Row],[Order_Date]],"MMM-YYYY")</f>
        <v>Nov-2023</v>
      </c>
      <c r="Q180" t="str">
        <f>"Q"&amp;ROUNDUP(MONTH(Cleaned_Data[[#This Row],[Order_Date]])/3,0)&amp;"-2023"</f>
        <v>Q4-2023</v>
      </c>
      <c r="R180" t="str">
        <f>TEXT(Cleaned_Data[[#This Row],[Order_Date]],"DDD")</f>
        <v>Sun</v>
      </c>
      <c r="S180" t="str">
        <f>IF(Cleaned_Data[[#This Row],[Net_Sales]]&gt;=100000,"High",IF(Cleaned_Data[[#This Row],[Net_Sales]]&gt;=50000,"Medium","Low"))</f>
        <v>Low</v>
      </c>
    </row>
    <row r="181" spans="1:19" x14ac:dyDescent="0.3">
      <c r="A181" t="s">
        <v>329</v>
      </c>
      <c r="B181" s="1">
        <v>45265</v>
      </c>
      <c r="C181" t="s">
        <v>203</v>
      </c>
      <c r="D181" t="s">
        <v>204</v>
      </c>
      <c r="E181" t="s">
        <v>81</v>
      </c>
      <c r="F181" t="s">
        <v>82</v>
      </c>
      <c r="G181" t="s">
        <v>17</v>
      </c>
      <c r="H181" t="s">
        <v>77</v>
      </c>
      <c r="I181">
        <v>1</v>
      </c>
      <c r="J181" s="8">
        <v>33800</v>
      </c>
      <c r="K181">
        <v>25</v>
      </c>
      <c r="L181" t="s">
        <v>73</v>
      </c>
      <c r="M181" s="5">
        <f>Cleaned_Data[[#This Row],[Quantity]]*Cleaned_Data[[#This Row],[Unit_Price]]</f>
        <v>33800</v>
      </c>
      <c r="N181" s="7">
        <f>Cleaned_Data[[#This Row],[Total_sales]]*(Cleaned_Data[[#This Row],[Discount_Percent]]/100)</f>
        <v>8450</v>
      </c>
      <c r="O181" s="7">
        <f>Cleaned_Data[[#This Row],[Total_sales]]-Cleaned_Data[[#This Row],[Discount_Amount]]</f>
        <v>25350</v>
      </c>
      <c r="P181" t="str">
        <f>TEXT(Cleaned_Data[[#This Row],[Order_Date]],"MMM-YYYY")</f>
        <v>Dec-2023</v>
      </c>
      <c r="Q181" t="str">
        <f>"Q"&amp;ROUNDUP(MONTH(Cleaned_Data[[#This Row],[Order_Date]])/3,0)&amp;"-2023"</f>
        <v>Q4-2023</v>
      </c>
      <c r="R181" t="str">
        <f>TEXT(Cleaned_Data[[#This Row],[Order_Date]],"DDD")</f>
        <v>Tue</v>
      </c>
      <c r="S181" t="str">
        <f>IF(Cleaned_Data[[#This Row],[Net_Sales]]&gt;=100000,"High",IF(Cleaned_Data[[#This Row],[Net_Sales]]&gt;=50000,"Medium","Low"))</f>
        <v>Low</v>
      </c>
    </row>
    <row r="182" spans="1:19" x14ac:dyDescent="0.3">
      <c r="A182" t="s">
        <v>330</v>
      </c>
      <c r="B182" s="1">
        <v>45265</v>
      </c>
      <c r="C182" t="s">
        <v>180</v>
      </c>
      <c r="D182" t="s">
        <v>181</v>
      </c>
      <c r="E182" t="s">
        <v>37</v>
      </c>
      <c r="F182" t="s">
        <v>61</v>
      </c>
      <c r="G182" t="s">
        <v>25</v>
      </c>
      <c r="H182" t="s">
        <v>26</v>
      </c>
      <c r="I182">
        <v>3</v>
      </c>
      <c r="J182" s="8">
        <v>2400</v>
      </c>
      <c r="K182">
        <v>10</v>
      </c>
      <c r="L182" t="s">
        <v>19</v>
      </c>
      <c r="M182" s="5">
        <f>Cleaned_Data[[#This Row],[Quantity]]*Cleaned_Data[[#This Row],[Unit_Price]]</f>
        <v>7200</v>
      </c>
      <c r="N182" s="7">
        <f>Cleaned_Data[[#This Row],[Total_sales]]*(Cleaned_Data[[#This Row],[Discount_Percent]]/100)</f>
        <v>720</v>
      </c>
      <c r="O182" s="7">
        <f>Cleaned_Data[[#This Row],[Total_sales]]-Cleaned_Data[[#This Row],[Discount_Amount]]</f>
        <v>6480</v>
      </c>
      <c r="P182" t="str">
        <f>TEXT(Cleaned_Data[[#This Row],[Order_Date]],"MMM-YYYY")</f>
        <v>Dec-2023</v>
      </c>
      <c r="Q182" t="str">
        <f>"Q"&amp;ROUNDUP(MONTH(Cleaned_Data[[#This Row],[Order_Date]])/3,0)&amp;"-2023"</f>
        <v>Q4-2023</v>
      </c>
      <c r="R182" t="str">
        <f>TEXT(Cleaned_Data[[#This Row],[Order_Date]],"DDD")</f>
        <v>Tue</v>
      </c>
      <c r="S182" t="str">
        <f>IF(Cleaned_Data[[#This Row],[Net_Sales]]&gt;=100000,"High",IF(Cleaned_Data[[#This Row],[Net_Sales]]&gt;=50000,"Medium","Low"))</f>
        <v>Low</v>
      </c>
    </row>
    <row r="183" spans="1:19" x14ac:dyDescent="0.3">
      <c r="A183" t="s">
        <v>331</v>
      </c>
      <c r="B183" s="1">
        <v>44932</v>
      </c>
      <c r="C183" t="s">
        <v>244</v>
      </c>
      <c r="D183" t="s">
        <v>245</v>
      </c>
      <c r="E183" t="s">
        <v>23</v>
      </c>
      <c r="F183" t="s">
        <v>31</v>
      </c>
      <c r="G183" t="s">
        <v>17</v>
      </c>
      <c r="H183" t="s">
        <v>18</v>
      </c>
      <c r="I183">
        <v>1</v>
      </c>
      <c r="J183" s="8">
        <v>43000</v>
      </c>
      <c r="K183">
        <v>20</v>
      </c>
      <c r="L183" t="s">
        <v>33</v>
      </c>
      <c r="M183" s="5">
        <f>Cleaned_Data[[#This Row],[Quantity]]*Cleaned_Data[[#This Row],[Unit_Price]]</f>
        <v>43000</v>
      </c>
      <c r="N183" s="7">
        <f>Cleaned_Data[[#This Row],[Total_sales]]*(Cleaned_Data[[#This Row],[Discount_Percent]]/100)</f>
        <v>8600</v>
      </c>
      <c r="O183" s="7">
        <f>Cleaned_Data[[#This Row],[Total_sales]]-Cleaned_Data[[#This Row],[Discount_Amount]]</f>
        <v>34400</v>
      </c>
      <c r="P183" t="str">
        <f>TEXT(Cleaned_Data[[#This Row],[Order_Date]],"MMM-YYYY")</f>
        <v>Jan-2023</v>
      </c>
      <c r="Q183" t="str">
        <f>"Q"&amp;ROUNDUP(MONTH(Cleaned_Data[[#This Row],[Order_Date]])/3,0)&amp;"-2023"</f>
        <v>Q1-2023</v>
      </c>
      <c r="R183" t="str">
        <f>TEXT(Cleaned_Data[[#This Row],[Order_Date]],"DDD")</f>
        <v>Fri</v>
      </c>
      <c r="S183" t="str">
        <f>IF(Cleaned_Data[[#This Row],[Net_Sales]]&gt;=100000,"High",IF(Cleaned_Data[[#This Row],[Net_Sales]]&gt;=50000,"Medium","Low"))</f>
        <v>Low</v>
      </c>
    </row>
    <row r="184" spans="1:19" x14ac:dyDescent="0.3">
      <c r="A184" t="s">
        <v>332</v>
      </c>
      <c r="B184" s="1">
        <v>44963</v>
      </c>
      <c r="C184" t="s">
        <v>112</v>
      </c>
      <c r="D184" t="s">
        <v>113</v>
      </c>
      <c r="E184" t="s">
        <v>15</v>
      </c>
      <c r="F184" t="s">
        <v>16</v>
      </c>
      <c r="G184" t="s">
        <v>25</v>
      </c>
      <c r="H184" t="s">
        <v>26</v>
      </c>
      <c r="I184">
        <v>2</v>
      </c>
      <c r="J184" s="8">
        <v>1700</v>
      </c>
      <c r="K184">
        <v>15</v>
      </c>
      <c r="L184" t="s">
        <v>103</v>
      </c>
      <c r="M184" s="5">
        <f>Cleaned_Data[[#This Row],[Quantity]]*Cleaned_Data[[#This Row],[Unit_Price]]</f>
        <v>3400</v>
      </c>
      <c r="N184" s="7">
        <f>Cleaned_Data[[#This Row],[Total_sales]]*(Cleaned_Data[[#This Row],[Discount_Percent]]/100)</f>
        <v>510</v>
      </c>
      <c r="O184" s="7">
        <f>Cleaned_Data[[#This Row],[Total_sales]]-Cleaned_Data[[#This Row],[Discount_Amount]]</f>
        <v>2890</v>
      </c>
      <c r="P184" t="str">
        <f>TEXT(Cleaned_Data[[#This Row],[Order_Date]],"MMM-YYYY")</f>
        <v>Feb-2023</v>
      </c>
      <c r="Q184" t="str">
        <f>"Q"&amp;ROUNDUP(MONTH(Cleaned_Data[[#This Row],[Order_Date]])/3,0)&amp;"-2023"</f>
        <v>Q1-2023</v>
      </c>
      <c r="R184" t="str">
        <f>TEXT(Cleaned_Data[[#This Row],[Order_Date]],"DDD")</f>
        <v>Mon</v>
      </c>
      <c r="S184" t="str">
        <f>IF(Cleaned_Data[[#This Row],[Net_Sales]]&gt;=100000,"High",IF(Cleaned_Data[[#This Row],[Net_Sales]]&gt;=50000,"Medium","Low"))</f>
        <v>Low</v>
      </c>
    </row>
    <row r="185" spans="1:19" x14ac:dyDescent="0.3">
      <c r="A185" t="s">
        <v>333</v>
      </c>
      <c r="B185" s="1">
        <v>44963</v>
      </c>
      <c r="C185" t="s">
        <v>250</v>
      </c>
      <c r="D185" t="s">
        <v>251</v>
      </c>
      <c r="E185" t="s">
        <v>23</v>
      </c>
      <c r="F185" t="s">
        <v>51</v>
      </c>
      <c r="G185" t="s">
        <v>97</v>
      </c>
      <c r="H185" t="s">
        <v>174</v>
      </c>
      <c r="I185">
        <v>1</v>
      </c>
      <c r="J185" s="8">
        <v>37700</v>
      </c>
      <c r="K185">
        <v>10</v>
      </c>
      <c r="L185" t="s">
        <v>33</v>
      </c>
      <c r="M185" s="5">
        <f>Cleaned_Data[[#This Row],[Quantity]]*Cleaned_Data[[#This Row],[Unit_Price]]</f>
        <v>37700</v>
      </c>
      <c r="N185" s="7">
        <f>Cleaned_Data[[#This Row],[Total_sales]]*(Cleaned_Data[[#This Row],[Discount_Percent]]/100)</f>
        <v>3770</v>
      </c>
      <c r="O185" s="7">
        <f>Cleaned_Data[[#This Row],[Total_sales]]-Cleaned_Data[[#This Row],[Discount_Amount]]</f>
        <v>33930</v>
      </c>
      <c r="P185" t="str">
        <f>TEXT(Cleaned_Data[[#This Row],[Order_Date]],"MMM-YYYY")</f>
        <v>Feb-2023</v>
      </c>
      <c r="Q185" t="str">
        <f>"Q"&amp;ROUNDUP(MONTH(Cleaned_Data[[#This Row],[Order_Date]])/3,0)&amp;"-2023"</f>
        <v>Q1-2023</v>
      </c>
      <c r="R185" t="str">
        <f>TEXT(Cleaned_Data[[#This Row],[Order_Date]],"DDD")</f>
        <v>Mon</v>
      </c>
      <c r="S185" t="str">
        <f>IF(Cleaned_Data[[#This Row],[Net_Sales]]&gt;=100000,"High",IF(Cleaned_Data[[#This Row],[Net_Sales]]&gt;=50000,"Medium","Low"))</f>
        <v>Low</v>
      </c>
    </row>
    <row r="186" spans="1:19" x14ac:dyDescent="0.3">
      <c r="A186" t="s">
        <v>334</v>
      </c>
      <c r="B186" s="1">
        <v>44963</v>
      </c>
      <c r="C186" t="s">
        <v>70</v>
      </c>
      <c r="D186" t="s">
        <v>71</v>
      </c>
      <c r="E186" t="s">
        <v>23</v>
      </c>
      <c r="F186" t="s">
        <v>51</v>
      </c>
      <c r="G186" t="s">
        <v>45</v>
      </c>
      <c r="H186" t="s">
        <v>46</v>
      </c>
      <c r="I186">
        <v>1</v>
      </c>
      <c r="J186" s="8">
        <v>25900</v>
      </c>
      <c r="K186">
        <v>10</v>
      </c>
      <c r="L186" t="s">
        <v>47</v>
      </c>
      <c r="M186" s="5">
        <f>Cleaned_Data[[#This Row],[Quantity]]*Cleaned_Data[[#This Row],[Unit_Price]]</f>
        <v>25900</v>
      </c>
      <c r="N186" s="7">
        <f>Cleaned_Data[[#This Row],[Total_sales]]*(Cleaned_Data[[#This Row],[Discount_Percent]]/100)</f>
        <v>2590</v>
      </c>
      <c r="O186" s="7">
        <f>Cleaned_Data[[#This Row],[Total_sales]]-Cleaned_Data[[#This Row],[Discount_Amount]]</f>
        <v>23310</v>
      </c>
      <c r="P186" t="str">
        <f>TEXT(Cleaned_Data[[#This Row],[Order_Date]],"MMM-YYYY")</f>
        <v>Feb-2023</v>
      </c>
      <c r="Q186" t="str">
        <f>"Q"&amp;ROUNDUP(MONTH(Cleaned_Data[[#This Row],[Order_Date]])/3,0)&amp;"-2023"</f>
        <v>Q1-2023</v>
      </c>
      <c r="R186" t="str">
        <f>TEXT(Cleaned_Data[[#This Row],[Order_Date]],"DDD")</f>
        <v>Mon</v>
      </c>
      <c r="S186" t="str">
        <f>IF(Cleaned_Data[[#This Row],[Net_Sales]]&gt;=100000,"High",IF(Cleaned_Data[[#This Row],[Net_Sales]]&gt;=50000,"Medium","Low"))</f>
        <v>Low</v>
      </c>
    </row>
    <row r="187" spans="1:19" x14ac:dyDescent="0.3">
      <c r="A187" t="s">
        <v>335</v>
      </c>
      <c r="B187" s="1">
        <v>44963</v>
      </c>
      <c r="C187" t="s">
        <v>183</v>
      </c>
      <c r="D187" t="s">
        <v>27</v>
      </c>
      <c r="E187" t="s">
        <v>81</v>
      </c>
      <c r="F187" t="s">
        <v>82</v>
      </c>
      <c r="G187" t="s">
        <v>17</v>
      </c>
      <c r="H187" t="s">
        <v>18</v>
      </c>
      <c r="I187">
        <v>1</v>
      </c>
      <c r="J187" s="8">
        <v>34100</v>
      </c>
      <c r="K187">
        <v>0</v>
      </c>
      <c r="L187" t="s">
        <v>33</v>
      </c>
      <c r="M187" s="5">
        <f>Cleaned_Data[[#This Row],[Quantity]]*Cleaned_Data[[#This Row],[Unit_Price]]</f>
        <v>34100</v>
      </c>
      <c r="N187" s="7">
        <f>Cleaned_Data[[#This Row],[Total_sales]]*(Cleaned_Data[[#This Row],[Discount_Percent]]/100)</f>
        <v>0</v>
      </c>
      <c r="O187" s="7">
        <f>Cleaned_Data[[#This Row],[Total_sales]]-Cleaned_Data[[#This Row],[Discount_Amount]]</f>
        <v>34100</v>
      </c>
      <c r="P187" t="str">
        <f>TEXT(Cleaned_Data[[#This Row],[Order_Date]],"MMM-YYYY")</f>
        <v>Feb-2023</v>
      </c>
      <c r="Q187" t="str">
        <f>"Q"&amp;ROUNDUP(MONTH(Cleaned_Data[[#This Row],[Order_Date]])/3,0)&amp;"-2023"</f>
        <v>Q1-2023</v>
      </c>
      <c r="R187" t="str">
        <f>TEXT(Cleaned_Data[[#This Row],[Order_Date]],"DDD")</f>
        <v>Mon</v>
      </c>
      <c r="S187" t="str">
        <f>IF(Cleaned_Data[[#This Row],[Net_Sales]]&gt;=100000,"High",IF(Cleaned_Data[[#This Row],[Net_Sales]]&gt;=50000,"Medium","Low"))</f>
        <v>Low</v>
      </c>
    </row>
    <row r="188" spans="1:19" x14ac:dyDescent="0.3">
      <c r="A188" t="s">
        <v>336</v>
      </c>
      <c r="B188" s="1">
        <v>44991</v>
      </c>
      <c r="C188" t="s">
        <v>151</v>
      </c>
      <c r="D188" t="s">
        <v>152</v>
      </c>
      <c r="E188" t="s">
        <v>81</v>
      </c>
      <c r="F188" t="s">
        <v>82</v>
      </c>
      <c r="G188" t="s">
        <v>25</v>
      </c>
      <c r="H188" t="s">
        <v>212</v>
      </c>
      <c r="I188">
        <v>3</v>
      </c>
      <c r="J188" s="8">
        <v>1800</v>
      </c>
      <c r="K188">
        <v>20</v>
      </c>
      <c r="L188" t="s">
        <v>62</v>
      </c>
      <c r="M188" s="5">
        <f>Cleaned_Data[[#This Row],[Quantity]]*Cleaned_Data[[#This Row],[Unit_Price]]</f>
        <v>5400</v>
      </c>
      <c r="N188" s="7">
        <f>Cleaned_Data[[#This Row],[Total_sales]]*(Cleaned_Data[[#This Row],[Discount_Percent]]/100)</f>
        <v>1080</v>
      </c>
      <c r="O188" s="7">
        <f>Cleaned_Data[[#This Row],[Total_sales]]-Cleaned_Data[[#This Row],[Discount_Amount]]</f>
        <v>4320</v>
      </c>
      <c r="P188" t="str">
        <f>TEXT(Cleaned_Data[[#This Row],[Order_Date]],"MMM-YYYY")</f>
        <v>Mar-2023</v>
      </c>
      <c r="Q188" t="str">
        <f>"Q"&amp;ROUNDUP(MONTH(Cleaned_Data[[#This Row],[Order_Date]])/3,0)&amp;"-2023"</f>
        <v>Q1-2023</v>
      </c>
      <c r="R188" t="str">
        <f>TEXT(Cleaned_Data[[#This Row],[Order_Date]],"DDD")</f>
        <v>Mon</v>
      </c>
      <c r="S188" t="str">
        <f>IF(Cleaned_Data[[#This Row],[Net_Sales]]&gt;=100000,"High",IF(Cleaned_Data[[#This Row],[Net_Sales]]&gt;=50000,"Medium","Low"))</f>
        <v>Low</v>
      </c>
    </row>
    <row r="189" spans="1:19" x14ac:dyDescent="0.3">
      <c r="A189" t="s">
        <v>337</v>
      </c>
      <c r="B189" s="1">
        <v>44991</v>
      </c>
      <c r="C189" t="s">
        <v>147</v>
      </c>
      <c r="D189" t="s">
        <v>148</v>
      </c>
      <c r="E189" t="s">
        <v>81</v>
      </c>
      <c r="F189" t="s">
        <v>160</v>
      </c>
      <c r="G189" t="s">
        <v>25</v>
      </c>
      <c r="H189" t="s">
        <v>108</v>
      </c>
      <c r="I189">
        <v>2</v>
      </c>
      <c r="J189" s="8">
        <v>1600</v>
      </c>
      <c r="K189">
        <v>20</v>
      </c>
      <c r="L189" t="s">
        <v>73</v>
      </c>
      <c r="M189" s="5">
        <f>Cleaned_Data[[#This Row],[Quantity]]*Cleaned_Data[[#This Row],[Unit_Price]]</f>
        <v>3200</v>
      </c>
      <c r="N189" s="7">
        <f>Cleaned_Data[[#This Row],[Total_sales]]*(Cleaned_Data[[#This Row],[Discount_Percent]]/100)</f>
        <v>640</v>
      </c>
      <c r="O189" s="7">
        <f>Cleaned_Data[[#This Row],[Total_sales]]-Cleaned_Data[[#This Row],[Discount_Amount]]</f>
        <v>2560</v>
      </c>
      <c r="P189" t="str">
        <f>TEXT(Cleaned_Data[[#This Row],[Order_Date]],"MMM-YYYY")</f>
        <v>Mar-2023</v>
      </c>
      <c r="Q189" t="str">
        <f>"Q"&amp;ROUNDUP(MONTH(Cleaned_Data[[#This Row],[Order_Date]])/3,0)&amp;"-2023"</f>
        <v>Q1-2023</v>
      </c>
      <c r="R189" t="str">
        <f>TEXT(Cleaned_Data[[#This Row],[Order_Date]],"DDD")</f>
        <v>Mon</v>
      </c>
      <c r="S189" t="str">
        <f>IF(Cleaned_Data[[#This Row],[Net_Sales]]&gt;=100000,"High",IF(Cleaned_Data[[#This Row],[Net_Sales]]&gt;=50000,"Medium","Low"))</f>
        <v>Low</v>
      </c>
    </row>
    <row r="190" spans="1:19" x14ac:dyDescent="0.3">
      <c r="A190" t="s">
        <v>338</v>
      </c>
      <c r="B190" s="1">
        <v>44991</v>
      </c>
      <c r="C190" t="s">
        <v>29</v>
      </c>
      <c r="D190" t="s">
        <v>30</v>
      </c>
      <c r="E190" t="s">
        <v>66</v>
      </c>
      <c r="F190" t="s">
        <v>87</v>
      </c>
      <c r="G190" t="s">
        <v>45</v>
      </c>
      <c r="H190" t="s">
        <v>52</v>
      </c>
      <c r="I190">
        <v>1</v>
      </c>
      <c r="J190" s="8">
        <v>39200</v>
      </c>
      <c r="K190">
        <v>15</v>
      </c>
      <c r="L190" t="s">
        <v>103</v>
      </c>
      <c r="M190" s="5">
        <f>Cleaned_Data[[#This Row],[Quantity]]*Cleaned_Data[[#This Row],[Unit_Price]]</f>
        <v>39200</v>
      </c>
      <c r="N190" s="7">
        <f>Cleaned_Data[[#This Row],[Total_sales]]*(Cleaned_Data[[#This Row],[Discount_Percent]]/100)</f>
        <v>5880</v>
      </c>
      <c r="O190" s="7">
        <f>Cleaned_Data[[#This Row],[Total_sales]]-Cleaned_Data[[#This Row],[Discount_Amount]]</f>
        <v>33320</v>
      </c>
      <c r="P190" t="str">
        <f>TEXT(Cleaned_Data[[#This Row],[Order_Date]],"MMM-YYYY")</f>
        <v>Mar-2023</v>
      </c>
      <c r="Q190" t="str">
        <f>"Q"&amp;ROUNDUP(MONTH(Cleaned_Data[[#This Row],[Order_Date]])/3,0)&amp;"-2023"</f>
        <v>Q1-2023</v>
      </c>
      <c r="R190" t="str">
        <f>TEXT(Cleaned_Data[[#This Row],[Order_Date]],"DDD")</f>
        <v>Mon</v>
      </c>
      <c r="S190" t="str">
        <f>IF(Cleaned_Data[[#This Row],[Net_Sales]]&gt;=100000,"High",IF(Cleaned_Data[[#This Row],[Net_Sales]]&gt;=50000,"Medium","Low"))</f>
        <v>Low</v>
      </c>
    </row>
    <row r="191" spans="1:19" x14ac:dyDescent="0.3">
      <c r="A191" t="s">
        <v>339</v>
      </c>
      <c r="B191" s="1">
        <v>45022</v>
      </c>
      <c r="C191" t="s">
        <v>84</v>
      </c>
      <c r="D191" t="s">
        <v>85</v>
      </c>
      <c r="E191" t="s">
        <v>81</v>
      </c>
      <c r="F191" t="s">
        <v>82</v>
      </c>
      <c r="G191" t="s">
        <v>97</v>
      </c>
      <c r="H191" t="s">
        <v>98</v>
      </c>
      <c r="I191">
        <v>1</v>
      </c>
      <c r="J191" s="8">
        <v>53200</v>
      </c>
      <c r="K191">
        <v>25</v>
      </c>
      <c r="L191" t="s">
        <v>19</v>
      </c>
      <c r="M191" s="5">
        <f>Cleaned_Data[[#This Row],[Quantity]]*Cleaned_Data[[#This Row],[Unit_Price]]</f>
        <v>53200</v>
      </c>
      <c r="N191" s="7">
        <f>Cleaned_Data[[#This Row],[Total_sales]]*(Cleaned_Data[[#This Row],[Discount_Percent]]/100)</f>
        <v>13300</v>
      </c>
      <c r="O191" s="7">
        <f>Cleaned_Data[[#This Row],[Total_sales]]-Cleaned_Data[[#This Row],[Discount_Amount]]</f>
        <v>39900</v>
      </c>
      <c r="P191" t="str">
        <f>TEXT(Cleaned_Data[[#This Row],[Order_Date]],"MMM-YYYY")</f>
        <v>Apr-2023</v>
      </c>
      <c r="Q191" t="str">
        <f>"Q"&amp;ROUNDUP(MONTH(Cleaned_Data[[#This Row],[Order_Date]])/3,0)&amp;"-2023"</f>
        <v>Q2-2023</v>
      </c>
      <c r="R191" t="str">
        <f>TEXT(Cleaned_Data[[#This Row],[Order_Date]],"DDD")</f>
        <v>Thu</v>
      </c>
      <c r="S191" t="str">
        <f>IF(Cleaned_Data[[#This Row],[Net_Sales]]&gt;=100000,"High",IF(Cleaned_Data[[#This Row],[Net_Sales]]&gt;=50000,"Medium","Low"))</f>
        <v>Low</v>
      </c>
    </row>
    <row r="192" spans="1:19" x14ac:dyDescent="0.3">
      <c r="A192" t="s">
        <v>340</v>
      </c>
      <c r="B192" s="1">
        <v>45052</v>
      </c>
      <c r="C192" t="s">
        <v>13</v>
      </c>
      <c r="D192" t="s">
        <v>14</v>
      </c>
      <c r="E192" t="s">
        <v>15</v>
      </c>
      <c r="F192" t="s">
        <v>119</v>
      </c>
      <c r="G192" t="s">
        <v>39</v>
      </c>
      <c r="H192" t="s">
        <v>57</v>
      </c>
      <c r="I192">
        <v>2</v>
      </c>
      <c r="J192" s="8">
        <v>29000</v>
      </c>
      <c r="K192">
        <v>0</v>
      </c>
      <c r="L192" t="s">
        <v>19</v>
      </c>
      <c r="M192" s="5">
        <f>Cleaned_Data[[#This Row],[Quantity]]*Cleaned_Data[[#This Row],[Unit_Price]]</f>
        <v>58000</v>
      </c>
      <c r="N192" s="7">
        <f>Cleaned_Data[[#This Row],[Total_sales]]*(Cleaned_Data[[#This Row],[Discount_Percent]]/100)</f>
        <v>0</v>
      </c>
      <c r="O192" s="7">
        <f>Cleaned_Data[[#This Row],[Total_sales]]-Cleaned_Data[[#This Row],[Discount_Amount]]</f>
        <v>58000</v>
      </c>
      <c r="P192" t="str">
        <f>TEXT(Cleaned_Data[[#This Row],[Order_Date]],"MMM-YYYY")</f>
        <v>May-2023</v>
      </c>
      <c r="Q192" t="str">
        <f>"Q"&amp;ROUNDUP(MONTH(Cleaned_Data[[#This Row],[Order_Date]])/3,0)&amp;"-2023"</f>
        <v>Q2-2023</v>
      </c>
      <c r="R192" t="str">
        <f>TEXT(Cleaned_Data[[#This Row],[Order_Date]],"DDD")</f>
        <v>Sat</v>
      </c>
      <c r="S192" t="str">
        <f>IF(Cleaned_Data[[#This Row],[Net_Sales]]&gt;=100000,"High",IF(Cleaned_Data[[#This Row],[Net_Sales]]&gt;=50000,"Medium","Low"))</f>
        <v>Medium</v>
      </c>
    </row>
    <row r="193" spans="1:19" x14ac:dyDescent="0.3">
      <c r="A193" t="s">
        <v>341</v>
      </c>
      <c r="B193" s="1">
        <v>45052</v>
      </c>
      <c r="C193" t="s">
        <v>64</v>
      </c>
      <c r="D193" t="s">
        <v>65</v>
      </c>
      <c r="E193" t="s">
        <v>66</v>
      </c>
      <c r="F193" t="s">
        <v>67</v>
      </c>
      <c r="G193" t="s">
        <v>39</v>
      </c>
      <c r="H193" t="s">
        <v>40</v>
      </c>
      <c r="I193">
        <v>1</v>
      </c>
      <c r="J193" s="8">
        <v>20700</v>
      </c>
      <c r="K193">
        <v>25</v>
      </c>
      <c r="L193" t="s">
        <v>53</v>
      </c>
      <c r="M193" s="5">
        <f>Cleaned_Data[[#This Row],[Quantity]]*Cleaned_Data[[#This Row],[Unit_Price]]</f>
        <v>20700</v>
      </c>
      <c r="N193" s="7">
        <f>Cleaned_Data[[#This Row],[Total_sales]]*(Cleaned_Data[[#This Row],[Discount_Percent]]/100)</f>
        <v>5175</v>
      </c>
      <c r="O193" s="7">
        <f>Cleaned_Data[[#This Row],[Total_sales]]-Cleaned_Data[[#This Row],[Discount_Amount]]</f>
        <v>15525</v>
      </c>
      <c r="P193" t="str">
        <f>TEXT(Cleaned_Data[[#This Row],[Order_Date]],"MMM-YYYY")</f>
        <v>May-2023</v>
      </c>
      <c r="Q193" t="str">
        <f>"Q"&amp;ROUNDUP(MONTH(Cleaned_Data[[#This Row],[Order_Date]])/3,0)&amp;"-2023"</f>
        <v>Q2-2023</v>
      </c>
      <c r="R193" t="str">
        <f>TEXT(Cleaned_Data[[#This Row],[Order_Date]],"DDD")</f>
        <v>Sat</v>
      </c>
      <c r="S193" t="str">
        <f>IF(Cleaned_Data[[#This Row],[Net_Sales]]&gt;=100000,"High",IF(Cleaned_Data[[#This Row],[Net_Sales]]&gt;=50000,"Medium","Low"))</f>
        <v>Low</v>
      </c>
    </row>
    <row r="194" spans="1:19" x14ac:dyDescent="0.3">
      <c r="A194" t="s">
        <v>342</v>
      </c>
      <c r="B194" s="1">
        <v>45052</v>
      </c>
      <c r="C194" t="s">
        <v>35</v>
      </c>
      <c r="D194" t="s">
        <v>36</v>
      </c>
      <c r="E194" t="s">
        <v>15</v>
      </c>
      <c r="F194" t="s">
        <v>119</v>
      </c>
      <c r="G194" t="s">
        <v>97</v>
      </c>
      <c r="H194" t="s">
        <v>154</v>
      </c>
      <c r="I194">
        <v>1</v>
      </c>
      <c r="J194" s="8">
        <v>66700</v>
      </c>
      <c r="K194">
        <v>10</v>
      </c>
      <c r="L194" t="s">
        <v>103</v>
      </c>
      <c r="M194" s="5">
        <f>Cleaned_Data[[#This Row],[Quantity]]*Cleaned_Data[[#This Row],[Unit_Price]]</f>
        <v>66700</v>
      </c>
      <c r="N194" s="7">
        <f>Cleaned_Data[[#This Row],[Total_sales]]*(Cleaned_Data[[#This Row],[Discount_Percent]]/100)</f>
        <v>6670</v>
      </c>
      <c r="O194" s="7">
        <f>Cleaned_Data[[#This Row],[Total_sales]]-Cleaned_Data[[#This Row],[Discount_Amount]]</f>
        <v>60030</v>
      </c>
      <c r="P194" t="str">
        <f>TEXT(Cleaned_Data[[#This Row],[Order_Date]],"MMM-YYYY")</f>
        <v>May-2023</v>
      </c>
      <c r="Q194" t="str">
        <f>"Q"&amp;ROUNDUP(MONTH(Cleaned_Data[[#This Row],[Order_Date]])/3,0)&amp;"-2023"</f>
        <v>Q2-2023</v>
      </c>
      <c r="R194" t="str">
        <f>TEXT(Cleaned_Data[[#This Row],[Order_Date]],"DDD")</f>
        <v>Sat</v>
      </c>
      <c r="S194" t="str">
        <f>IF(Cleaned_Data[[#This Row],[Net_Sales]]&gt;=100000,"High",IF(Cleaned_Data[[#This Row],[Net_Sales]]&gt;=50000,"Medium","Low"))</f>
        <v>Medium</v>
      </c>
    </row>
    <row r="195" spans="1:19" x14ac:dyDescent="0.3">
      <c r="A195" t="s">
        <v>343</v>
      </c>
      <c r="B195" s="1">
        <v>45052</v>
      </c>
      <c r="C195" t="s">
        <v>105</v>
      </c>
      <c r="D195" t="s">
        <v>106</v>
      </c>
      <c r="E195" t="s">
        <v>23</v>
      </c>
      <c r="F195" t="s">
        <v>31</v>
      </c>
      <c r="G195" t="s">
        <v>25</v>
      </c>
      <c r="H195" t="s">
        <v>32</v>
      </c>
      <c r="I195">
        <v>2</v>
      </c>
      <c r="J195" s="8">
        <v>2900</v>
      </c>
      <c r="K195">
        <v>15</v>
      </c>
      <c r="L195" t="s">
        <v>27</v>
      </c>
      <c r="M195" s="5">
        <f>Cleaned_Data[[#This Row],[Quantity]]*Cleaned_Data[[#This Row],[Unit_Price]]</f>
        <v>5800</v>
      </c>
      <c r="N195" s="7">
        <f>Cleaned_Data[[#This Row],[Total_sales]]*(Cleaned_Data[[#This Row],[Discount_Percent]]/100)</f>
        <v>870</v>
      </c>
      <c r="O195" s="7">
        <f>Cleaned_Data[[#This Row],[Total_sales]]-Cleaned_Data[[#This Row],[Discount_Amount]]</f>
        <v>4930</v>
      </c>
      <c r="P195" t="str">
        <f>TEXT(Cleaned_Data[[#This Row],[Order_Date]],"MMM-YYYY")</f>
        <v>May-2023</v>
      </c>
      <c r="Q195" t="str">
        <f>"Q"&amp;ROUNDUP(MONTH(Cleaned_Data[[#This Row],[Order_Date]])/3,0)&amp;"-2023"</f>
        <v>Q2-2023</v>
      </c>
      <c r="R195" t="str">
        <f>TEXT(Cleaned_Data[[#This Row],[Order_Date]],"DDD")</f>
        <v>Sat</v>
      </c>
      <c r="S195" t="str">
        <f>IF(Cleaned_Data[[#This Row],[Net_Sales]]&gt;=100000,"High",IF(Cleaned_Data[[#This Row],[Net_Sales]]&gt;=50000,"Medium","Low"))</f>
        <v>Low</v>
      </c>
    </row>
    <row r="196" spans="1:19" x14ac:dyDescent="0.3">
      <c r="A196" t="s">
        <v>344</v>
      </c>
      <c r="B196" s="1">
        <v>45083</v>
      </c>
      <c r="C196" t="s">
        <v>112</v>
      </c>
      <c r="D196" t="s">
        <v>113</v>
      </c>
      <c r="E196" t="s">
        <v>37</v>
      </c>
      <c r="F196" t="s">
        <v>61</v>
      </c>
      <c r="G196" t="s">
        <v>17</v>
      </c>
      <c r="H196" t="s">
        <v>77</v>
      </c>
      <c r="I196">
        <v>1</v>
      </c>
      <c r="J196" s="8">
        <v>59000</v>
      </c>
      <c r="K196">
        <v>20</v>
      </c>
      <c r="L196" t="s">
        <v>62</v>
      </c>
      <c r="M196" s="5">
        <f>Cleaned_Data[[#This Row],[Quantity]]*Cleaned_Data[[#This Row],[Unit_Price]]</f>
        <v>59000</v>
      </c>
      <c r="N196" s="7">
        <f>Cleaned_Data[[#This Row],[Total_sales]]*(Cleaned_Data[[#This Row],[Discount_Percent]]/100)</f>
        <v>11800</v>
      </c>
      <c r="O196" s="7">
        <f>Cleaned_Data[[#This Row],[Total_sales]]-Cleaned_Data[[#This Row],[Discount_Amount]]</f>
        <v>47200</v>
      </c>
      <c r="P196" t="str">
        <f>TEXT(Cleaned_Data[[#This Row],[Order_Date]],"MMM-YYYY")</f>
        <v>Jun-2023</v>
      </c>
      <c r="Q196" t="str">
        <f>"Q"&amp;ROUNDUP(MONTH(Cleaned_Data[[#This Row],[Order_Date]])/3,0)&amp;"-2023"</f>
        <v>Q2-2023</v>
      </c>
      <c r="R196" t="str">
        <f>TEXT(Cleaned_Data[[#This Row],[Order_Date]],"DDD")</f>
        <v>Tue</v>
      </c>
      <c r="S196" t="str">
        <f>IF(Cleaned_Data[[#This Row],[Net_Sales]]&gt;=100000,"High",IF(Cleaned_Data[[#This Row],[Net_Sales]]&gt;=50000,"Medium","Low"))</f>
        <v>Low</v>
      </c>
    </row>
    <row r="197" spans="1:19" x14ac:dyDescent="0.3">
      <c r="A197" t="s">
        <v>345</v>
      </c>
      <c r="B197" s="1">
        <v>45144</v>
      </c>
      <c r="C197" t="s">
        <v>147</v>
      </c>
      <c r="D197" t="s">
        <v>148</v>
      </c>
      <c r="E197" t="s">
        <v>37</v>
      </c>
      <c r="F197" t="s">
        <v>61</v>
      </c>
      <c r="G197" t="s">
        <v>25</v>
      </c>
      <c r="H197" t="s">
        <v>32</v>
      </c>
      <c r="I197">
        <v>2</v>
      </c>
      <c r="J197" s="8">
        <v>1700</v>
      </c>
      <c r="K197">
        <v>0</v>
      </c>
      <c r="L197" t="s">
        <v>27</v>
      </c>
      <c r="M197" s="5">
        <f>Cleaned_Data[[#This Row],[Quantity]]*Cleaned_Data[[#This Row],[Unit_Price]]</f>
        <v>3400</v>
      </c>
      <c r="N197" s="7">
        <f>Cleaned_Data[[#This Row],[Total_sales]]*(Cleaned_Data[[#This Row],[Discount_Percent]]/100)</f>
        <v>0</v>
      </c>
      <c r="O197" s="7">
        <f>Cleaned_Data[[#This Row],[Total_sales]]-Cleaned_Data[[#This Row],[Discount_Amount]]</f>
        <v>3400</v>
      </c>
      <c r="P197" t="str">
        <f>TEXT(Cleaned_Data[[#This Row],[Order_Date]],"MMM-YYYY")</f>
        <v>Aug-2023</v>
      </c>
      <c r="Q197" t="str">
        <f>"Q"&amp;ROUNDUP(MONTH(Cleaned_Data[[#This Row],[Order_Date]])/3,0)&amp;"-2023"</f>
        <v>Q3-2023</v>
      </c>
      <c r="R197" t="str">
        <f>TEXT(Cleaned_Data[[#This Row],[Order_Date]],"DDD")</f>
        <v>Sun</v>
      </c>
      <c r="S197" t="str">
        <f>IF(Cleaned_Data[[#This Row],[Net_Sales]]&gt;=100000,"High",IF(Cleaned_Data[[#This Row],[Net_Sales]]&gt;=50000,"Medium","Low"))</f>
        <v>Low</v>
      </c>
    </row>
    <row r="198" spans="1:19" x14ac:dyDescent="0.3">
      <c r="A198" t="s">
        <v>346</v>
      </c>
      <c r="B198" s="1">
        <v>45144</v>
      </c>
      <c r="C198" t="s">
        <v>232</v>
      </c>
      <c r="D198" t="s">
        <v>233</v>
      </c>
      <c r="E198" t="s">
        <v>37</v>
      </c>
      <c r="F198" t="s">
        <v>141</v>
      </c>
      <c r="G198" t="s">
        <v>45</v>
      </c>
      <c r="H198" t="s">
        <v>52</v>
      </c>
      <c r="I198">
        <v>1</v>
      </c>
      <c r="J198" s="8">
        <v>47300</v>
      </c>
      <c r="K198">
        <v>10</v>
      </c>
      <c r="L198" t="s">
        <v>73</v>
      </c>
      <c r="M198" s="5">
        <f>Cleaned_Data[[#This Row],[Quantity]]*Cleaned_Data[[#This Row],[Unit_Price]]</f>
        <v>47300</v>
      </c>
      <c r="N198" s="7">
        <f>Cleaned_Data[[#This Row],[Total_sales]]*(Cleaned_Data[[#This Row],[Discount_Percent]]/100)</f>
        <v>4730</v>
      </c>
      <c r="O198" s="7">
        <f>Cleaned_Data[[#This Row],[Total_sales]]-Cleaned_Data[[#This Row],[Discount_Amount]]</f>
        <v>42570</v>
      </c>
      <c r="P198" t="str">
        <f>TEXT(Cleaned_Data[[#This Row],[Order_Date]],"MMM-YYYY")</f>
        <v>Aug-2023</v>
      </c>
      <c r="Q198" t="str">
        <f>"Q"&amp;ROUNDUP(MONTH(Cleaned_Data[[#This Row],[Order_Date]])/3,0)&amp;"-2023"</f>
        <v>Q3-2023</v>
      </c>
      <c r="R198" t="str">
        <f>TEXT(Cleaned_Data[[#This Row],[Order_Date]],"DDD")</f>
        <v>Sun</v>
      </c>
      <c r="S198" t="str">
        <f>IF(Cleaned_Data[[#This Row],[Net_Sales]]&gt;=100000,"High",IF(Cleaned_Data[[#This Row],[Net_Sales]]&gt;=50000,"Medium","Low"))</f>
        <v>Low</v>
      </c>
    </row>
    <row r="199" spans="1:19" x14ac:dyDescent="0.3">
      <c r="A199" t="s">
        <v>347</v>
      </c>
      <c r="B199" s="1">
        <v>45144</v>
      </c>
      <c r="C199" t="s">
        <v>250</v>
      </c>
      <c r="D199" t="s">
        <v>251</v>
      </c>
      <c r="E199" t="s">
        <v>23</v>
      </c>
      <c r="F199" t="s">
        <v>51</v>
      </c>
      <c r="G199" t="s">
        <v>17</v>
      </c>
      <c r="H199" t="s">
        <v>168</v>
      </c>
      <c r="I199">
        <v>1</v>
      </c>
      <c r="J199" s="8">
        <v>26900</v>
      </c>
      <c r="K199">
        <v>0</v>
      </c>
      <c r="L199" t="s">
        <v>103</v>
      </c>
      <c r="M199" s="5">
        <f>Cleaned_Data[[#This Row],[Quantity]]*Cleaned_Data[[#This Row],[Unit_Price]]</f>
        <v>26900</v>
      </c>
      <c r="N199" s="7">
        <f>Cleaned_Data[[#This Row],[Total_sales]]*(Cleaned_Data[[#This Row],[Discount_Percent]]/100)</f>
        <v>0</v>
      </c>
      <c r="O199" s="7">
        <f>Cleaned_Data[[#This Row],[Total_sales]]-Cleaned_Data[[#This Row],[Discount_Amount]]</f>
        <v>26900</v>
      </c>
      <c r="P199" t="str">
        <f>TEXT(Cleaned_Data[[#This Row],[Order_Date]],"MMM-YYYY")</f>
        <v>Aug-2023</v>
      </c>
      <c r="Q199" t="str">
        <f>"Q"&amp;ROUNDUP(MONTH(Cleaned_Data[[#This Row],[Order_Date]])/3,0)&amp;"-2023"</f>
        <v>Q3-2023</v>
      </c>
      <c r="R199" t="str">
        <f>TEXT(Cleaned_Data[[#This Row],[Order_Date]],"DDD")</f>
        <v>Sun</v>
      </c>
      <c r="S199" t="str">
        <f>IF(Cleaned_Data[[#This Row],[Net_Sales]]&gt;=100000,"High",IF(Cleaned_Data[[#This Row],[Net_Sales]]&gt;=50000,"Medium","Low"))</f>
        <v>Low</v>
      </c>
    </row>
    <row r="200" spans="1:19" x14ac:dyDescent="0.3">
      <c r="A200" t="s">
        <v>348</v>
      </c>
      <c r="B200" s="1">
        <v>45144</v>
      </c>
      <c r="C200" t="s">
        <v>163</v>
      </c>
      <c r="D200" t="s">
        <v>73</v>
      </c>
      <c r="E200" t="s">
        <v>37</v>
      </c>
      <c r="F200" t="s">
        <v>38</v>
      </c>
      <c r="G200" t="s">
        <v>25</v>
      </c>
      <c r="H200" t="s">
        <v>26</v>
      </c>
      <c r="I200">
        <v>3</v>
      </c>
      <c r="J200" s="8">
        <v>1700</v>
      </c>
      <c r="K200">
        <v>10</v>
      </c>
      <c r="L200" t="s">
        <v>73</v>
      </c>
      <c r="M200" s="5">
        <f>Cleaned_Data[[#This Row],[Quantity]]*Cleaned_Data[[#This Row],[Unit_Price]]</f>
        <v>5100</v>
      </c>
      <c r="N200" s="7">
        <f>Cleaned_Data[[#This Row],[Total_sales]]*(Cleaned_Data[[#This Row],[Discount_Percent]]/100)</f>
        <v>510</v>
      </c>
      <c r="O200" s="7">
        <f>Cleaned_Data[[#This Row],[Total_sales]]-Cleaned_Data[[#This Row],[Discount_Amount]]</f>
        <v>4590</v>
      </c>
      <c r="P200" t="str">
        <f>TEXT(Cleaned_Data[[#This Row],[Order_Date]],"MMM-YYYY")</f>
        <v>Aug-2023</v>
      </c>
      <c r="Q200" t="str">
        <f>"Q"&amp;ROUNDUP(MONTH(Cleaned_Data[[#This Row],[Order_Date]])/3,0)&amp;"-2023"</f>
        <v>Q3-2023</v>
      </c>
      <c r="R200" t="str">
        <f>TEXT(Cleaned_Data[[#This Row],[Order_Date]],"DDD")</f>
        <v>Sun</v>
      </c>
      <c r="S200" t="str">
        <f>IF(Cleaned_Data[[#This Row],[Net_Sales]]&gt;=100000,"High",IF(Cleaned_Data[[#This Row],[Net_Sales]]&gt;=50000,"Medium","Low"))</f>
        <v>Low</v>
      </c>
    </row>
    <row r="201" spans="1:19" x14ac:dyDescent="0.3">
      <c r="A201" t="s">
        <v>349</v>
      </c>
      <c r="B201" s="1">
        <v>45175</v>
      </c>
      <c r="C201" t="s">
        <v>147</v>
      </c>
      <c r="D201" t="s">
        <v>148</v>
      </c>
      <c r="E201" t="s">
        <v>37</v>
      </c>
      <c r="F201" t="s">
        <v>38</v>
      </c>
      <c r="G201" t="s">
        <v>17</v>
      </c>
      <c r="H201" t="s">
        <v>196</v>
      </c>
      <c r="I201">
        <v>1</v>
      </c>
      <c r="J201" s="8">
        <v>39200</v>
      </c>
      <c r="K201">
        <v>0</v>
      </c>
      <c r="L201" t="s">
        <v>19</v>
      </c>
      <c r="M201" s="5">
        <f>Cleaned_Data[[#This Row],[Quantity]]*Cleaned_Data[[#This Row],[Unit_Price]]</f>
        <v>39200</v>
      </c>
      <c r="N201" s="7">
        <f>Cleaned_Data[[#This Row],[Total_sales]]*(Cleaned_Data[[#This Row],[Discount_Percent]]/100)</f>
        <v>0</v>
      </c>
      <c r="O201" s="7">
        <f>Cleaned_Data[[#This Row],[Total_sales]]-Cleaned_Data[[#This Row],[Discount_Amount]]</f>
        <v>39200</v>
      </c>
      <c r="P201" t="str">
        <f>TEXT(Cleaned_Data[[#This Row],[Order_Date]],"MMM-YYYY")</f>
        <v>Sep-2023</v>
      </c>
      <c r="Q201" t="str">
        <f>"Q"&amp;ROUNDUP(MONTH(Cleaned_Data[[#This Row],[Order_Date]])/3,0)&amp;"-2023"</f>
        <v>Q3-2023</v>
      </c>
      <c r="R201" t="str">
        <f>TEXT(Cleaned_Data[[#This Row],[Order_Date]],"DDD")</f>
        <v>Wed</v>
      </c>
      <c r="S201" t="str">
        <f>IF(Cleaned_Data[[#This Row],[Net_Sales]]&gt;=100000,"High",IF(Cleaned_Data[[#This Row],[Net_Sales]]&gt;=50000,"Medium","Low"))</f>
        <v>Low</v>
      </c>
    </row>
    <row r="202" spans="1:19" x14ac:dyDescent="0.3">
      <c r="A202" t="s">
        <v>350</v>
      </c>
      <c r="B202" s="1">
        <v>45175</v>
      </c>
      <c r="C202" t="s">
        <v>185</v>
      </c>
      <c r="D202" t="s">
        <v>186</v>
      </c>
      <c r="E202" t="s">
        <v>23</v>
      </c>
      <c r="F202" t="s">
        <v>51</v>
      </c>
      <c r="G202" t="s">
        <v>17</v>
      </c>
      <c r="H202" t="s">
        <v>77</v>
      </c>
      <c r="I202">
        <v>1</v>
      </c>
      <c r="J202" s="8">
        <v>39400</v>
      </c>
      <c r="K202">
        <v>20</v>
      </c>
      <c r="L202" t="s">
        <v>47</v>
      </c>
      <c r="M202" s="5">
        <f>Cleaned_Data[[#This Row],[Quantity]]*Cleaned_Data[[#This Row],[Unit_Price]]</f>
        <v>39400</v>
      </c>
      <c r="N202" s="7">
        <f>Cleaned_Data[[#This Row],[Total_sales]]*(Cleaned_Data[[#This Row],[Discount_Percent]]/100)</f>
        <v>7880</v>
      </c>
      <c r="O202" s="7">
        <f>Cleaned_Data[[#This Row],[Total_sales]]-Cleaned_Data[[#This Row],[Discount_Amount]]</f>
        <v>31520</v>
      </c>
      <c r="P202" t="str">
        <f>TEXT(Cleaned_Data[[#This Row],[Order_Date]],"MMM-YYYY")</f>
        <v>Sep-2023</v>
      </c>
      <c r="Q202" t="str">
        <f>"Q"&amp;ROUNDUP(MONTH(Cleaned_Data[[#This Row],[Order_Date]])/3,0)&amp;"-2023"</f>
        <v>Q3-2023</v>
      </c>
      <c r="R202" t="str">
        <f>TEXT(Cleaned_Data[[#This Row],[Order_Date]],"DDD")</f>
        <v>Wed</v>
      </c>
      <c r="S202" t="str">
        <f>IF(Cleaned_Data[[#This Row],[Net_Sales]]&gt;=100000,"High",IF(Cleaned_Data[[#This Row],[Net_Sales]]&gt;=50000,"Medium","Low"))</f>
        <v>Low</v>
      </c>
    </row>
    <row r="203" spans="1:19" x14ac:dyDescent="0.3">
      <c r="A203" t="s">
        <v>351</v>
      </c>
      <c r="B203" s="1">
        <v>45205</v>
      </c>
      <c r="C203" t="s">
        <v>143</v>
      </c>
      <c r="D203" t="s">
        <v>144</v>
      </c>
      <c r="E203" t="s">
        <v>23</v>
      </c>
      <c r="F203" t="s">
        <v>31</v>
      </c>
      <c r="G203" t="s">
        <v>39</v>
      </c>
      <c r="H203" t="s">
        <v>102</v>
      </c>
      <c r="I203">
        <v>1</v>
      </c>
      <c r="J203" s="8">
        <v>30400</v>
      </c>
      <c r="K203">
        <v>0</v>
      </c>
      <c r="L203" t="s">
        <v>53</v>
      </c>
      <c r="M203" s="5">
        <f>Cleaned_Data[[#This Row],[Quantity]]*Cleaned_Data[[#This Row],[Unit_Price]]</f>
        <v>30400</v>
      </c>
      <c r="N203" s="7">
        <f>Cleaned_Data[[#This Row],[Total_sales]]*(Cleaned_Data[[#This Row],[Discount_Percent]]/100)</f>
        <v>0</v>
      </c>
      <c r="O203" s="7">
        <f>Cleaned_Data[[#This Row],[Total_sales]]-Cleaned_Data[[#This Row],[Discount_Amount]]</f>
        <v>30400</v>
      </c>
      <c r="P203" t="str">
        <f>TEXT(Cleaned_Data[[#This Row],[Order_Date]],"MMM-YYYY")</f>
        <v>Oct-2023</v>
      </c>
      <c r="Q203" t="str">
        <f>"Q"&amp;ROUNDUP(MONTH(Cleaned_Data[[#This Row],[Order_Date]])/3,0)&amp;"-2023"</f>
        <v>Q4-2023</v>
      </c>
      <c r="R203" t="str">
        <f>TEXT(Cleaned_Data[[#This Row],[Order_Date]],"DDD")</f>
        <v>Fri</v>
      </c>
      <c r="S203" t="str">
        <f>IF(Cleaned_Data[[#This Row],[Net_Sales]]&gt;=100000,"High",IF(Cleaned_Data[[#This Row],[Net_Sales]]&gt;=50000,"Medium","Low"))</f>
        <v>Low</v>
      </c>
    </row>
    <row r="204" spans="1:19" x14ac:dyDescent="0.3">
      <c r="A204" t="s">
        <v>352</v>
      </c>
      <c r="B204" s="1">
        <v>45205</v>
      </c>
      <c r="C204" t="s">
        <v>115</v>
      </c>
      <c r="D204" t="s">
        <v>116</v>
      </c>
      <c r="E204" t="s">
        <v>81</v>
      </c>
      <c r="F204" t="s">
        <v>82</v>
      </c>
      <c r="G204" t="s">
        <v>25</v>
      </c>
      <c r="H204" t="s">
        <v>108</v>
      </c>
      <c r="I204">
        <v>1</v>
      </c>
      <c r="J204" s="8">
        <v>2200</v>
      </c>
      <c r="K204">
        <v>5</v>
      </c>
      <c r="L204" t="s">
        <v>19</v>
      </c>
      <c r="M204" s="5">
        <f>Cleaned_Data[[#This Row],[Quantity]]*Cleaned_Data[[#This Row],[Unit_Price]]</f>
        <v>2200</v>
      </c>
      <c r="N204" s="7">
        <f>Cleaned_Data[[#This Row],[Total_sales]]*(Cleaned_Data[[#This Row],[Discount_Percent]]/100)</f>
        <v>110</v>
      </c>
      <c r="O204" s="7">
        <f>Cleaned_Data[[#This Row],[Total_sales]]-Cleaned_Data[[#This Row],[Discount_Amount]]</f>
        <v>2090</v>
      </c>
      <c r="P204" t="str">
        <f>TEXT(Cleaned_Data[[#This Row],[Order_Date]],"MMM-YYYY")</f>
        <v>Oct-2023</v>
      </c>
      <c r="Q204" t="str">
        <f>"Q"&amp;ROUNDUP(MONTH(Cleaned_Data[[#This Row],[Order_Date]])/3,0)&amp;"-2023"</f>
        <v>Q4-2023</v>
      </c>
      <c r="R204" t="str">
        <f>TEXT(Cleaned_Data[[#This Row],[Order_Date]],"DDD")</f>
        <v>Fri</v>
      </c>
      <c r="S204" t="str">
        <f>IF(Cleaned_Data[[#This Row],[Net_Sales]]&gt;=100000,"High",IF(Cleaned_Data[[#This Row],[Net_Sales]]&gt;=50000,"Medium","Low"))</f>
        <v>Low</v>
      </c>
    </row>
    <row r="205" spans="1:19" x14ac:dyDescent="0.3">
      <c r="A205" t="s">
        <v>353</v>
      </c>
      <c r="B205" s="1">
        <v>45205</v>
      </c>
      <c r="C205" t="s">
        <v>75</v>
      </c>
      <c r="D205" t="s">
        <v>76</v>
      </c>
      <c r="E205" t="s">
        <v>81</v>
      </c>
      <c r="F205" t="s">
        <v>82</v>
      </c>
      <c r="G205" t="s">
        <v>39</v>
      </c>
      <c r="H205" t="s">
        <v>40</v>
      </c>
      <c r="I205">
        <v>1</v>
      </c>
      <c r="J205" s="8">
        <v>24700</v>
      </c>
      <c r="K205">
        <v>0</v>
      </c>
      <c r="L205" t="s">
        <v>47</v>
      </c>
      <c r="M205" s="5">
        <f>Cleaned_Data[[#This Row],[Quantity]]*Cleaned_Data[[#This Row],[Unit_Price]]</f>
        <v>24700</v>
      </c>
      <c r="N205" s="7">
        <f>Cleaned_Data[[#This Row],[Total_sales]]*(Cleaned_Data[[#This Row],[Discount_Percent]]/100)</f>
        <v>0</v>
      </c>
      <c r="O205" s="7">
        <f>Cleaned_Data[[#This Row],[Total_sales]]-Cleaned_Data[[#This Row],[Discount_Amount]]</f>
        <v>24700</v>
      </c>
      <c r="P205" t="str">
        <f>TEXT(Cleaned_Data[[#This Row],[Order_Date]],"MMM-YYYY")</f>
        <v>Oct-2023</v>
      </c>
      <c r="Q205" t="str">
        <f>"Q"&amp;ROUNDUP(MONTH(Cleaned_Data[[#This Row],[Order_Date]])/3,0)&amp;"-2023"</f>
        <v>Q4-2023</v>
      </c>
      <c r="R205" t="str">
        <f>TEXT(Cleaned_Data[[#This Row],[Order_Date]],"DDD")</f>
        <v>Fri</v>
      </c>
      <c r="S205" t="str">
        <f>IF(Cleaned_Data[[#This Row],[Net_Sales]]&gt;=100000,"High",IF(Cleaned_Data[[#This Row],[Net_Sales]]&gt;=50000,"Medium","Low"))</f>
        <v>Low</v>
      </c>
    </row>
    <row r="206" spans="1:19" x14ac:dyDescent="0.3">
      <c r="A206" t="s">
        <v>354</v>
      </c>
      <c r="B206" s="1">
        <v>45236</v>
      </c>
      <c r="C206" t="s">
        <v>59</v>
      </c>
      <c r="D206" t="s">
        <v>60</v>
      </c>
      <c r="E206" t="s">
        <v>37</v>
      </c>
      <c r="F206" t="s">
        <v>38</v>
      </c>
      <c r="G206" t="s">
        <v>39</v>
      </c>
      <c r="H206" t="s">
        <v>57</v>
      </c>
      <c r="I206">
        <v>1</v>
      </c>
      <c r="J206" s="8">
        <v>19800</v>
      </c>
      <c r="K206">
        <v>0</v>
      </c>
      <c r="L206" t="s">
        <v>73</v>
      </c>
      <c r="M206" s="5">
        <f>Cleaned_Data[[#This Row],[Quantity]]*Cleaned_Data[[#This Row],[Unit_Price]]</f>
        <v>19800</v>
      </c>
      <c r="N206" s="7">
        <f>Cleaned_Data[[#This Row],[Total_sales]]*(Cleaned_Data[[#This Row],[Discount_Percent]]/100)</f>
        <v>0</v>
      </c>
      <c r="O206" s="7">
        <f>Cleaned_Data[[#This Row],[Total_sales]]-Cleaned_Data[[#This Row],[Discount_Amount]]</f>
        <v>19800</v>
      </c>
      <c r="P206" t="str">
        <f>TEXT(Cleaned_Data[[#This Row],[Order_Date]],"MMM-YYYY")</f>
        <v>Nov-2023</v>
      </c>
      <c r="Q206" t="str">
        <f>"Q"&amp;ROUNDUP(MONTH(Cleaned_Data[[#This Row],[Order_Date]])/3,0)&amp;"-2023"</f>
        <v>Q4-2023</v>
      </c>
      <c r="R206" t="str">
        <f>TEXT(Cleaned_Data[[#This Row],[Order_Date]],"DDD")</f>
        <v>Mon</v>
      </c>
      <c r="S206" t="str">
        <f>IF(Cleaned_Data[[#This Row],[Net_Sales]]&gt;=100000,"High",IF(Cleaned_Data[[#This Row],[Net_Sales]]&gt;=50000,"Medium","Low"))</f>
        <v>Low</v>
      </c>
    </row>
    <row r="207" spans="1:19" x14ac:dyDescent="0.3">
      <c r="A207" t="s">
        <v>355</v>
      </c>
      <c r="B207" s="1">
        <v>45266</v>
      </c>
      <c r="C207" t="s">
        <v>151</v>
      </c>
      <c r="D207" t="s">
        <v>152</v>
      </c>
      <c r="E207" t="s">
        <v>15</v>
      </c>
      <c r="F207" t="s">
        <v>16</v>
      </c>
      <c r="G207" t="s">
        <v>25</v>
      </c>
      <c r="H207" t="s">
        <v>108</v>
      </c>
      <c r="I207">
        <v>2</v>
      </c>
      <c r="J207" s="8">
        <v>2700</v>
      </c>
      <c r="K207">
        <v>20</v>
      </c>
      <c r="L207" t="s">
        <v>27</v>
      </c>
      <c r="M207" s="5">
        <f>Cleaned_Data[[#This Row],[Quantity]]*Cleaned_Data[[#This Row],[Unit_Price]]</f>
        <v>5400</v>
      </c>
      <c r="N207" s="7">
        <f>Cleaned_Data[[#This Row],[Total_sales]]*(Cleaned_Data[[#This Row],[Discount_Percent]]/100)</f>
        <v>1080</v>
      </c>
      <c r="O207" s="7">
        <f>Cleaned_Data[[#This Row],[Total_sales]]-Cleaned_Data[[#This Row],[Discount_Amount]]</f>
        <v>4320</v>
      </c>
      <c r="P207" t="str">
        <f>TEXT(Cleaned_Data[[#This Row],[Order_Date]],"MMM-YYYY")</f>
        <v>Dec-2023</v>
      </c>
      <c r="Q207" t="str">
        <f>"Q"&amp;ROUNDUP(MONTH(Cleaned_Data[[#This Row],[Order_Date]])/3,0)&amp;"-2023"</f>
        <v>Q4-2023</v>
      </c>
      <c r="R207" t="str">
        <f>TEXT(Cleaned_Data[[#This Row],[Order_Date]],"DDD")</f>
        <v>Wed</v>
      </c>
      <c r="S207" t="str">
        <f>IF(Cleaned_Data[[#This Row],[Net_Sales]]&gt;=100000,"High",IF(Cleaned_Data[[#This Row],[Net_Sales]]&gt;=50000,"Medium","Low"))</f>
        <v>Low</v>
      </c>
    </row>
    <row r="208" spans="1:19" x14ac:dyDescent="0.3">
      <c r="A208" t="s">
        <v>356</v>
      </c>
      <c r="B208" s="1">
        <v>45266</v>
      </c>
      <c r="C208" t="s">
        <v>188</v>
      </c>
      <c r="D208" t="s">
        <v>189</v>
      </c>
      <c r="E208" t="s">
        <v>23</v>
      </c>
      <c r="F208" t="s">
        <v>51</v>
      </c>
      <c r="G208" t="s">
        <v>45</v>
      </c>
      <c r="H208" t="s">
        <v>156</v>
      </c>
      <c r="I208">
        <v>1</v>
      </c>
      <c r="J208" s="8">
        <v>35000</v>
      </c>
      <c r="K208">
        <v>5</v>
      </c>
      <c r="L208" t="s">
        <v>19</v>
      </c>
      <c r="M208" s="5">
        <f>Cleaned_Data[[#This Row],[Quantity]]*Cleaned_Data[[#This Row],[Unit_Price]]</f>
        <v>35000</v>
      </c>
      <c r="N208" s="7">
        <f>Cleaned_Data[[#This Row],[Total_sales]]*(Cleaned_Data[[#This Row],[Discount_Percent]]/100)</f>
        <v>1750</v>
      </c>
      <c r="O208" s="7">
        <f>Cleaned_Data[[#This Row],[Total_sales]]-Cleaned_Data[[#This Row],[Discount_Amount]]</f>
        <v>33250</v>
      </c>
      <c r="P208" t="str">
        <f>TEXT(Cleaned_Data[[#This Row],[Order_Date]],"MMM-YYYY")</f>
        <v>Dec-2023</v>
      </c>
      <c r="Q208" t="str">
        <f>"Q"&amp;ROUNDUP(MONTH(Cleaned_Data[[#This Row],[Order_Date]])/3,0)&amp;"-2023"</f>
        <v>Q4-2023</v>
      </c>
      <c r="R208" t="str">
        <f>TEXT(Cleaned_Data[[#This Row],[Order_Date]],"DDD")</f>
        <v>Wed</v>
      </c>
      <c r="S208" t="str">
        <f>IF(Cleaned_Data[[#This Row],[Net_Sales]]&gt;=100000,"High",IF(Cleaned_Data[[#This Row],[Net_Sales]]&gt;=50000,"Medium","Low"))</f>
        <v>Low</v>
      </c>
    </row>
    <row r="209" spans="1:19" x14ac:dyDescent="0.3">
      <c r="A209" t="s">
        <v>357</v>
      </c>
      <c r="B209" s="1">
        <v>45266</v>
      </c>
      <c r="C209" t="s">
        <v>126</v>
      </c>
      <c r="D209" t="s">
        <v>127</v>
      </c>
      <c r="E209" t="s">
        <v>66</v>
      </c>
      <c r="F209" t="s">
        <v>67</v>
      </c>
      <c r="G209" t="s">
        <v>25</v>
      </c>
      <c r="H209" t="s">
        <v>26</v>
      </c>
      <c r="I209">
        <v>2</v>
      </c>
      <c r="J209" s="8">
        <v>1800</v>
      </c>
      <c r="K209">
        <v>10</v>
      </c>
      <c r="L209" t="s">
        <v>53</v>
      </c>
      <c r="M209" s="5">
        <f>Cleaned_Data[[#This Row],[Quantity]]*Cleaned_Data[[#This Row],[Unit_Price]]</f>
        <v>3600</v>
      </c>
      <c r="N209" s="7">
        <f>Cleaned_Data[[#This Row],[Total_sales]]*(Cleaned_Data[[#This Row],[Discount_Percent]]/100)</f>
        <v>360</v>
      </c>
      <c r="O209" s="7">
        <f>Cleaned_Data[[#This Row],[Total_sales]]-Cleaned_Data[[#This Row],[Discount_Amount]]</f>
        <v>3240</v>
      </c>
      <c r="P209" t="str">
        <f>TEXT(Cleaned_Data[[#This Row],[Order_Date]],"MMM-YYYY")</f>
        <v>Dec-2023</v>
      </c>
      <c r="Q209" t="str">
        <f>"Q"&amp;ROUNDUP(MONTH(Cleaned_Data[[#This Row],[Order_Date]])/3,0)&amp;"-2023"</f>
        <v>Q4-2023</v>
      </c>
      <c r="R209" t="str">
        <f>TEXT(Cleaned_Data[[#This Row],[Order_Date]],"DDD")</f>
        <v>Wed</v>
      </c>
      <c r="S209" t="str">
        <f>IF(Cleaned_Data[[#This Row],[Net_Sales]]&gt;=100000,"High",IF(Cleaned_Data[[#This Row],[Net_Sales]]&gt;=50000,"Medium","Low"))</f>
        <v>Low</v>
      </c>
    </row>
    <row r="210" spans="1:19" x14ac:dyDescent="0.3">
      <c r="A210" t="s">
        <v>358</v>
      </c>
      <c r="B210" s="1">
        <v>44933</v>
      </c>
      <c r="C210" t="s">
        <v>188</v>
      </c>
      <c r="D210" t="s">
        <v>189</v>
      </c>
      <c r="E210" t="s">
        <v>23</v>
      </c>
      <c r="F210" t="s">
        <v>51</v>
      </c>
      <c r="G210" t="s">
        <v>17</v>
      </c>
      <c r="H210" t="s">
        <v>196</v>
      </c>
      <c r="I210">
        <v>1</v>
      </c>
      <c r="J210" s="8">
        <v>27200</v>
      </c>
      <c r="K210">
        <v>10</v>
      </c>
      <c r="L210" t="s">
        <v>19</v>
      </c>
      <c r="M210" s="5">
        <f>Cleaned_Data[[#This Row],[Quantity]]*Cleaned_Data[[#This Row],[Unit_Price]]</f>
        <v>27200</v>
      </c>
      <c r="N210" s="7">
        <f>Cleaned_Data[[#This Row],[Total_sales]]*(Cleaned_Data[[#This Row],[Discount_Percent]]/100)</f>
        <v>2720</v>
      </c>
      <c r="O210" s="7">
        <f>Cleaned_Data[[#This Row],[Total_sales]]-Cleaned_Data[[#This Row],[Discount_Amount]]</f>
        <v>24480</v>
      </c>
      <c r="P210" t="str">
        <f>TEXT(Cleaned_Data[[#This Row],[Order_Date]],"MMM-YYYY")</f>
        <v>Jan-2023</v>
      </c>
      <c r="Q210" t="str">
        <f>"Q"&amp;ROUNDUP(MONTH(Cleaned_Data[[#This Row],[Order_Date]])/3,0)&amp;"-2023"</f>
        <v>Q1-2023</v>
      </c>
      <c r="R210" t="str">
        <f>TEXT(Cleaned_Data[[#This Row],[Order_Date]],"DDD")</f>
        <v>Sat</v>
      </c>
      <c r="S210" t="str">
        <f>IF(Cleaned_Data[[#This Row],[Net_Sales]]&gt;=100000,"High",IF(Cleaned_Data[[#This Row],[Net_Sales]]&gt;=50000,"Medium","Low"))</f>
        <v>Low</v>
      </c>
    </row>
    <row r="211" spans="1:19" x14ac:dyDescent="0.3">
      <c r="A211" t="s">
        <v>359</v>
      </c>
      <c r="B211" s="1">
        <v>44933</v>
      </c>
      <c r="C211" t="s">
        <v>188</v>
      </c>
      <c r="D211" t="s">
        <v>189</v>
      </c>
      <c r="E211" t="s">
        <v>81</v>
      </c>
      <c r="F211" t="s">
        <v>117</v>
      </c>
      <c r="G211" t="s">
        <v>39</v>
      </c>
      <c r="H211" t="s">
        <v>68</v>
      </c>
      <c r="I211">
        <v>1</v>
      </c>
      <c r="J211" s="8">
        <v>29800</v>
      </c>
      <c r="K211">
        <v>5</v>
      </c>
      <c r="L211" t="s">
        <v>33</v>
      </c>
      <c r="M211" s="5">
        <f>Cleaned_Data[[#This Row],[Quantity]]*Cleaned_Data[[#This Row],[Unit_Price]]</f>
        <v>29800</v>
      </c>
      <c r="N211" s="7">
        <f>Cleaned_Data[[#This Row],[Total_sales]]*(Cleaned_Data[[#This Row],[Discount_Percent]]/100)</f>
        <v>1490</v>
      </c>
      <c r="O211" s="7">
        <f>Cleaned_Data[[#This Row],[Total_sales]]-Cleaned_Data[[#This Row],[Discount_Amount]]</f>
        <v>28310</v>
      </c>
      <c r="P211" t="str">
        <f>TEXT(Cleaned_Data[[#This Row],[Order_Date]],"MMM-YYYY")</f>
        <v>Jan-2023</v>
      </c>
      <c r="Q211" t="str">
        <f>"Q"&amp;ROUNDUP(MONTH(Cleaned_Data[[#This Row],[Order_Date]])/3,0)&amp;"-2023"</f>
        <v>Q1-2023</v>
      </c>
      <c r="R211" t="str">
        <f>TEXT(Cleaned_Data[[#This Row],[Order_Date]],"DDD")</f>
        <v>Sat</v>
      </c>
      <c r="S211" t="str">
        <f>IF(Cleaned_Data[[#This Row],[Net_Sales]]&gt;=100000,"High",IF(Cleaned_Data[[#This Row],[Net_Sales]]&gt;=50000,"Medium","Low"))</f>
        <v>Low</v>
      </c>
    </row>
    <row r="212" spans="1:19" x14ac:dyDescent="0.3">
      <c r="A212" t="s">
        <v>360</v>
      </c>
      <c r="B212" s="1">
        <v>44933</v>
      </c>
      <c r="C212" t="s">
        <v>42</v>
      </c>
      <c r="D212" t="s">
        <v>43</v>
      </c>
      <c r="E212" t="s">
        <v>23</v>
      </c>
      <c r="F212" t="s">
        <v>31</v>
      </c>
      <c r="G212" t="s">
        <v>39</v>
      </c>
      <c r="H212" t="s">
        <v>40</v>
      </c>
      <c r="I212">
        <v>2</v>
      </c>
      <c r="J212" s="8">
        <v>30900</v>
      </c>
      <c r="K212">
        <v>0</v>
      </c>
      <c r="L212" t="s">
        <v>27</v>
      </c>
      <c r="M212" s="5">
        <f>Cleaned_Data[[#This Row],[Quantity]]*Cleaned_Data[[#This Row],[Unit_Price]]</f>
        <v>61800</v>
      </c>
      <c r="N212" s="7">
        <f>Cleaned_Data[[#This Row],[Total_sales]]*(Cleaned_Data[[#This Row],[Discount_Percent]]/100)</f>
        <v>0</v>
      </c>
      <c r="O212" s="7">
        <f>Cleaned_Data[[#This Row],[Total_sales]]-Cleaned_Data[[#This Row],[Discount_Amount]]</f>
        <v>61800</v>
      </c>
      <c r="P212" t="str">
        <f>TEXT(Cleaned_Data[[#This Row],[Order_Date]],"MMM-YYYY")</f>
        <v>Jan-2023</v>
      </c>
      <c r="Q212" t="str">
        <f>"Q"&amp;ROUNDUP(MONTH(Cleaned_Data[[#This Row],[Order_Date]])/3,0)&amp;"-2023"</f>
        <v>Q1-2023</v>
      </c>
      <c r="R212" t="str">
        <f>TEXT(Cleaned_Data[[#This Row],[Order_Date]],"DDD")</f>
        <v>Sat</v>
      </c>
      <c r="S212" t="str">
        <f>IF(Cleaned_Data[[#This Row],[Net_Sales]]&gt;=100000,"High",IF(Cleaned_Data[[#This Row],[Net_Sales]]&gt;=50000,"Medium","Low"))</f>
        <v>Medium</v>
      </c>
    </row>
    <row r="213" spans="1:19" x14ac:dyDescent="0.3">
      <c r="A213" t="s">
        <v>361</v>
      </c>
      <c r="B213" s="1">
        <v>44964</v>
      </c>
      <c r="C213" t="s">
        <v>49</v>
      </c>
      <c r="D213" t="s">
        <v>50</v>
      </c>
      <c r="E213" t="s">
        <v>66</v>
      </c>
      <c r="F213" t="s">
        <v>72</v>
      </c>
      <c r="G213" t="s">
        <v>97</v>
      </c>
      <c r="H213" t="s">
        <v>133</v>
      </c>
      <c r="I213">
        <v>1</v>
      </c>
      <c r="J213" s="8">
        <v>53400</v>
      </c>
      <c r="K213">
        <v>0</v>
      </c>
      <c r="L213" t="s">
        <v>73</v>
      </c>
      <c r="M213" s="5">
        <f>Cleaned_Data[[#This Row],[Quantity]]*Cleaned_Data[[#This Row],[Unit_Price]]</f>
        <v>53400</v>
      </c>
      <c r="N213" s="7">
        <f>Cleaned_Data[[#This Row],[Total_sales]]*(Cleaned_Data[[#This Row],[Discount_Percent]]/100)</f>
        <v>0</v>
      </c>
      <c r="O213" s="7">
        <f>Cleaned_Data[[#This Row],[Total_sales]]-Cleaned_Data[[#This Row],[Discount_Amount]]</f>
        <v>53400</v>
      </c>
      <c r="P213" t="str">
        <f>TEXT(Cleaned_Data[[#This Row],[Order_Date]],"MMM-YYYY")</f>
        <v>Feb-2023</v>
      </c>
      <c r="Q213" t="str">
        <f>"Q"&amp;ROUNDUP(MONTH(Cleaned_Data[[#This Row],[Order_Date]])/3,0)&amp;"-2023"</f>
        <v>Q1-2023</v>
      </c>
      <c r="R213" t="str">
        <f>TEXT(Cleaned_Data[[#This Row],[Order_Date]],"DDD")</f>
        <v>Tue</v>
      </c>
      <c r="S213" t="str">
        <f>IF(Cleaned_Data[[#This Row],[Net_Sales]]&gt;=100000,"High",IF(Cleaned_Data[[#This Row],[Net_Sales]]&gt;=50000,"Medium","Low"))</f>
        <v>Medium</v>
      </c>
    </row>
    <row r="214" spans="1:19" x14ac:dyDescent="0.3">
      <c r="A214" t="s">
        <v>362</v>
      </c>
      <c r="B214" s="1">
        <v>44964</v>
      </c>
      <c r="C214" t="s">
        <v>90</v>
      </c>
      <c r="D214" t="s">
        <v>91</v>
      </c>
      <c r="E214" t="s">
        <v>23</v>
      </c>
      <c r="F214" t="s">
        <v>51</v>
      </c>
      <c r="G214" t="s">
        <v>45</v>
      </c>
      <c r="H214" t="s">
        <v>207</v>
      </c>
      <c r="I214">
        <v>1</v>
      </c>
      <c r="J214" s="8">
        <v>34400</v>
      </c>
      <c r="K214">
        <v>25</v>
      </c>
      <c r="L214" t="s">
        <v>47</v>
      </c>
      <c r="M214" s="5">
        <f>Cleaned_Data[[#This Row],[Quantity]]*Cleaned_Data[[#This Row],[Unit_Price]]</f>
        <v>34400</v>
      </c>
      <c r="N214" s="7">
        <f>Cleaned_Data[[#This Row],[Total_sales]]*(Cleaned_Data[[#This Row],[Discount_Percent]]/100)</f>
        <v>8600</v>
      </c>
      <c r="O214" s="7">
        <f>Cleaned_Data[[#This Row],[Total_sales]]-Cleaned_Data[[#This Row],[Discount_Amount]]</f>
        <v>25800</v>
      </c>
      <c r="P214" t="str">
        <f>TEXT(Cleaned_Data[[#This Row],[Order_Date]],"MMM-YYYY")</f>
        <v>Feb-2023</v>
      </c>
      <c r="Q214" t="str">
        <f>"Q"&amp;ROUNDUP(MONTH(Cleaned_Data[[#This Row],[Order_Date]])/3,0)&amp;"-2023"</f>
        <v>Q1-2023</v>
      </c>
      <c r="R214" t="str">
        <f>TEXT(Cleaned_Data[[#This Row],[Order_Date]],"DDD")</f>
        <v>Tue</v>
      </c>
      <c r="S214" t="str">
        <f>IF(Cleaned_Data[[#This Row],[Net_Sales]]&gt;=100000,"High",IF(Cleaned_Data[[#This Row],[Net_Sales]]&gt;=50000,"Medium","Low"))</f>
        <v>Low</v>
      </c>
    </row>
    <row r="215" spans="1:19" x14ac:dyDescent="0.3">
      <c r="A215" t="s">
        <v>363</v>
      </c>
      <c r="B215" s="1">
        <v>44964</v>
      </c>
      <c r="C215" t="s">
        <v>126</v>
      </c>
      <c r="D215" t="s">
        <v>127</v>
      </c>
      <c r="E215" t="s">
        <v>66</v>
      </c>
      <c r="F215" t="s">
        <v>92</v>
      </c>
      <c r="G215" t="s">
        <v>39</v>
      </c>
      <c r="H215" t="s">
        <v>40</v>
      </c>
      <c r="I215">
        <v>1</v>
      </c>
      <c r="J215" s="8">
        <v>27300</v>
      </c>
      <c r="K215">
        <v>10</v>
      </c>
      <c r="L215" t="s">
        <v>73</v>
      </c>
      <c r="M215" s="5">
        <f>Cleaned_Data[[#This Row],[Quantity]]*Cleaned_Data[[#This Row],[Unit_Price]]</f>
        <v>27300</v>
      </c>
      <c r="N215" s="7">
        <f>Cleaned_Data[[#This Row],[Total_sales]]*(Cleaned_Data[[#This Row],[Discount_Percent]]/100)</f>
        <v>2730</v>
      </c>
      <c r="O215" s="7">
        <f>Cleaned_Data[[#This Row],[Total_sales]]-Cleaned_Data[[#This Row],[Discount_Amount]]</f>
        <v>24570</v>
      </c>
      <c r="P215" t="str">
        <f>TEXT(Cleaned_Data[[#This Row],[Order_Date]],"MMM-YYYY")</f>
        <v>Feb-2023</v>
      </c>
      <c r="Q215" t="str">
        <f>"Q"&amp;ROUNDUP(MONTH(Cleaned_Data[[#This Row],[Order_Date]])/3,0)&amp;"-2023"</f>
        <v>Q1-2023</v>
      </c>
      <c r="R215" t="str">
        <f>TEXT(Cleaned_Data[[#This Row],[Order_Date]],"DDD")</f>
        <v>Tue</v>
      </c>
      <c r="S215" t="str">
        <f>IF(Cleaned_Data[[#This Row],[Net_Sales]]&gt;=100000,"High",IF(Cleaned_Data[[#This Row],[Net_Sales]]&gt;=50000,"Medium","Low"))</f>
        <v>Low</v>
      </c>
    </row>
    <row r="216" spans="1:19" x14ac:dyDescent="0.3">
      <c r="A216" t="s">
        <v>364</v>
      </c>
      <c r="B216" s="1">
        <v>44992</v>
      </c>
      <c r="C216" t="s">
        <v>244</v>
      </c>
      <c r="D216" t="s">
        <v>245</v>
      </c>
      <c r="E216" t="s">
        <v>81</v>
      </c>
      <c r="F216" t="s">
        <v>82</v>
      </c>
      <c r="G216" t="s">
        <v>45</v>
      </c>
      <c r="H216" t="s">
        <v>207</v>
      </c>
      <c r="I216">
        <v>2</v>
      </c>
      <c r="J216" s="8">
        <v>31600</v>
      </c>
      <c r="K216">
        <v>0</v>
      </c>
      <c r="L216" t="s">
        <v>53</v>
      </c>
      <c r="M216" s="5">
        <f>Cleaned_Data[[#This Row],[Quantity]]*Cleaned_Data[[#This Row],[Unit_Price]]</f>
        <v>63200</v>
      </c>
      <c r="N216" s="7">
        <f>Cleaned_Data[[#This Row],[Total_sales]]*(Cleaned_Data[[#This Row],[Discount_Percent]]/100)</f>
        <v>0</v>
      </c>
      <c r="O216" s="7">
        <f>Cleaned_Data[[#This Row],[Total_sales]]-Cleaned_Data[[#This Row],[Discount_Amount]]</f>
        <v>63200</v>
      </c>
      <c r="P216" t="str">
        <f>TEXT(Cleaned_Data[[#This Row],[Order_Date]],"MMM-YYYY")</f>
        <v>Mar-2023</v>
      </c>
      <c r="Q216" t="str">
        <f>"Q"&amp;ROUNDUP(MONTH(Cleaned_Data[[#This Row],[Order_Date]])/3,0)&amp;"-2023"</f>
        <v>Q1-2023</v>
      </c>
      <c r="R216" t="str">
        <f>TEXT(Cleaned_Data[[#This Row],[Order_Date]],"DDD")</f>
        <v>Tue</v>
      </c>
      <c r="S216" t="str">
        <f>IF(Cleaned_Data[[#This Row],[Net_Sales]]&gt;=100000,"High",IF(Cleaned_Data[[#This Row],[Net_Sales]]&gt;=50000,"Medium","Low"))</f>
        <v>Medium</v>
      </c>
    </row>
    <row r="217" spans="1:19" x14ac:dyDescent="0.3">
      <c r="A217" t="s">
        <v>365</v>
      </c>
      <c r="B217" s="1">
        <v>44992</v>
      </c>
      <c r="C217" t="s">
        <v>64</v>
      </c>
      <c r="D217" t="s">
        <v>65</v>
      </c>
      <c r="E217" t="s">
        <v>23</v>
      </c>
      <c r="F217" t="s">
        <v>31</v>
      </c>
      <c r="G217" t="s">
        <v>97</v>
      </c>
      <c r="H217" t="s">
        <v>174</v>
      </c>
      <c r="I217">
        <v>1</v>
      </c>
      <c r="J217" s="8">
        <v>60100</v>
      </c>
      <c r="K217">
        <v>15</v>
      </c>
      <c r="L217" t="s">
        <v>62</v>
      </c>
      <c r="M217" s="5">
        <f>Cleaned_Data[[#This Row],[Quantity]]*Cleaned_Data[[#This Row],[Unit_Price]]</f>
        <v>60100</v>
      </c>
      <c r="N217" s="7">
        <f>Cleaned_Data[[#This Row],[Total_sales]]*(Cleaned_Data[[#This Row],[Discount_Percent]]/100)</f>
        <v>9015</v>
      </c>
      <c r="O217" s="7">
        <f>Cleaned_Data[[#This Row],[Total_sales]]-Cleaned_Data[[#This Row],[Discount_Amount]]</f>
        <v>51085</v>
      </c>
      <c r="P217" t="str">
        <f>TEXT(Cleaned_Data[[#This Row],[Order_Date]],"MMM-YYYY")</f>
        <v>Mar-2023</v>
      </c>
      <c r="Q217" t="str">
        <f>"Q"&amp;ROUNDUP(MONTH(Cleaned_Data[[#This Row],[Order_Date]])/3,0)&amp;"-2023"</f>
        <v>Q1-2023</v>
      </c>
      <c r="R217" t="str">
        <f>TEXT(Cleaned_Data[[#This Row],[Order_Date]],"DDD")</f>
        <v>Tue</v>
      </c>
      <c r="S217" t="str">
        <f>IF(Cleaned_Data[[#This Row],[Net_Sales]]&gt;=100000,"High",IF(Cleaned_Data[[#This Row],[Net_Sales]]&gt;=50000,"Medium","Low"))</f>
        <v>Medium</v>
      </c>
    </row>
    <row r="218" spans="1:19" x14ac:dyDescent="0.3">
      <c r="A218" t="s">
        <v>366</v>
      </c>
      <c r="B218" s="1">
        <v>44992</v>
      </c>
      <c r="C218" t="s">
        <v>236</v>
      </c>
      <c r="D218" t="s">
        <v>237</v>
      </c>
      <c r="E218" t="s">
        <v>81</v>
      </c>
      <c r="F218" t="s">
        <v>160</v>
      </c>
      <c r="G218" t="s">
        <v>39</v>
      </c>
      <c r="H218" t="s">
        <v>102</v>
      </c>
      <c r="I218">
        <v>1</v>
      </c>
      <c r="J218" s="8">
        <v>21200</v>
      </c>
      <c r="K218">
        <v>10</v>
      </c>
      <c r="L218" t="s">
        <v>19</v>
      </c>
      <c r="M218" s="5">
        <f>Cleaned_Data[[#This Row],[Quantity]]*Cleaned_Data[[#This Row],[Unit_Price]]</f>
        <v>21200</v>
      </c>
      <c r="N218" s="7">
        <f>Cleaned_Data[[#This Row],[Total_sales]]*(Cleaned_Data[[#This Row],[Discount_Percent]]/100)</f>
        <v>2120</v>
      </c>
      <c r="O218" s="7">
        <f>Cleaned_Data[[#This Row],[Total_sales]]-Cleaned_Data[[#This Row],[Discount_Amount]]</f>
        <v>19080</v>
      </c>
      <c r="P218" t="str">
        <f>TEXT(Cleaned_Data[[#This Row],[Order_Date]],"MMM-YYYY")</f>
        <v>Mar-2023</v>
      </c>
      <c r="Q218" t="str">
        <f>"Q"&amp;ROUNDUP(MONTH(Cleaned_Data[[#This Row],[Order_Date]])/3,0)&amp;"-2023"</f>
        <v>Q1-2023</v>
      </c>
      <c r="R218" t="str">
        <f>TEXT(Cleaned_Data[[#This Row],[Order_Date]],"DDD")</f>
        <v>Tue</v>
      </c>
      <c r="S218" t="str">
        <f>IF(Cleaned_Data[[#This Row],[Net_Sales]]&gt;=100000,"High",IF(Cleaned_Data[[#This Row],[Net_Sales]]&gt;=50000,"Medium","Low"))</f>
        <v>Low</v>
      </c>
    </row>
    <row r="219" spans="1:19" x14ac:dyDescent="0.3">
      <c r="A219" t="s">
        <v>367</v>
      </c>
      <c r="B219" s="1">
        <v>45023</v>
      </c>
      <c r="C219" t="s">
        <v>135</v>
      </c>
      <c r="D219" t="s">
        <v>136</v>
      </c>
      <c r="E219" t="s">
        <v>81</v>
      </c>
      <c r="F219" t="s">
        <v>82</v>
      </c>
      <c r="G219" t="s">
        <v>17</v>
      </c>
      <c r="H219" t="s">
        <v>88</v>
      </c>
      <c r="I219">
        <v>1</v>
      </c>
      <c r="J219" s="8">
        <v>15000</v>
      </c>
      <c r="K219">
        <v>20</v>
      </c>
      <c r="L219" t="s">
        <v>62</v>
      </c>
      <c r="M219" s="5">
        <f>Cleaned_Data[[#This Row],[Quantity]]*Cleaned_Data[[#This Row],[Unit_Price]]</f>
        <v>15000</v>
      </c>
      <c r="N219" s="7">
        <f>Cleaned_Data[[#This Row],[Total_sales]]*(Cleaned_Data[[#This Row],[Discount_Percent]]/100)</f>
        <v>3000</v>
      </c>
      <c r="O219" s="7">
        <f>Cleaned_Data[[#This Row],[Total_sales]]-Cleaned_Data[[#This Row],[Discount_Amount]]</f>
        <v>12000</v>
      </c>
      <c r="P219" t="str">
        <f>TEXT(Cleaned_Data[[#This Row],[Order_Date]],"MMM-YYYY")</f>
        <v>Apr-2023</v>
      </c>
      <c r="Q219" t="str">
        <f>"Q"&amp;ROUNDUP(MONTH(Cleaned_Data[[#This Row],[Order_Date]])/3,0)&amp;"-2023"</f>
        <v>Q2-2023</v>
      </c>
      <c r="R219" t="str">
        <f>TEXT(Cleaned_Data[[#This Row],[Order_Date]],"DDD")</f>
        <v>Fri</v>
      </c>
      <c r="S219" t="str">
        <f>IF(Cleaned_Data[[#This Row],[Net_Sales]]&gt;=100000,"High",IF(Cleaned_Data[[#This Row],[Net_Sales]]&gt;=50000,"Medium","Low"))</f>
        <v>Low</v>
      </c>
    </row>
    <row r="220" spans="1:19" x14ac:dyDescent="0.3">
      <c r="A220" t="s">
        <v>368</v>
      </c>
      <c r="B220" s="1">
        <v>45023</v>
      </c>
      <c r="C220" t="s">
        <v>75</v>
      </c>
      <c r="D220" t="s">
        <v>76</v>
      </c>
      <c r="E220" t="s">
        <v>37</v>
      </c>
      <c r="F220" t="s">
        <v>141</v>
      </c>
      <c r="G220" t="s">
        <v>97</v>
      </c>
      <c r="H220" t="s">
        <v>171</v>
      </c>
      <c r="I220">
        <v>1</v>
      </c>
      <c r="J220" s="8">
        <v>57000</v>
      </c>
      <c r="K220">
        <v>5</v>
      </c>
      <c r="L220" t="s">
        <v>33</v>
      </c>
      <c r="M220" s="5">
        <f>Cleaned_Data[[#This Row],[Quantity]]*Cleaned_Data[[#This Row],[Unit_Price]]</f>
        <v>57000</v>
      </c>
      <c r="N220" s="7">
        <f>Cleaned_Data[[#This Row],[Total_sales]]*(Cleaned_Data[[#This Row],[Discount_Percent]]/100)</f>
        <v>2850</v>
      </c>
      <c r="O220" s="7">
        <f>Cleaned_Data[[#This Row],[Total_sales]]-Cleaned_Data[[#This Row],[Discount_Amount]]</f>
        <v>54150</v>
      </c>
      <c r="P220" t="str">
        <f>TEXT(Cleaned_Data[[#This Row],[Order_Date]],"MMM-YYYY")</f>
        <v>Apr-2023</v>
      </c>
      <c r="Q220" t="str">
        <f>"Q"&amp;ROUNDUP(MONTH(Cleaned_Data[[#This Row],[Order_Date]])/3,0)&amp;"-2023"</f>
        <v>Q2-2023</v>
      </c>
      <c r="R220" t="str">
        <f>TEXT(Cleaned_Data[[#This Row],[Order_Date]],"DDD")</f>
        <v>Fri</v>
      </c>
      <c r="S220" t="str">
        <f>IF(Cleaned_Data[[#This Row],[Net_Sales]]&gt;=100000,"High",IF(Cleaned_Data[[#This Row],[Net_Sales]]&gt;=50000,"Medium","Low"))</f>
        <v>Medium</v>
      </c>
    </row>
    <row r="221" spans="1:19" x14ac:dyDescent="0.3">
      <c r="A221" t="s">
        <v>369</v>
      </c>
      <c r="B221" s="1">
        <v>45053</v>
      </c>
      <c r="C221" t="s">
        <v>188</v>
      </c>
      <c r="D221" t="s">
        <v>189</v>
      </c>
      <c r="E221" t="s">
        <v>15</v>
      </c>
      <c r="F221" t="s">
        <v>131</v>
      </c>
      <c r="G221" t="s">
        <v>39</v>
      </c>
      <c r="H221" t="s">
        <v>68</v>
      </c>
      <c r="I221">
        <v>1</v>
      </c>
      <c r="J221" s="8">
        <v>19800</v>
      </c>
      <c r="K221">
        <v>20</v>
      </c>
      <c r="L221" t="s">
        <v>19</v>
      </c>
      <c r="M221" s="5">
        <f>Cleaned_Data[[#This Row],[Quantity]]*Cleaned_Data[[#This Row],[Unit_Price]]</f>
        <v>19800</v>
      </c>
      <c r="N221" s="7">
        <f>Cleaned_Data[[#This Row],[Total_sales]]*(Cleaned_Data[[#This Row],[Discount_Percent]]/100)</f>
        <v>3960</v>
      </c>
      <c r="O221" s="7">
        <f>Cleaned_Data[[#This Row],[Total_sales]]-Cleaned_Data[[#This Row],[Discount_Amount]]</f>
        <v>15840</v>
      </c>
      <c r="P221" t="str">
        <f>TEXT(Cleaned_Data[[#This Row],[Order_Date]],"MMM-YYYY")</f>
        <v>May-2023</v>
      </c>
      <c r="Q221" t="str">
        <f>"Q"&amp;ROUNDUP(MONTH(Cleaned_Data[[#This Row],[Order_Date]])/3,0)&amp;"-2023"</f>
        <v>Q2-2023</v>
      </c>
      <c r="R221" t="str">
        <f>TEXT(Cleaned_Data[[#This Row],[Order_Date]],"DDD")</f>
        <v>Sun</v>
      </c>
      <c r="S221" t="str">
        <f>IF(Cleaned_Data[[#This Row],[Net_Sales]]&gt;=100000,"High",IF(Cleaned_Data[[#This Row],[Net_Sales]]&gt;=50000,"Medium","Low"))</f>
        <v>Low</v>
      </c>
    </row>
    <row r="222" spans="1:19" x14ac:dyDescent="0.3">
      <c r="A222" t="s">
        <v>370</v>
      </c>
      <c r="B222" s="1">
        <v>45053</v>
      </c>
      <c r="C222" t="s">
        <v>112</v>
      </c>
      <c r="D222" t="s">
        <v>113</v>
      </c>
      <c r="E222" t="s">
        <v>81</v>
      </c>
      <c r="F222" t="s">
        <v>110</v>
      </c>
      <c r="G222" t="s">
        <v>39</v>
      </c>
      <c r="H222" t="s">
        <v>57</v>
      </c>
      <c r="I222">
        <v>1</v>
      </c>
      <c r="J222" s="8">
        <v>24500</v>
      </c>
      <c r="K222">
        <v>25</v>
      </c>
      <c r="L222" t="s">
        <v>103</v>
      </c>
      <c r="M222" s="5">
        <f>Cleaned_Data[[#This Row],[Quantity]]*Cleaned_Data[[#This Row],[Unit_Price]]</f>
        <v>24500</v>
      </c>
      <c r="N222" s="7">
        <f>Cleaned_Data[[#This Row],[Total_sales]]*(Cleaned_Data[[#This Row],[Discount_Percent]]/100)</f>
        <v>6125</v>
      </c>
      <c r="O222" s="7">
        <f>Cleaned_Data[[#This Row],[Total_sales]]-Cleaned_Data[[#This Row],[Discount_Amount]]</f>
        <v>18375</v>
      </c>
      <c r="P222" t="str">
        <f>TEXT(Cleaned_Data[[#This Row],[Order_Date]],"MMM-YYYY")</f>
        <v>May-2023</v>
      </c>
      <c r="Q222" t="str">
        <f>"Q"&amp;ROUNDUP(MONTH(Cleaned_Data[[#This Row],[Order_Date]])/3,0)&amp;"-2023"</f>
        <v>Q2-2023</v>
      </c>
      <c r="R222" t="str">
        <f>TEXT(Cleaned_Data[[#This Row],[Order_Date]],"DDD")</f>
        <v>Sun</v>
      </c>
      <c r="S222" t="str">
        <f>IF(Cleaned_Data[[#This Row],[Net_Sales]]&gt;=100000,"High",IF(Cleaned_Data[[#This Row],[Net_Sales]]&gt;=50000,"Medium","Low"))</f>
        <v>Low</v>
      </c>
    </row>
    <row r="223" spans="1:19" x14ac:dyDescent="0.3">
      <c r="A223" t="s">
        <v>371</v>
      </c>
      <c r="B223" s="1">
        <v>45084</v>
      </c>
      <c r="C223" t="s">
        <v>163</v>
      </c>
      <c r="D223" t="s">
        <v>73</v>
      </c>
      <c r="E223" t="s">
        <v>37</v>
      </c>
      <c r="F223" t="s">
        <v>38</v>
      </c>
      <c r="G223" t="s">
        <v>17</v>
      </c>
      <c r="H223" t="s">
        <v>88</v>
      </c>
      <c r="I223">
        <v>1</v>
      </c>
      <c r="J223" s="8">
        <v>21100</v>
      </c>
      <c r="K223">
        <v>10</v>
      </c>
      <c r="L223" t="s">
        <v>19</v>
      </c>
      <c r="M223" s="5">
        <f>Cleaned_Data[[#This Row],[Quantity]]*Cleaned_Data[[#This Row],[Unit_Price]]</f>
        <v>21100</v>
      </c>
      <c r="N223" s="7">
        <f>Cleaned_Data[[#This Row],[Total_sales]]*(Cleaned_Data[[#This Row],[Discount_Percent]]/100)</f>
        <v>2110</v>
      </c>
      <c r="O223" s="7">
        <f>Cleaned_Data[[#This Row],[Total_sales]]-Cleaned_Data[[#This Row],[Discount_Amount]]</f>
        <v>18990</v>
      </c>
      <c r="P223" t="str">
        <f>TEXT(Cleaned_Data[[#This Row],[Order_Date]],"MMM-YYYY")</f>
        <v>Jun-2023</v>
      </c>
      <c r="Q223" t="str">
        <f>"Q"&amp;ROUNDUP(MONTH(Cleaned_Data[[#This Row],[Order_Date]])/3,0)&amp;"-2023"</f>
        <v>Q2-2023</v>
      </c>
      <c r="R223" t="str">
        <f>TEXT(Cleaned_Data[[#This Row],[Order_Date]],"DDD")</f>
        <v>Wed</v>
      </c>
      <c r="S223" t="str">
        <f>IF(Cleaned_Data[[#This Row],[Net_Sales]]&gt;=100000,"High",IF(Cleaned_Data[[#This Row],[Net_Sales]]&gt;=50000,"Medium","Low"))</f>
        <v>Low</v>
      </c>
    </row>
    <row r="224" spans="1:19" x14ac:dyDescent="0.3">
      <c r="A224" t="s">
        <v>372</v>
      </c>
      <c r="B224" s="1">
        <v>45084</v>
      </c>
      <c r="C224" t="s">
        <v>180</v>
      </c>
      <c r="D224" t="s">
        <v>181</v>
      </c>
      <c r="E224" t="s">
        <v>81</v>
      </c>
      <c r="F224" t="s">
        <v>82</v>
      </c>
      <c r="G224" t="s">
        <v>45</v>
      </c>
      <c r="H224" t="s">
        <v>156</v>
      </c>
      <c r="I224">
        <v>1</v>
      </c>
      <c r="J224" s="8">
        <v>44500</v>
      </c>
      <c r="K224">
        <v>0</v>
      </c>
      <c r="L224" t="s">
        <v>33</v>
      </c>
      <c r="M224" s="5">
        <f>Cleaned_Data[[#This Row],[Quantity]]*Cleaned_Data[[#This Row],[Unit_Price]]</f>
        <v>44500</v>
      </c>
      <c r="N224" s="7">
        <f>Cleaned_Data[[#This Row],[Total_sales]]*(Cleaned_Data[[#This Row],[Discount_Percent]]/100)</f>
        <v>0</v>
      </c>
      <c r="O224" s="7">
        <f>Cleaned_Data[[#This Row],[Total_sales]]-Cleaned_Data[[#This Row],[Discount_Amount]]</f>
        <v>44500</v>
      </c>
      <c r="P224" t="str">
        <f>TEXT(Cleaned_Data[[#This Row],[Order_Date]],"MMM-YYYY")</f>
        <v>Jun-2023</v>
      </c>
      <c r="Q224" t="str">
        <f>"Q"&amp;ROUNDUP(MONTH(Cleaned_Data[[#This Row],[Order_Date]])/3,0)&amp;"-2023"</f>
        <v>Q2-2023</v>
      </c>
      <c r="R224" t="str">
        <f>TEXT(Cleaned_Data[[#This Row],[Order_Date]],"DDD")</f>
        <v>Wed</v>
      </c>
      <c r="S224" t="str">
        <f>IF(Cleaned_Data[[#This Row],[Net_Sales]]&gt;=100000,"High",IF(Cleaned_Data[[#This Row],[Net_Sales]]&gt;=50000,"Medium","Low"))</f>
        <v>Low</v>
      </c>
    </row>
    <row r="225" spans="1:19" x14ac:dyDescent="0.3">
      <c r="A225" t="s">
        <v>373</v>
      </c>
      <c r="B225" s="1">
        <v>45084</v>
      </c>
      <c r="C225" t="s">
        <v>158</v>
      </c>
      <c r="D225" t="s">
        <v>159</v>
      </c>
      <c r="E225" t="s">
        <v>66</v>
      </c>
      <c r="F225" t="s">
        <v>67</v>
      </c>
      <c r="G225" t="s">
        <v>17</v>
      </c>
      <c r="H225" t="s">
        <v>77</v>
      </c>
      <c r="I225">
        <v>1</v>
      </c>
      <c r="J225" s="8">
        <v>43100</v>
      </c>
      <c r="K225">
        <v>10</v>
      </c>
      <c r="L225" t="s">
        <v>47</v>
      </c>
      <c r="M225" s="5">
        <f>Cleaned_Data[[#This Row],[Quantity]]*Cleaned_Data[[#This Row],[Unit_Price]]</f>
        <v>43100</v>
      </c>
      <c r="N225" s="7">
        <f>Cleaned_Data[[#This Row],[Total_sales]]*(Cleaned_Data[[#This Row],[Discount_Percent]]/100)</f>
        <v>4310</v>
      </c>
      <c r="O225" s="7">
        <f>Cleaned_Data[[#This Row],[Total_sales]]-Cleaned_Data[[#This Row],[Discount_Amount]]</f>
        <v>38790</v>
      </c>
      <c r="P225" t="str">
        <f>TEXT(Cleaned_Data[[#This Row],[Order_Date]],"MMM-YYYY")</f>
        <v>Jun-2023</v>
      </c>
      <c r="Q225" t="str">
        <f>"Q"&amp;ROUNDUP(MONTH(Cleaned_Data[[#This Row],[Order_Date]])/3,0)&amp;"-2023"</f>
        <v>Q2-2023</v>
      </c>
      <c r="R225" t="str">
        <f>TEXT(Cleaned_Data[[#This Row],[Order_Date]],"DDD")</f>
        <v>Wed</v>
      </c>
      <c r="S225" t="str">
        <f>IF(Cleaned_Data[[#This Row],[Net_Sales]]&gt;=100000,"High",IF(Cleaned_Data[[#This Row],[Net_Sales]]&gt;=50000,"Medium","Low"))</f>
        <v>Low</v>
      </c>
    </row>
    <row r="226" spans="1:19" x14ac:dyDescent="0.3">
      <c r="A226" t="s">
        <v>374</v>
      </c>
      <c r="B226" s="1">
        <v>45114</v>
      </c>
      <c r="C226" t="s">
        <v>95</v>
      </c>
      <c r="D226" t="s">
        <v>96</v>
      </c>
      <c r="E226" t="s">
        <v>37</v>
      </c>
      <c r="F226" t="s">
        <v>101</v>
      </c>
      <c r="G226" t="s">
        <v>39</v>
      </c>
      <c r="H226" t="s">
        <v>57</v>
      </c>
      <c r="I226">
        <v>1</v>
      </c>
      <c r="J226" s="8">
        <v>25600</v>
      </c>
      <c r="K226">
        <v>0</v>
      </c>
      <c r="L226" t="s">
        <v>33</v>
      </c>
      <c r="M226" s="5">
        <f>Cleaned_Data[[#This Row],[Quantity]]*Cleaned_Data[[#This Row],[Unit_Price]]</f>
        <v>25600</v>
      </c>
      <c r="N226" s="7">
        <f>Cleaned_Data[[#This Row],[Total_sales]]*(Cleaned_Data[[#This Row],[Discount_Percent]]/100)</f>
        <v>0</v>
      </c>
      <c r="O226" s="7">
        <f>Cleaned_Data[[#This Row],[Total_sales]]-Cleaned_Data[[#This Row],[Discount_Amount]]</f>
        <v>25600</v>
      </c>
      <c r="P226" t="str">
        <f>TEXT(Cleaned_Data[[#This Row],[Order_Date]],"MMM-YYYY")</f>
        <v>Jul-2023</v>
      </c>
      <c r="Q226" t="str">
        <f>"Q"&amp;ROUNDUP(MONTH(Cleaned_Data[[#This Row],[Order_Date]])/3,0)&amp;"-2023"</f>
        <v>Q3-2023</v>
      </c>
      <c r="R226" t="str">
        <f>TEXT(Cleaned_Data[[#This Row],[Order_Date]],"DDD")</f>
        <v>Fri</v>
      </c>
      <c r="S226" t="str">
        <f>IF(Cleaned_Data[[#This Row],[Net_Sales]]&gt;=100000,"High",IF(Cleaned_Data[[#This Row],[Net_Sales]]&gt;=50000,"Medium","Low"))</f>
        <v>Low</v>
      </c>
    </row>
    <row r="227" spans="1:19" x14ac:dyDescent="0.3">
      <c r="A227" t="s">
        <v>375</v>
      </c>
      <c r="B227" s="1">
        <v>45114</v>
      </c>
      <c r="C227" t="s">
        <v>151</v>
      </c>
      <c r="D227" t="s">
        <v>152</v>
      </c>
      <c r="E227" t="s">
        <v>15</v>
      </c>
      <c r="F227" t="s">
        <v>128</v>
      </c>
      <c r="G227" t="s">
        <v>25</v>
      </c>
      <c r="H227" t="s">
        <v>26</v>
      </c>
      <c r="I227">
        <v>3</v>
      </c>
      <c r="J227" s="8">
        <v>1800</v>
      </c>
      <c r="K227">
        <v>0</v>
      </c>
      <c r="L227" t="s">
        <v>27</v>
      </c>
      <c r="M227" s="5">
        <f>Cleaned_Data[[#This Row],[Quantity]]*Cleaned_Data[[#This Row],[Unit_Price]]</f>
        <v>5400</v>
      </c>
      <c r="N227" s="7">
        <f>Cleaned_Data[[#This Row],[Total_sales]]*(Cleaned_Data[[#This Row],[Discount_Percent]]/100)</f>
        <v>0</v>
      </c>
      <c r="O227" s="7">
        <f>Cleaned_Data[[#This Row],[Total_sales]]-Cleaned_Data[[#This Row],[Discount_Amount]]</f>
        <v>5400</v>
      </c>
      <c r="P227" t="str">
        <f>TEXT(Cleaned_Data[[#This Row],[Order_Date]],"MMM-YYYY")</f>
        <v>Jul-2023</v>
      </c>
      <c r="Q227" t="str">
        <f>"Q"&amp;ROUNDUP(MONTH(Cleaned_Data[[#This Row],[Order_Date]])/3,0)&amp;"-2023"</f>
        <v>Q3-2023</v>
      </c>
      <c r="R227" t="str">
        <f>TEXT(Cleaned_Data[[#This Row],[Order_Date]],"DDD")</f>
        <v>Fri</v>
      </c>
      <c r="S227" t="str">
        <f>IF(Cleaned_Data[[#This Row],[Net_Sales]]&gt;=100000,"High",IF(Cleaned_Data[[#This Row],[Net_Sales]]&gt;=50000,"Medium","Low"))</f>
        <v>Low</v>
      </c>
    </row>
    <row r="228" spans="1:19" x14ac:dyDescent="0.3">
      <c r="A228" t="s">
        <v>376</v>
      </c>
      <c r="B228" s="1">
        <v>45145</v>
      </c>
      <c r="C228" t="s">
        <v>13</v>
      </c>
      <c r="D228" t="s">
        <v>14</v>
      </c>
      <c r="E228" t="s">
        <v>15</v>
      </c>
      <c r="F228" t="s">
        <v>16</v>
      </c>
      <c r="G228" t="s">
        <v>97</v>
      </c>
      <c r="H228" t="s">
        <v>133</v>
      </c>
      <c r="I228">
        <v>1</v>
      </c>
      <c r="J228" s="8">
        <v>48500</v>
      </c>
      <c r="K228">
        <v>0</v>
      </c>
      <c r="L228" t="s">
        <v>62</v>
      </c>
      <c r="M228" s="5">
        <f>Cleaned_Data[[#This Row],[Quantity]]*Cleaned_Data[[#This Row],[Unit_Price]]</f>
        <v>48500</v>
      </c>
      <c r="N228" s="7">
        <f>Cleaned_Data[[#This Row],[Total_sales]]*(Cleaned_Data[[#This Row],[Discount_Percent]]/100)</f>
        <v>0</v>
      </c>
      <c r="O228" s="7">
        <f>Cleaned_Data[[#This Row],[Total_sales]]-Cleaned_Data[[#This Row],[Discount_Amount]]</f>
        <v>48500</v>
      </c>
      <c r="P228" t="str">
        <f>TEXT(Cleaned_Data[[#This Row],[Order_Date]],"MMM-YYYY")</f>
        <v>Aug-2023</v>
      </c>
      <c r="Q228" t="str">
        <f>"Q"&amp;ROUNDUP(MONTH(Cleaned_Data[[#This Row],[Order_Date]])/3,0)&amp;"-2023"</f>
        <v>Q3-2023</v>
      </c>
      <c r="R228" t="str">
        <f>TEXT(Cleaned_Data[[#This Row],[Order_Date]],"DDD")</f>
        <v>Mon</v>
      </c>
      <c r="S228" t="str">
        <f>IF(Cleaned_Data[[#This Row],[Net_Sales]]&gt;=100000,"High",IF(Cleaned_Data[[#This Row],[Net_Sales]]&gt;=50000,"Medium","Low"))</f>
        <v>Low</v>
      </c>
    </row>
    <row r="229" spans="1:19" x14ac:dyDescent="0.3">
      <c r="A229" t="s">
        <v>377</v>
      </c>
      <c r="B229" s="1">
        <v>45145</v>
      </c>
      <c r="C229" t="s">
        <v>64</v>
      </c>
      <c r="D229" t="s">
        <v>65</v>
      </c>
      <c r="E229" t="s">
        <v>81</v>
      </c>
      <c r="F229" t="s">
        <v>160</v>
      </c>
      <c r="G229" t="s">
        <v>17</v>
      </c>
      <c r="H229" t="s">
        <v>88</v>
      </c>
      <c r="I229">
        <v>1</v>
      </c>
      <c r="J229" s="8">
        <v>26800</v>
      </c>
      <c r="K229">
        <v>5</v>
      </c>
      <c r="L229" t="s">
        <v>27</v>
      </c>
      <c r="M229" s="5">
        <f>Cleaned_Data[[#This Row],[Quantity]]*Cleaned_Data[[#This Row],[Unit_Price]]</f>
        <v>26800</v>
      </c>
      <c r="N229" s="7">
        <f>Cleaned_Data[[#This Row],[Total_sales]]*(Cleaned_Data[[#This Row],[Discount_Percent]]/100)</f>
        <v>1340</v>
      </c>
      <c r="O229" s="7">
        <f>Cleaned_Data[[#This Row],[Total_sales]]-Cleaned_Data[[#This Row],[Discount_Amount]]</f>
        <v>25460</v>
      </c>
      <c r="P229" t="str">
        <f>TEXT(Cleaned_Data[[#This Row],[Order_Date]],"MMM-YYYY")</f>
        <v>Aug-2023</v>
      </c>
      <c r="Q229" t="str">
        <f>"Q"&amp;ROUNDUP(MONTH(Cleaned_Data[[#This Row],[Order_Date]])/3,0)&amp;"-2023"</f>
        <v>Q3-2023</v>
      </c>
      <c r="R229" t="str">
        <f>TEXT(Cleaned_Data[[#This Row],[Order_Date]],"DDD")</f>
        <v>Mon</v>
      </c>
      <c r="S229" t="str">
        <f>IF(Cleaned_Data[[#This Row],[Net_Sales]]&gt;=100000,"High",IF(Cleaned_Data[[#This Row],[Net_Sales]]&gt;=50000,"Medium","Low"))</f>
        <v>Low</v>
      </c>
    </row>
    <row r="230" spans="1:19" x14ac:dyDescent="0.3">
      <c r="A230" t="s">
        <v>378</v>
      </c>
      <c r="B230" s="1">
        <v>45145</v>
      </c>
      <c r="C230" t="s">
        <v>151</v>
      </c>
      <c r="D230" t="s">
        <v>152</v>
      </c>
      <c r="E230" t="s">
        <v>81</v>
      </c>
      <c r="F230" t="s">
        <v>110</v>
      </c>
      <c r="G230" t="s">
        <v>45</v>
      </c>
      <c r="H230" t="s">
        <v>207</v>
      </c>
      <c r="I230">
        <v>1</v>
      </c>
      <c r="J230" s="8">
        <v>36800</v>
      </c>
      <c r="K230">
        <v>5</v>
      </c>
      <c r="L230" t="s">
        <v>53</v>
      </c>
      <c r="M230" s="5">
        <f>Cleaned_Data[[#This Row],[Quantity]]*Cleaned_Data[[#This Row],[Unit_Price]]</f>
        <v>36800</v>
      </c>
      <c r="N230" s="7">
        <f>Cleaned_Data[[#This Row],[Total_sales]]*(Cleaned_Data[[#This Row],[Discount_Percent]]/100)</f>
        <v>1840</v>
      </c>
      <c r="O230" s="7">
        <f>Cleaned_Data[[#This Row],[Total_sales]]-Cleaned_Data[[#This Row],[Discount_Amount]]</f>
        <v>34960</v>
      </c>
      <c r="P230" t="str">
        <f>TEXT(Cleaned_Data[[#This Row],[Order_Date]],"MMM-YYYY")</f>
        <v>Aug-2023</v>
      </c>
      <c r="Q230" t="str">
        <f>"Q"&amp;ROUNDUP(MONTH(Cleaned_Data[[#This Row],[Order_Date]])/3,0)&amp;"-2023"</f>
        <v>Q3-2023</v>
      </c>
      <c r="R230" t="str">
        <f>TEXT(Cleaned_Data[[#This Row],[Order_Date]],"DDD")</f>
        <v>Mon</v>
      </c>
      <c r="S230" t="str">
        <f>IF(Cleaned_Data[[#This Row],[Net_Sales]]&gt;=100000,"High",IF(Cleaned_Data[[#This Row],[Net_Sales]]&gt;=50000,"Medium","Low"))</f>
        <v>Low</v>
      </c>
    </row>
    <row r="231" spans="1:19" x14ac:dyDescent="0.3">
      <c r="A231" t="s">
        <v>379</v>
      </c>
      <c r="B231" s="1">
        <v>45145</v>
      </c>
      <c r="C231" t="s">
        <v>21</v>
      </c>
      <c r="D231" t="s">
        <v>22</v>
      </c>
      <c r="E231" t="s">
        <v>15</v>
      </c>
      <c r="F231" t="s">
        <v>16</v>
      </c>
      <c r="G231" t="s">
        <v>45</v>
      </c>
      <c r="H231" t="s">
        <v>52</v>
      </c>
      <c r="I231">
        <v>1</v>
      </c>
      <c r="J231" s="8">
        <v>38300</v>
      </c>
      <c r="K231">
        <v>0</v>
      </c>
      <c r="L231" t="s">
        <v>73</v>
      </c>
      <c r="M231" s="5">
        <f>Cleaned_Data[[#This Row],[Quantity]]*Cleaned_Data[[#This Row],[Unit_Price]]</f>
        <v>38300</v>
      </c>
      <c r="N231" s="7">
        <f>Cleaned_Data[[#This Row],[Total_sales]]*(Cleaned_Data[[#This Row],[Discount_Percent]]/100)</f>
        <v>0</v>
      </c>
      <c r="O231" s="7">
        <f>Cleaned_Data[[#This Row],[Total_sales]]-Cleaned_Data[[#This Row],[Discount_Amount]]</f>
        <v>38300</v>
      </c>
      <c r="P231" t="str">
        <f>TEXT(Cleaned_Data[[#This Row],[Order_Date]],"MMM-YYYY")</f>
        <v>Aug-2023</v>
      </c>
      <c r="Q231" t="str">
        <f>"Q"&amp;ROUNDUP(MONTH(Cleaned_Data[[#This Row],[Order_Date]])/3,0)&amp;"-2023"</f>
        <v>Q3-2023</v>
      </c>
      <c r="R231" t="str">
        <f>TEXT(Cleaned_Data[[#This Row],[Order_Date]],"DDD")</f>
        <v>Mon</v>
      </c>
      <c r="S231" t="str">
        <f>IF(Cleaned_Data[[#This Row],[Net_Sales]]&gt;=100000,"High",IF(Cleaned_Data[[#This Row],[Net_Sales]]&gt;=50000,"Medium","Low"))</f>
        <v>Low</v>
      </c>
    </row>
    <row r="232" spans="1:19" x14ac:dyDescent="0.3">
      <c r="A232" t="s">
        <v>380</v>
      </c>
      <c r="B232" s="1">
        <v>45176</v>
      </c>
      <c r="C232" t="s">
        <v>185</v>
      </c>
      <c r="D232" t="s">
        <v>186</v>
      </c>
      <c r="E232" t="s">
        <v>66</v>
      </c>
      <c r="F232" t="s">
        <v>67</v>
      </c>
      <c r="G232" t="s">
        <v>39</v>
      </c>
      <c r="H232" t="s">
        <v>57</v>
      </c>
      <c r="I232">
        <v>1</v>
      </c>
      <c r="J232" s="8">
        <v>13500</v>
      </c>
      <c r="K232">
        <v>15</v>
      </c>
      <c r="L232" t="s">
        <v>33</v>
      </c>
      <c r="M232" s="5">
        <f>Cleaned_Data[[#This Row],[Quantity]]*Cleaned_Data[[#This Row],[Unit_Price]]</f>
        <v>13500</v>
      </c>
      <c r="N232" s="7">
        <f>Cleaned_Data[[#This Row],[Total_sales]]*(Cleaned_Data[[#This Row],[Discount_Percent]]/100)</f>
        <v>2025</v>
      </c>
      <c r="O232" s="7">
        <f>Cleaned_Data[[#This Row],[Total_sales]]-Cleaned_Data[[#This Row],[Discount_Amount]]</f>
        <v>11475</v>
      </c>
      <c r="P232" t="str">
        <f>TEXT(Cleaned_Data[[#This Row],[Order_Date]],"MMM-YYYY")</f>
        <v>Sep-2023</v>
      </c>
      <c r="Q232" t="str">
        <f>"Q"&amp;ROUNDUP(MONTH(Cleaned_Data[[#This Row],[Order_Date]])/3,0)&amp;"-2023"</f>
        <v>Q3-2023</v>
      </c>
      <c r="R232" t="str">
        <f>TEXT(Cleaned_Data[[#This Row],[Order_Date]],"DDD")</f>
        <v>Thu</v>
      </c>
      <c r="S232" t="str">
        <f>IF(Cleaned_Data[[#This Row],[Net_Sales]]&gt;=100000,"High",IF(Cleaned_Data[[#This Row],[Net_Sales]]&gt;=50000,"Medium","Low"))</f>
        <v>Low</v>
      </c>
    </row>
    <row r="233" spans="1:19" x14ac:dyDescent="0.3">
      <c r="A233" t="s">
        <v>381</v>
      </c>
      <c r="B233" s="1">
        <v>45237</v>
      </c>
      <c r="C233" t="s">
        <v>79</v>
      </c>
      <c r="D233" t="s">
        <v>80</v>
      </c>
      <c r="E233" t="s">
        <v>15</v>
      </c>
      <c r="F233" t="s">
        <v>128</v>
      </c>
      <c r="G233" t="s">
        <v>45</v>
      </c>
      <c r="H233" t="s">
        <v>52</v>
      </c>
      <c r="I233">
        <v>1</v>
      </c>
      <c r="J233" s="8">
        <v>39200</v>
      </c>
      <c r="K233">
        <v>0</v>
      </c>
      <c r="L233" t="s">
        <v>47</v>
      </c>
      <c r="M233" s="5">
        <f>Cleaned_Data[[#This Row],[Quantity]]*Cleaned_Data[[#This Row],[Unit_Price]]</f>
        <v>39200</v>
      </c>
      <c r="N233" s="7">
        <f>Cleaned_Data[[#This Row],[Total_sales]]*(Cleaned_Data[[#This Row],[Discount_Percent]]/100)</f>
        <v>0</v>
      </c>
      <c r="O233" s="7">
        <f>Cleaned_Data[[#This Row],[Total_sales]]-Cleaned_Data[[#This Row],[Discount_Amount]]</f>
        <v>39200</v>
      </c>
      <c r="P233" t="str">
        <f>TEXT(Cleaned_Data[[#This Row],[Order_Date]],"MMM-YYYY")</f>
        <v>Nov-2023</v>
      </c>
      <c r="Q233" t="str">
        <f>"Q"&amp;ROUNDUP(MONTH(Cleaned_Data[[#This Row],[Order_Date]])/3,0)&amp;"-2023"</f>
        <v>Q4-2023</v>
      </c>
      <c r="R233" t="str">
        <f>TEXT(Cleaned_Data[[#This Row],[Order_Date]],"DDD")</f>
        <v>Tue</v>
      </c>
      <c r="S233" t="str">
        <f>IF(Cleaned_Data[[#This Row],[Net_Sales]]&gt;=100000,"High",IF(Cleaned_Data[[#This Row],[Net_Sales]]&gt;=50000,"Medium","Low"))</f>
        <v>Low</v>
      </c>
    </row>
    <row r="234" spans="1:19" x14ac:dyDescent="0.3">
      <c r="A234" t="s">
        <v>382</v>
      </c>
      <c r="B234" s="1">
        <v>45237</v>
      </c>
      <c r="C234" t="s">
        <v>49</v>
      </c>
      <c r="D234" t="s">
        <v>50</v>
      </c>
      <c r="E234" t="s">
        <v>66</v>
      </c>
      <c r="F234" t="s">
        <v>87</v>
      </c>
      <c r="G234" t="s">
        <v>97</v>
      </c>
      <c r="H234" t="s">
        <v>174</v>
      </c>
      <c r="I234">
        <v>1</v>
      </c>
      <c r="J234" s="8">
        <v>53500</v>
      </c>
      <c r="K234">
        <v>10</v>
      </c>
      <c r="L234" t="s">
        <v>33</v>
      </c>
      <c r="M234" s="5">
        <f>Cleaned_Data[[#This Row],[Quantity]]*Cleaned_Data[[#This Row],[Unit_Price]]</f>
        <v>53500</v>
      </c>
      <c r="N234" s="7">
        <f>Cleaned_Data[[#This Row],[Total_sales]]*(Cleaned_Data[[#This Row],[Discount_Percent]]/100)</f>
        <v>5350</v>
      </c>
      <c r="O234" s="7">
        <f>Cleaned_Data[[#This Row],[Total_sales]]-Cleaned_Data[[#This Row],[Discount_Amount]]</f>
        <v>48150</v>
      </c>
      <c r="P234" t="str">
        <f>TEXT(Cleaned_Data[[#This Row],[Order_Date]],"MMM-YYYY")</f>
        <v>Nov-2023</v>
      </c>
      <c r="Q234" t="str">
        <f>"Q"&amp;ROUNDUP(MONTH(Cleaned_Data[[#This Row],[Order_Date]])/3,0)&amp;"-2023"</f>
        <v>Q4-2023</v>
      </c>
      <c r="R234" t="str">
        <f>TEXT(Cleaned_Data[[#This Row],[Order_Date]],"DDD")</f>
        <v>Tue</v>
      </c>
      <c r="S234" t="str">
        <f>IF(Cleaned_Data[[#This Row],[Net_Sales]]&gt;=100000,"High",IF(Cleaned_Data[[#This Row],[Net_Sales]]&gt;=50000,"Medium","Low"))</f>
        <v>Low</v>
      </c>
    </row>
    <row r="235" spans="1:19" x14ac:dyDescent="0.3">
      <c r="A235" t="s">
        <v>383</v>
      </c>
      <c r="B235" s="1">
        <v>45237</v>
      </c>
      <c r="C235" t="s">
        <v>176</v>
      </c>
      <c r="D235" t="s">
        <v>177</v>
      </c>
      <c r="E235" t="s">
        <v>23</v>
      </c>
      <c r="F235" t="s">
        <v>51</v>
      </c>
      <c r="G235" t="s">
        <v>25</v>
      </c>
      <c r="H235" t="s">
        <v>108</v>
      </c>
      <c r="I235">
        <v>3</v>
      </c>
      <c r="J235" s="8">
        <v>2100</v>
      </c>
      <c r="K235">
        <v>25</v>
      </c>
      <c r="L235" t="s">
        <v>19</v>
      </c>
      <c r="M235" s="5">
        <f>Cleaned_Data[[#This Row],[Quantity]]*Cleaned_Data[[#This Row],[Unit_Price]]</f>
        <v>6300</v>
      </c>
      <c r="N235" s="7">
        <f>Cleaned_Data[[#This Row],[Total_sales]]*(Cleaned_Data[[#This Row],[Discount_Percent]]/100)</f>
        <v>1575</v>
      </c>
      <c r="O235" s="7">
        <f>Cleaned_Data[[#This Row],[Total_sales]]-Cleaned_Data[[#This Row],[Discount_Amount]]</f>
        <v>4725</v>
      </c>
      <c r="P235" t="str">
        <f>TEXT(Cleaned_Data[[#This Row],[Order_Date]],"MMM-YYYY")</f>
        <v>Nov-2023</v>
      </c>
      <c r="Q235" t="str">
        <f>"Q"&amp;ROUNDUP(MONTH(Cleaned_Data[[#This Row],[Order_Date]])/3,0)&amp;"-2023"</f>
        <v>Q4-2023</v>
      </c>
      <c r="R235" t="str">
        <f>TEXT(Cleaned_Data[[#This Row],[Order_Date]],"DDD")</f>
        <v>Tue</v>
      </c>
      <c r="S235" t="str">
        <f>IF(Cleaned_Data[[#This Row],[Net_Sales]]&gt;=100000,"High",IF(Cleaned_Data[[#This Row],[Net_Sales]]&gt;=50000,"Medium","Low"))</f>
        <v>Low</v>
      </c>
    </row>
    <row r="236" spans="1:19" x14ac:dyDescent="0.3">
      <c r="A236" t="s">
        <v>384</v>
      </c>
      <c r="B236" s="1">
        <v>45237</v>
      </c>
      <c r="C236" t="s">
        <v>158</v>
      </c>
      <c r="D236" t="s">
        <v>159</v>
      </c>
      <c r="E236" t="s">
        <v>15</v>
      </c>
      <c r="F236" t="s">
        <v>128</v>
      </c>
      <c r="G236" t="s">
        <v>39</v>
      </c>
      <c r="H236" t="s">
        <v>68</v>
      </c>
      <c r="I236">
        <v>1</v>
      </c>
      <c r="J236" s="8">
        <v>24900</v>
      </c>
      <c r="K236">
        <v>15</v>
      </c>
      <c r="L236" t="s">
        <v>47</v>
      </c>
      <c r="M236" s="5">
        <f>Cleaned_Data[[#This Row],[Quantity]]*Cleaned_Data[[#This Row],[Unit_Price]]</f>
        <v>24900</v>
      </c>
      <c r="N236" s="7">
        <f>Cleaned_Data[[#This Row],[Total_sales]]*(Cleaned_Data[[#This Row],[Discount_Percent]]/100)</f>
        <v>3735</v>
      </c>
      <c r="O236" s="7">
        <f>Cleaned_Data[[#This Row],[Total_sales]]-Cleaned_Data[[#This Row],[Discount_Amount]]</f>
        <v>21165</v>
      </c>
      <c r="P236" t="str">
        <f>TEXT(Cleaned_Data[[#This Row],[Order_Date]],"MMM-YYYY")</f>
        <v>Nov-2023</v>
      </c>
      <c r="Q236" t="str">
        <f>"Q"&amp;ROUNDUP(MONTH(Cleaned_Data[[#This Row],[Order_Date]])/3,0)&amp;"-2023"</f>
        <v>Q4-2023</v>
      </c>
      <c r="R236" t="str">
        <f>TEXT(Cleaned_Data[[#This Row],[Order_Date]],"DDD")</f>
        <v>Tue</v>
      </c>
      <c r="S236" t="str">
        <f>IF(Cleaned_Data[[#This Row],[Net_Sales]]&gt;=100000,"High",IF(Cleaned_Data[[#This Row],[Net_Sales]]&gt;=50000,"Medium","Low"))</f>
        <v>Low</v>
      </c>
    </row>
    <row r="237" spans="1:19" x14ac:dyDescent="0.3">
      <c r="A237" t="s">
        <v>385</v>
      </c>
      <c r="B237" s="1">
        <v>45237</v>
      </c>
      <c r="C237" t="s">
        <v>90</v>
      </c>
      <c r="D237" t="s">
        <v>91</v>
      </c>
      <c r="E237" t="s">
        <v>66</v>
      </c>
      <c r="F237" t="s">
        <v>92</v>
      </c>
      <c r="G237" t="s">
        <v>17</v>
      </c>
      <c r="H237" t="s">
        <v>18</v>
      </c>
      <c r="I237">
        <v>1</v>
      </c>
      <c r="J237" s="8">
        <v>23500</v>
      </c>
      <c r="K237">
        <v>10</v>
      </c>
      <c r="L237" t="s">
        <v>33</v>
      </c>
      <c r="M237" s="5">
        <f>Cleaned_Data[[#This Row],[Quantity]]*Cleaned_Data[[#This Row],[Unit_Price]]</f>
        <v>23500</v>
      </c>
      <c r="N237" s="7">
        <f>Cleaned_Data[[#This Row],[Total_sales]]*(Cleaned_Data[[#This Row],[Discount_Percent]]/100)</f>
        <v>2350</v>
      </c>
      <c r="O237" s="7">
        <f>Cleaned_Data[[#This Row],[Total_sales]]-Cleaned_Data[[#This Row],[Discount_Amount]]</f>
        <v>21150</v>
      </c>
      <c r="P237" t="str">
        <f>TEXT(Cleaned_Data[[#This Row],[Order_Date]],"MMM-YYYY")</f>
        <v>Nov-2023</v>
      </c>
      <c r="Q237" t="str">
        <f>"Q"&amp;ROUNDUP(MONTH(Cleaned_Data[[#This Row],[Order_Date]])/3,0)&amp;"-2023"</f>
        <v>Q4-2023</v>
      </c>
      <c r="R237" t="str">
        <f>TEXT(Cleaned_Data[[#This Row],[Order_Date]],"DDD")</f>
        <v>Tue</v>
      </c>
      <c r="S237" t="str">
        <f>IF(Cleaned_Data[[#This Row],[Net_Sales]]&gt;=100000,"High",IF(Cleaned_Data[[#This Row],[Net_Sales]]&gt;=50000,"Medium","Low"))</f>
        <v>Low</v>
      </c>
    </row>
    <row r="238" spans="1:19" x14ac:dyDescent="0.3">
      <c r="A238" t="s">
        <v>386</v>
      </c>
      <c r="B238" s="1">
        <v>45237</v>
      </c>
      <c r="C238" t="s">
        <v>55</v>
      </c>
      <c r="D238" t="s">
        <v>56</v>
      </c>
      <c r="E238" t="s">
        <v>23</v>
      </c>
      <c r="F238" t="s">
        <v>24</v>
      </c>
      <c r="G238" t="s">
        <v>17</v>
      </c>
      <c r="H238" t="s">
        <v>77</v>
      </c>
      <c r="I238">
        <v>1</v>
      </c>
      <c r="J238" s="8">
        <v>54300</v>
      </c>
      <c r="K238">
        <v>0</v>
      </c>
      <c r="L238" t="s">
        <v>103</v>
      </c>
      <c r="M238" s="5">
        <f>Cleaned_Data[[#This Row],[Quantity]]*Cleaned_Data[[#This Row],[Unit_Price]]</f>
        <v>54300</v>
      </c>
      <c r="N238" s="7">
        <f>Cleaned_Data[[#This Row],[Total_sales]]*(Cleaned_Data[[#This Row],[Discount_Percent]]/100)</f>
        <v>0</v>
      </c>
      <c r="O238" s="7">
        <f>Cleaned_Data[[#This Row],[Total_sales]]-Cleaned_Data[[#This Row],[Discount_Amount]]</f>
        <v>54300</v>
      </c>
      <c r="P238" t="str">
        <f>TEXT(Cleaned_Data[[#This Row],[Order_Date]],"MMM-YYYY")</f>
        <v>Nov-2023</v>
      </c>
      <c r="Q238" t="str">
        <f>"Q"&amp;ROUNDUP(MONTH(Cleaned_Data[[#This Row],[Order_Date]])/3,0)&amp;"-2023"</f>
        <v>Q4-2023</v>
      </c>
      <c r="R238" t="str">
        <f>TEXT(Cleaned_Data[[#This Row],[Order_Date]],"DDD")</f>
        <v>Tue</v>
      </c>
      <c r="S238" t="str">
        <f>IF(Cleaned_Data[[#This Row],[Net_Sales]]&gt;=100000,"High",IF(Cleaned_Data[[#This Row],[Net_Sales]]&gt;=50000,"Medium","Low"))</f>
        <v>Medium</v>
      </c>
    </row>
    <row r="239" spans="1:19" x14ac:dyDescent="0.3">
      <c r="A239" t="s">
        <v>387</v>
      </c>
      <c r="B239" s="1">
        <v>45267</v>
      </c>
      <c r="C239" t="s">
        <v>284</v>
      </c>
      <c r="D239" t="s">
        <v>285</v>
      </c>
      <c r="E239" t="s">
        <v>81</v>
      </c>
      <c r="F239" t="s">
        <v>160</v>
      </c>
      <c r="G239" t="s">
        <v>17</v>
      </c>
      <c r="H239" t="s">
        <v>168</v>
      </c>
      <c r="I239">
        <v>1</v>
      </c>
      <c r="J239" s="8">
        <v>58200</v>
      </c>
      <c r="K239">
        <v>15</v>
      </c>
      <c r="L239" t="s">
        <v>62</v>
      </c>
      <c r="M239" s="5">
        <f>Cleaned_Data[[#This Row],[Quantity]]*Cleaned_Data[[#This Row],[Unit_Price]]</f>
        <v>58200</v>
      </c>
      <c r="N239" s="7">
        <f>Cleaned_Data[[#This Row],[Total_sales]]*(Cleaned_Data[[#This Row],[Discount_Percent]]/100)</f>
        <v>8730</v>
      </c>
      <c r="O239" s="7">
        <f>Cleaned_Data[[#This Row],[Total_sales]]-Cleaned_Data[[#This Row],[Discount_Amount]]</f>
        <v>49470</v>
      </c>
      <c r="P239" t="str">
        <f>TEXT(Cleaned_Data[[#This Row],[Order_Date]],"MMM-YYYY")</f>
        <v>Dec-2023</v>
      </c>
      <c r="Q239" t="str">
        <f>"Q"&amp;ROUNDUP(MONTH(Cleaned_Data[[#This Row],[Order_Date]])/3,0)&amp;"-2023"</f>
        <v>Q4-2023</v>
      </c>
      <c r="R239" t="str">
        <f>TEXT(Cleaned_Data[[#This Row],[Order_Date]],"DDD")</f>
        <v>Thu</v>
      </c>
      <c r="S239" t="str">
        <f>IF(Cleaned_Data[[#This Row],[Net_Sales]]&gt;=100000,"High",IF(Cleaned_Data[[#This Row],[Net_Sales]]&gt;=50000,"Medium","Low"))</f>
        <v>Low</v>
      </c>
    </row>
    <row r="240" spans="1:19" x14ac:dyDescent="0.3">
      <c r="A240" t="s">
        <v>388</v>
      </c>
      <c r="B240" s="1">
        <v>45267</v>
      </c>
      <c r="C240" t="s">
        <v>122</v>
      </c>
      <c r="D240" t="s">
        <v>123</v>
      </c>
      <c r="E240" t="s">
        <v>81</v>
      </c>
      <c r="F240" t="s">
        <v>160</v>
      </c>
      <c r="G240" t="s">
        <v>97</v>
      </c>
      <c r="H240" t="s">
        <v>98</v>
      </c>
      <c r="I240">
        <v>1</v>
      </c>
      <c r="J240" s="8">
        <v>57200</v>
      </c>
      <c r="K240">
        <v>20</v>
      </c>
      <c r="L240" t="s">
        <v>27</v>
      </c>
      <c r="M240" s="5">
        <f>Cleaned_Data[[#This Row],[Quantity]]*Cleaned_Data[[#This Row],[Unit_Price]]</f>
        <v>57200</v>
      </c>
      <c r="N240" s="7">
        <f>Cleaned_Data[[#This Row],[Total_sales]]*(Cleaned_Data[[#This Row],[Discount_Percent]]/100)</f>
        <v>11440</v>
      </c>
      <c r="O240" s="7">
        <f>Cleaned_Data[[#This Row],[Total_sales]]-Cleaned_Data[[#This Row],[Discount_Amount]]</f>
        <v>45760</v>
      </c>
      <c r="P240" t="str">
        <f>TEXT(Cleaned_Data[[#This Row],[Order_Date]],"MMM-YYYY")</f>
        <v>Dec-2023</v>
      </c>
      <c r="Q240" t="str">
        <f>"Q"&amp;ROUNDUP(MONTH(Cleaned_Data[[#This Row],[Order_Date]])/3,0)&amp;"-2023"</f>
        <v>Q4-2023</v>
      </c>
      <c r="R240" t="str">
        <f>TEXT(Cleaned_Data[[#This Row],[Order_Date]],"DDD")</f>
        <v>Thu</v>
      </c>
      <c r="S240" t="str">
        <f>IF(Cleaned_Data[[#This Row],[Net_Sales]]&gt;=100000,"High",IF(Cleaned_Data[[#This Row],[Net_Sales]]&gt;=50000,"Medium","Low"))</f>
        <v>Low</v>
      </c>
    </row>
    <row r="241" spans="1:19" x14ac:dyDescent="0.3">
      <c r="A241" t="s">
        <v>389</v>
      </c>
      <c r="B241" s="1">
        <v>44934</v>
      </c>
      <c r="C241" t="s">
        <v>21</v>
      </c>
      <c r="D241" t="s">
        <v>22</v>
      </c>
      <c r="E241" t="s">
        <v>81</v>
      </c>
      <c r="F241" t="s">
        <v>160</v>
      </c>
      <c r="G241" t="s">
        <v>39</v>
      </c>
      <c r="H241" t="s">
        <v>57</v>
      </c>
      <c r="I241">
        <v>1</v>
      </c>
      <c r="J241" s="8">
        <v>31500</v>
      </c>
      <c r="K241">
        <v>0</v>
      </c>
      <c r="L241" t="s">
        <v>27</v>
      </c>
      <c r="M241" s="5">
        <f>Cleaned_Data[[#This Row],[Quantity]]*Cleaned_Data[[#This Row],[Unit_Price]]</f>
        <v>31500</v>
      </c>
      <c r="N241" s="7">
        <f>Cleaned_Data[[#This Row],[Total_sales]]*(Cleaned_Data[[#This Row],[Discount_Percent]]/100)</f>
        <v>0</v>
      </c>
      <c r="O241" s="7">
        <f>Cleaned_Data[[#This Row],[Total_sales]]-Cleaned_Data[[#This Row],[Discount_Amount]]</f>
        <v>31500</v>
      </c>
      <c r="P241" t="str">
        <f>TEXT(Cleaned_Data[[#This Row],[Order_Date]],"MMM-YYYY")</f>
        <v>Jan-2023</v>
      </c>
      <c r="Q241" t="str">
        <f>"Q"&amp;ROUNDUP(MONTH(Cleaned_Data[[#This Row],[Order_Date]])/3,0)&amp;"-2023"</f>
        <v>Q1-2023</v>
      </c>
      <c r="R241" t="str">
        <f>TEXT(Cleaned_Data[[#This Row],[Order_Date]],"DDD")</f>
        <v>Sun</v>
      </c>
      <c r="S241" t="str">
        <f>IF(Cleaned_Data[[#This Row],[Net_Sales]]&gt;=100000,"High",IF(Cleaned_Data[[#This Row],[Net_Sales]]&gt;=50000,"Medium","Low"))</f>
        <v>Low</v>
      </c>
    </row>
    <row r="242" spans="1:19" x14ac:dyDescent="0.3">
      <c r="A242" t="s">
        <v>390</v>
      </c>
      <c r="B242" s="1">
        <v>44934</v>
      </c>
      <c r="C242" t="s">
        <v>135</v>
      </c>
      <c r="D242" t="s">
        <v>136</v>
      </c>
      <c r="E242" t="s">
        <v>81</v>
      </c>
      <c r="F242" t="s">
        <v>82</v>
      </c>
      <c r="G242" t="s">
        <v>45</v>
      </c>
      <c r="H242" t="s">
        <v>156</v>
      </c>
      <c r="I242">
        <v>1</v>
      </c>
      <c r="J242" s="8">
        <v>37200</v>
      </c>
      <c r="K242">
        <v>15</v>
      </c>
      <c r="L242" t="s">
        <v>53</v>
      </c>
      <c r="M242" s="5">
        <f>Cleaned_Data[[#This Row],[Quantity]]*Cleaned_Data[[#This Row],[Unit_Price]]</f>
        <v>37200</v>
      </c>
      <c r="N242" s="7">
        <f>Cleaned_Data[[#This Row],[Total_sales]]*(Cleaned_Data[[#This Row],[Discount_Percent]]/100)</f>
        <v>5580</v>
      </c>
      <c r="O242" s="7">
        <f>Cleaned_Data[[#This Row],[Total_sales]]-Cleaned_Data[[#This Row],[Discount_Amount]]</f>
        <v>31620</v>
      </c>
      <c r="P242" t="str">
        <f>TEXT(Cleaned_Data[[#This Row],[Order_Date]],"MMM-YYYY")</f>
        <v>Jan-2023</v>
      </c>
      <c r="Q242" t="str">
        <f>"Q"&amp;ROUNDUP(MONTH(Cleaned_Data[[#This Row],[Order_Date]])/3,0)&amp;"-2023"</f>
        <v>Q1-2023</v>
      </c>
      <c r="R242" t="str">
        <f>TEXT(Cleaned_Data[[#This Row],[Order_Date]],"DDD")</f>
        <v>Sun</v>
      </c>
      <c r="S242" t="str">
        <f>IF(Cleaned_Data[[#This Row],[Net_Sales]]&gt;=100000,"High",IF(Cleaned_Data[[#This Row],[Net_Sales]]&gt;=50000,"Medium","Low"))</f>
        <v>Low</v>
      </c>
    </row>
    <row r="243" spans="1:19" x14ac:dyDescent="0.3">
      <c r="A243" t="s">
        <v>391</v>
      </c>
      <c r="B243" s="1">
        <v>44934</v>
      </c>
      <c r="C243" t="s">
        <v>90</v>
      </c>
      <c r="D243" t="s">
        <v>91</v>
      </c>
      <c r="E243" t="s">
        <v>15</v>
      </c>
      <c r="F243" t="s">
        <v>119</v>
      </c>
      <c r="G243" t="s">
        <v>25</v>
      </c>
      <c r="H243" t="s">
        <v>212</v>
      </c>
      <c r="I243">
        <v>1</v>
      </c>
      <c r="J243" s="8">
        <v>1400</v>
      </c>
      <c r="K243">
        <v>0</v>
      </c>
      <c r="L243" t="s">
        <v>33</v>
      </c>
      <c r="M243" s="5">
        <f>Cleaned_Data[[#This Row],[Quantity]]*Cleaned_Data[[#This Row],[Unit_Price]]</f>
        <v>1400</v>
      </c>
      <c r="N243" s="7">
        <f>Cleaned_Data[[#This Row],[Total_sales]]*(Cleaned_Data[[#This Row],[Discount_Percent]]/100)</f>
        <v>0</v>
      </c>
      <c r="O243" s="7">
        <f>Cleaned_Data[[#This Row],[Total_sales]]-Cleaned_Data[[#This Row],[Discount_Amount]]</f>
        <v>1400</v>
      </c>
      <c r="P243" t="str">
        <f>TEXT(Cleaned_Data[[#This Row],[Order_Date]],"MMM-YYYY")</f>
        <v>Jan-2023</v>
      </c>
      <c r="Q243" t="str">
        <f>"Q"&amp;ROUNDUP(MONTH(Cleaned_Data[[#This Row],[Order_Date]])/3,0)&amp;"-2023"</f>
        <v>Q1-2023</v>
      </c>
      <c r="R243" t="str">
        <f>TEXT(Cleaned_Data[[#This Row],[Order_Date]],"DDD")</f>
        <v>Sun</v>
      </c>
      <c r="S243" t="str">
        <f>IF(Cleaned_Data[[#This Row],[Net_Sales]]&gt;=100000,"High",IF(Cleaned_Data[[#This Row],[Net_Sales]]&gt;=50000,"Medium","Low"))</f>
        <v>Low</v>
      </c>
    </row>
    <row r="244" spans="1:19" x14ac:dyDescent="0.3">
      <c r="A244" t="s">
        <v>392</v>
      </c>
      <c r="B244" s="1">
        <v>44993</v>
      </c>
      <c r="C244" t="s">
        <v>112</v>
      </c>
      <c r="D244" t="s">
        <v>113</v>
      </c>
      <c r="E244" t="s">
        <v>81</v>
      </c>
      <c r="F244" t="s">
        <v>117</v>
      </c>
      <c r="G244" t="s">
        <v>45</v>
      </c>
      <c r="H244" t="s">
        <v>207</v>
      </c>
      <c r="I244">
        <v>1</v>
      </c>
      <c r="J244" s="8">
        <v>23600</v>
      </c>
      <c r="K244">
        <v>0</v>
      </c>
      <c r="L244" t="s">
        <v>62</v>
      </c>
      <c r="M244" s="5">
        <f>Cleaned_Data[[#This Row],[Quantity]]*Cleaned_Data[[#This Row],[Unit_Price]]</f>
        <v>23600</v>
      </c>
      <c r="N244" s="7">
        <f>Cleaned_Data[[#This Row],[Total_sales]]*(Cleaned_Data[[#This Row],[Discount_Percent]]/100)</f>
        <v>0</v>
      </c>
      <c r="O244" s="7">
        <f>Cleaned_Data[[#This Row],[Total_sales]]-Cleaned_Data[[#This Row],[Discount_Amount]]</f>
        <v>23600</v>
      </c>
      <c r="P244" t="str">
        <f>TEXT(Cleaned_Data[[#This Row],[Order_Date]],"MMM-YYYY")</f>
        <v>Mar-2023</v>
      </c>
      <c r="Q244" t="str">
        <f>"Q"&amp;ROUNDUP(MONTH(Cleaned_Data[[#This Row],[Order_Date]])/3,0)&amp;"-2023"</f>
        <v>Q1-2023</v>
      </c>
      <c r="R244" t="str">
        <f>TEXT(Cleaned_Data[[#This Row],[Order_Date]],"DDD")</f>
        <v>Wed</v>
      </c>
      <c r="S244" t="str">
        <f>IF(Cleaned_Data[[#This Row],[Net_Sales]]&gt;=100000,"High",IF(Cleaned_Data[[#This Row],[Net_Sales]]&gt;=50000,"Medium","Low"))</f>
        <v>Low</v>
      </c>
    </row>
    <row r="245" spans="1:19" x14ac:dyDescent="0.3">
      <c r="A245" t="s">
        <v>393</v>
      </c>
      <c r="B245" s="1">
        <v>45024</v>
      </c>
      <c r="C245" t="s">
        <v>185</v>
      </c>
      <c r="D245" t="s">
        <v>186</v>
      </c>
      <c r="E245" t="s">
        <v>81</v>
      </c>
      <c r="F245" t="s">
        <v>160</v>
      </c>
      <c r="G245" t="s">
        <v>39</v>
      </c>
      <c r="H245" t="s">
        <v>102</v>
      </c>
      <c r="I245">
        <v>1</v>
      </c>
      <c r="J245" s="8">
        <v>33900</v>
      </c>
      <c r="K245">
        <v>5</v>
      </c>
      <c r="L245" t="s">
        <v>53</v>
      </c>
      <c r="M245" s="5">
        <f>Cleaned_Data[[#This Row],[Quantity]]*Cleaned_Data[[#This Row],[Unit_Price]]</f>
        <v>33900</v>
      </c>
      <c r="N245" s="7">
        <f>Cleaned_Data[[#This Row],[Total_sales]]*(Cleaned_Data[[#This Row],[Discount_Percent]]/100)</f>
        <v>1695</v>
      </c>
      <c r="O245" s="7">
        <f>Cleaned_Data[[#This Row],[Total_sales]]-Cleaned_Data[[#This Row],[Discount_Amount]]</f>
        <v>32205</v>
      </c>
      <c r="P245" t="str">
        <f>TEXT(Cleaned_Data[[#This Row],[Order_Date]],"MMM-YYYY")</f>
        <v>Apr-2023</v>
      </c>
      <c r="Q245" t="str">
        <f>"Q"&amp;ROUNDUP(MONTH(Cleaned_Data[[#This Row],[Order_Date]])/3,0)&amp;"-2023"</f>
        <v>Q2-2023</v>
      </c>
      <c r="R245" t="str">
        <f>TEXT(Cleaned_Data[[#This Row],[Order_Date]],"DDD")</f>
        <v>Sat</v>
      </c>
      <c r="S245" t="str">
        <f>IF(Cleaned_Data[[#This Row],[Net_Sales]]&gt;=100000,"High",IF(Cleaned_Data[[#This Row],[Net_Sales]]&gt;=50000,"Medium","Low"))</f>
        <v>Low</v>
      </c>
    </row>
    <row r="246" spans="1:19" x14ac:dyDescent="0.3">
      <c r="A246" t="s">
        <v>394</v>
      </c>
      <c r="B246" s="1">
        <v>45024</v>
      </c>
      <c r="C246" t="s">
        <v>163</v>
      </c>
      <c r="D246" t="s">
        <v>73</v>
      </c>
      <c r="E246" t="s">
        <v>81</v>
      </c>
      <c r="F246" t="s">
        <v>82</v>
      </c>
      <c r="G246" t="s">
        <v>25</v>
      </c>
      <c r="H246" t="s">
        <v>26</v>
      </c>
      <c r="I246">
        <v>3</v>
      </c>
      <c r="J246" s="8">
        <v>1500</v>
      </c>
      <c r="K246">
        <v>25</v>
      </c>
      <c r="L246" t="s">
        <v>73</v>
      </c>
      <c r="M246" s="5">
        <f>Cleaned_Data[[#This Row],[Quantity]]*Cleaned_Data[[#This Row],[Unit_Price]]</f>
        <v>4500</v>
      </c>
      <c r="N246" s="7">
        <f>Cleaned_Data[[#This Row],[Total_sales]]*(Cleaned_Data[[#This Row],[Discount_Percent]]/100)</f>
        <v>1125</v>
      </c>
      <c r="O246" s="7">
        <f>Cleaned_Data[[#This Row],[Total_sales]]-Cleaned_Data[[#This Row],[Discount_Amount]]</f>
        <v>3375</v>
      </c>
      <c r="P246" t="str">
        <f>TEXT(Cleaned_Data[[#This Row],[Order_Date]],"MMM-YYYY")</f>
        <v>Apr-2023</v>
      </c>
      <c r="Q246" t="str">
        <f>"Q"&amp;ROUNDUP(MONTH(Cleaned_Data[[#This Row],[Order_Date]])/3,0)&amp;"-2023"</f>
        <v>Q2-2023</v>
      </c>
      <c r="R246" t="str">
        <f>TEXT(Cleaned_Data[[#This Row],[Order_Date]],"DDD")</f>
        <v>Sat</v>
      </c>
      <c r="S246" t="str">
        <f>IF(Cleaned_Data[[#This Row],[Net_Sales]]&gt;=100000,"High",IF(Cleaned_Data[[#This Row],[Net_Sales]]&gt;=50000,"Medium","Low"))</f>
        <v>Low</v>
      </c>
    </row>
    <row r="247" spans="1:19" x14ac:dyDescent="0.3">
      <c r="A247" t="s">
        <v>395</v>
      </c>
      <c r="B247" s="1">
        <v>45024</v>
      </c>
      <c r="C247" t="s">
        <v>55</v>
      </c>
      <c r="D247" t="s">
        <v>56</v>
      </c>
      <c r="E247" t="s">
        <v>81</v>
      </c>
      <c r="F247" t="s">
        <v>110</v>
      </c>
      <c r="G247" t="s">
        <v>25</v>
      </c>
      <c r="H247" t="s">
        <v>124</v>
      </c>
      <c r="I247">
        <v>2</v>
      </c>
      <c r="J247" s="8">
        <v>1400</v>
      </c>
      <c r="K247">
        <v>5</v>
      </c>
      <c r="L247" t="s">
        <v>62</v>
      </c>
      <c r="M247" s="5">
        <f>Cleaned_Data[[#This Row],[Quantity]]*Cleaned_Data[[#This Row],[Unit_Price]]</f>
        <v>2800</v>
      </c>
      <c r="N247" s="7">
        <f>Cleaned_Data[[#This Row],[Total_sales]]*(Cleaned_Data[[#This Row],[Discount_Percent]]/100)</f>
        <v>140</v>
      </c>
      <c r="O247" s="7">
        <f>Cleaned_Data[[#This Row],[Total_sales]]-Cleaned_Data[[#This Row],[Discount_Amount]]</f>
        <v>2660</v>
      </c>
      <c r="P247" t="str">
        <f>TEXT(Cleaned_Data[[#This Row],[Order_Date]],"MMM-YYYY")</f>
        <v>Apr-2023</v>
      </c>
      <c r="Q247" t="str">
        <f>"Q"&amp;ROUNDUP(MONTH(Cleaned_Data[[#This Row],[Order_Date]])/3,0)&amp;"-2023"</f>
        <v>Q2-2023</v>
      </c>
      <c r="R247" t="str">
        <f>TEXT(Cleaned_Data[[#This Row],[Order_Date]],"DDD")</f>
        <v>Sat</v>
      </c>
      <c r="S247" t="str">
        <f>IF(Cleaned_Data[[#This Row],[Net_Sales]]&gt;=100000,"High",IF(Cleaned_Data[[#This Row],[Net_Sales]]&gt;=50000,"Medium","Low"))</f>
        <v>Low</v>
      </c>
    </row>
    <row r="248" spans="1:19" x14ac:dyDescent="0.3">
      <c r="A248" t="s">
        <v>396</v>
      </c>
      <c r="B248" s="1">
        <v>45024</v>
      </c>
      <c r="C248" t="s">
        <v>135</v>
      </c>
      <c r="D248" t="s">
        <v>136</v>
      </c>
      <c r="E248" t="s">
        <v>23</v>
      </c>
      <c r="F248" t="s">
        <v>44</v>
      </c>
      <c r="G248" t="s">
        <v>97</v>
      </c>
      <c r="H248" t="s">
        <v>171</v>
      </c>
      <c r="I248">
        <v>1</v>
      </c>
      <c r="J248" s="8">
        <v>52000</v>
      </c>
      <c r="K248">
        <v>25</v>
      </c>
      <c r="L248" t="s">
        <v>103</v>
      </c>
      <c r="M248" s="5">
        <f>Cleaned_Data[[#This Row],[Quantity]]*Cleaned_Data[[#This Row],[Unit_Price]]</f>
        <v>52000</v>
      </c>
      <c r="N248" s="7">
        <f>Cleaned_Data[[#This Row],[Total_sales]]*(Cleaned_Data[[#This Row],[Discount_Percent]]/100)</f>
        <v>13000</v>
      </c>
      <c r="O248" s="7">
        <f>Cleaned_Data[[#This Row],[Total_sales]]-Cleaned_Data[[#This Row],[Discount_Amount]]</f>
        <v>39000</v>
      </c>
      <c r="P248" t="str">
        <f>TEXT(Cleaned_Data[[#This Row],[Order_Date]],"MMM-YYYY")</f>
        <v>Apr-2023</v>
      </c>
      <c r="Q248" t="str">
        <f>"Q"&amp;ROUNDUP(MONTH(Cleaned_Data[[#This Row],[Order_Date]])/3,0)&amp;"-2023"</f>
        <v>Q2-2023</v>
      </c>
      <c r="R248" t="str">
        <f>TEXT(Cleaned_Data[[#This Row],[Order_Date]],"DDD")</f>
        <v>Sat</v>
      </c>
      <c r="S248" t="str">
        <f>IF(Cleaned_Data[[#This Row],[Net_Sales]]&gt;=100000,"High",IF(Cleaned_Data[[#This Row],[Net_Sales]]&gt;=50000,"Medium","Low"))</f>
        <v>Low</v>
      </c>
    </row>
    <row r="249" spans="1:19" x14ac:dyDescent="0.3">
      <c r="A249" t="s">
        <v>397</v>
      </c>
      <c r="B249" s="1">
        <v>45024</v>
      </c>
      <c r="C249" t="s">
        <v>115</v>
      </c>
      <c r="D249" t="s">
        <v>116</v>
      </c>
      <c r="E249" t="s">
        <v>81</v>
      </c>
      <c r="F249" t="s">
        <v>160</v>
      </c>
      <c r="G249" t="s">
        <v>25</v>
      </c>
      <c r="H249" t="s">
        <v>212</v>
      </c>
      <c r="I249">
        <v>2</v>
      </c>
      <c r="J249" s="8">
        <v>1400</v>
      </c>
      <c r="K249">
        <v>0</v>
      </c>
      <c r="L249" t="s">
        <v>33</v>
      </c>
      <c r="M249" s="5">
        <f>Cleaned_Data[[#This Row],[Quantity]]*Cleaned_Data[[#This Row],[Unit_Price]]</f>
        <v>2800</v>
      </c>
      <c r="N249" s="7">
        <f>Cleaned_Data[[#This Row],[Total_sales]]*(Cleaned_Data[[#This Row],[Discount_Percent]]/100)</f>
        <v>0</v>
      </c>
      <c r="O249" s="7">
        <f>Cleaned_Data[[#This Row],[Total_sales]]-Cleaned_Data[[#This Row],[Discount_Amount]]</f>
        <v>2800</v>
      </c>
      <c r="P249" t="str">
        <f>TEXT(Cleaned_Data[[#This Row],[Order_Date]],"MMM-YYYY")</f>
        <v>Apr-2023</v>
      </c>
      <c r="Q249" t="str">
        <f>"Q"&amp;ROUNDUP(MONTH(Cleaned_Data[[#This Row],[Order_Date]])/3,0)&amp;"-2023"</f>
        <v>Q2-2023</v>
      </c>
      <c r="R249" t="str">
        <f>TEXT(Cleaned_Data[[#This Row],[Order_Date]],"DDD")</f>
        <v>Sat</v>
      </c>
      <c r="S249" t="str">
        <f>IF(Cleaned_Data[[#This Row],[Net_Sales]]&gt;=100000,"High",IF(Cleaned_Data[[#This Row],[Net_Sales]]&gt;=50000,"Medium","Low"))</f>
        <v>Low</v>
      </c>
    </row>
    <row r="250" spans="1:19" x14ac:dyDescent="0.3">
      <c r="A250" t="s">
        <v>398</v>
      </c>
      <c r="B250" s="1">
        <v>45024</v>
      </c>
      <c r="C250" t="s">
        <v>147</v>
      </c>
      <c r="D250" t="s">
        <v>148</v>
      </c>
      <c r="E250" t="s">
        <v>15</v>
      </c>
      <c r="F250" t="s">
        <v>119</v>
      </c>
      <c r="G250" t="s">
        <v>39</v>
      </c>
      <c r="H250" t="s">
        <v>57</v>
      </c>
      <c r="I250">
        <v>1</v>
      </c>
      <c r="J250" s="8">
        <v>10200</v>
      </c>
      <c r="K250">
        <v>25</v>
      </c>
      <c r="L250" t="s">
        <v>53</v>
      </c>
      <c r="M250" s="5">
        <f>Cleaned_Data[[#This Row],[Quantity]]*Cleaned_Data[[#This Row],[Unit_Price]]</f>
        <v>10200</v>
      </c>
      <c r="N250" s="7">
        <f>Cleaned_Data[[#This Row],[Total_sales]]*(Cleaned_Data[[#This Row],[Discount_Percent]]/100)</f>
        <v>2550</v>
      </c>
      <c r="O250" s="7">
        <f>Cleaned_Data[[#This Row],[Total_sales]]-Cleaned_Data[[#This Row],[Discount_Amount]]</f>
        <v>7650</v>
      </c>
      <c r="P250" t="str">
        <f>TEXT(Cleaned_Data[[#This Row],[Order_Date]],"MMM-YYYY")</f>
        <v>Apr-2023</v>
      </c>
      <c r="Q250" t="str">
        <f>"Q"&amp;ROUNDUP(MONTH(Cleaned_Data[[#This Row],[Order_Date]])/3,0)&amp;"-2023"</f>
        <v>Q2-2023</v>
      </c>
      <c r="R250" t="str">
        <f>TEXT(Cleaned_Data[[#This Row],[Order_Date]],"DDD")</f>
        <v>Sat</v>
      </c>
      <c r="S250" t="str">
        <f>IF(Cleaned_Data[[#This Row],[Net_Sales]]&gt;=100000,"High",IF(Cleaned_Data[[#This Row],[Net_Sales]]&gt;=50000,"Medium","Low"))</f>
        <v>Low</v>
      </c>
    </row>
    <row r="251" spans="1:19" x14ac:dyDescent="0.3">
      <c r="A251" t="s">
        <v>399</v>
      </c>
      <c r="B251" s="1">
        <v>45054</v>
      </c>
      <c r="C251" t="s">
        <v>112</v>
      </c>
      <c r="D251" t="s">
        <v>113</v>
      </c>
      <c r="E251" t="s">
        <v>37</v>
      </c>
      <c r="F251" t="s">
        <v>61</v>
      </c>
      <c r="G251" t="s">
        <v>17</v>
      </c>
      <c r="H251" t="s">
        <v>77</v>
      </c>
      <c r="I251">
        <v>1</v>
      </c>
      <c r="J251" s="8">
        <v>42800</v>
      </c>
      <c r="K251">
        <v>15</v>
      </c>
      <c r="L251" t="s">
        <v>47</v>
      </c>
      <c r="M251" s="5">
        <f>Cleaned_Data[[#This Row],[Quantity]]*Cleaned_Data[[#This Row],[Unit_Price]]</f>
        <v>42800</v>
      </c>
      <c r="N251" s="7">
        <f>Cleaned_Data[[#This Row],[Total_sales]]*(Cleaned_Data[[#This Row],[Discount_Percent]]/100)</f>
        <v>6420</v>
      </c>
      <c r="O251" s="7">
        <f>Cleaned_Data[[#This Row],[Total_sales]]-Cleaned_Data[[#This Row],[Discount_Amount]]</f>
        <v>36380</v>
      </c>
      <c r="P251" t="str">
        <f>TEXT(Cleaned_Data[[#This Row],[Order_Date]],"MMM-YYYY")</f>
        <v>May-2023</v>
      </c>
      <c r="Q251" t="str">
        <f>"Q"&amp;ROUNDUP(MONTH(Cleaned_Data[[#This Row],[Order_Date]])/3,0)&amp;"-2023"</f>
        <v>Q2-2023</v>
      </c>
      <c r="R251" t="str">
        <f>TEXT(Cleaned_Data[[#This Row],[Order_Date]],"DDD")</f>
        <v>Mon</v>
      </c>
      <c r="S251" t="str">
        <f>IF(Cleaned_Data[[#This Row],[Net_Sales]]&gt;=100000,"High",IF(Cleaned_Data[[#This Row],[Net_Sales]]&gt;=50000,"Medium","Low"))</f>
        <v>Low</v>
      </c>
    </row>
    <row r="252" spans="1:19" x14ac:dyDescent="0.3">
      <c r="A252" t="s">
        <v>400</v>
      </c>
      <c r="B252" s="1">
        <v>45054</v>
      </c>
      <c r="C252" t="s">
        <v>185</v>
      </c>
      <c r="D252" t="s">
        <v>186</v>
      </c>
      <c r="E252" t="s">
        <v>37</v>
      </c>
      <c r="F252" t="s">
        <v>61</v>
      </c>
      <c r="G252" t="s">
        <v>39</v>
      </c>
      <c r="H252" t="s">
        <v>40</v>
      </c>
      <c r="I252">
        <v>1</v>
      </c>
      <c r="J252" s="8">
        <v>13600</v>
      </c>
      <c r="K252">
        <v>5</v>
      </c>
      <c r="L252" t="s">
        <v>73</v>
      </c>
      <c r="M252" s="5">
        <f>Cleaned_Data[[#This Row],[Quantity]]*Cleaned_Data[[#This Row],[Unit_Price]]</f>
        <v>13600</v>
      </c>
      <c r="N252" s="7">
        <f>Cleaned_Data[[#This Row],[Total_sales]]*(Cleaned_Data[[#This Row],[Discount_Percent]]/100)</f>
        <v>680</v>
      </c>
      <c r="O252" s="7">
        <f>Cleaned_Data[[#This Row],[Total_sales]]-Cleaned_Data[[#This Row],[Discount_Amount]]</f>
        <v>12920</v>
      </c>
      <c r="P252" t="str">
        <f>TEXT(Cleaned_Data[[#This Row],[Order_Date]],"MMM-YYYY")</f>
        <v>May-2023</v>
      </c>
      <c r="Q252" t="str">
        <f>"Q"&amp;ROUNDUP(MONTH(Cleaned_Data[[#This Row],[Order_Date]])/3,0)&amp;"-2023"</f>
        <v>Q2-2023</v>
      </c>
      <c r="R252" t="str">
        <f>TEXT(Cleaned_Data[[#This Row],[Order_Date]],"DDD")</f>
        <v>Mon</v>
      </c>
      <c r="S252" t="str">
        <f>IF(Cleaned_Data[[#This Row],[Net_Sales]]&gt;=100000,"High",IF(Cleaned_Data[[#This Row],[Net_Sales]]&gt;=50000,"Medium","Low"))</f>
        <v>Low</v>
      </c>
    </row>
    <row r="253" spans="1:19" x14ac:dyDescent="0.3">
      <c r="A253" t="s">
        <v>401</v>
      </c>
      <c r="B253" s="1">
        <v>45054</v>
      </c>
      <c r="C253" t="s">
        <v>236</v>
      </c>
      <c r="D253" t="s">
        <v>237</v>
      </c>
      <c r="E253" t="s">
        <v>23</v>
      </c>
      <c r="F253" t="s">
        <v>24</v>
      </c>
      <c r="G253" t="s">
        <v>17</v>
      </c>
      <c r="H253" t="s">
        <v>77</v>
      </c>
      <c r="I253">
        <v>1</v>
      </c>
      <c r="J253" s="8">
        <v>26900</v>
      </c>
      <c r="K253">
        <v>20</v>
      </c>
      <c r="L253" t="s">
        <v>19</v>
      </c>
      <c r="M253" s="5">
        <f>Cleaned_Data[[#This Row],[Quantity]]*Cleaned_Data[[#This Row],[Unit_Price]]</f>
        <v>26900</v>
      </c>
      <c r="N253" s="7">
        <f>Cleaned_Data[[#This Row],[Total_sales]]*(Cleaned_Data[[#This Row],[Discount_Percent]]/100)</f>
        <v>5380</v>
      </c>
      <c r="O253" s="7">
        <f>Cleaned_Data[[#This Row],[Total_sales]]-Cleaned_Data[[#This Row],[Discount_Amount]]</f>
        <v>21520</v>
      </c>
      <c r="P253" t="str">
        <f>TEXT(Cleaned_Data[[#This Row],[Order_Date]],"MMM-YYYY")</f>
        <v>May-2023</v>
      </c>
      <c r="Q253" t="str">
        <f>"Q"&amp;ROUNDUP(MONTH(Cleaned_Data[[#This Row],[Order_Date]])/3,0)&amp;"-2023"</f>
        <v>Q2-2023</v>
      </c>
      <c r="R253" t="str">
        <f>TEXT(Cleaned_Data[[#This Row],[Order_Date]],"DDD")</f>
        <v>Mon</v>
      </c>
      <c r="S253" t="str">
        <f>IF(Cleaned_Data[[#This Row],[Net_Sales]]&gt;=100000,"High",IF(Cleaned_Data[[#This Row],[Net_Sales]]&gt;=50000,"Medium","Low"))</f>
        <v>Low</v>
      </c>
    </row>
    <row r="254" spans="1:19" x14ac:dyDescent="0.3">
      <c r="A254" t="s">
        <v>402</v>
      </c>
      <c r="B254" s="1">
        <v>45085</v>
      </c>
      <c r="C254" t="s">
        <v>185</v>
      </c>
      <c r="D254" t="s">
        <v>186</v>
      </c>
      <c r="E254" t="s">
        <v>15</v>
      </c>
      <c r="F254" t="s">
        <v>128</v>
      </c>
      <c r="G254" t="s">
        <v>25</v>
      </c>
      <c r="H254" t="s">
        <v>32</v>
      </c>
      <c r="I254">
        <v>3</v>
      </c>
      <c r="J254" s="8">
        <v>2100</v>
      </c>
      <c r="K254">
        <v>25</v>
      </c>
      <c r="L254" t="s">
        <v>53</v>
      </c>
      <c r="M254" s="5">
        <f>Cleaned_Data[[#This Row],[Quantity]]*Cleaned_Data[[#This Row],[Unit_Price]]</f>
        <v>6300</v>
      </c>
      <c r="N254" s="7">
        <f>Cleaned_Data[[#This Row],[Total_sales]]*(Cleaned_Data[[#This Row],[Discount_Percent]]/100)</f>
        <v>1575</v>
      </c>
      <c r="O254" s="7">
        <f>Cleaned_Data[[#This Row],[Total_sales]]-Cleaned_Data[[#This Row],[Discount_Amount]]</f>
        <v>4725</v>
      </c>
      <c r="P254" t="str">
        <f>TEXT(Cleaned_Data[[#This Row],[Order_Date]],"MMM-YYYY")</f>
        <v>Jun-2023</v>
      </c>
      <c r="Q254" t="str">
        <f>"Q"&amp;ROUNDUP(MONTH(Cleaned_Data[[#This Row],[Order_Date]])/3,0)&amp;"-2023"</f>
        <v>Q2-2023</v>
      </c>
      <c r="R254" t="str">
        <f>TEXT(Cleaned_Data[[#This Row],[Order_Date]],"DDD")</f>
        <v>Thu</v>
      </c>
      <c r="S254" t="str">
        <f>IF(Cleaned_Data[[#This Row],[Net_Sales]]&gt;=100000,"High",IF(Cleaned_Data[[#This Row],[Net_Sales]]&gt;=50000,"Medium","Low"))</f>
        <v>Low</v>
      </c>
    </row>
    <row r="255" spans="1:19" x14ac:dyDescent="0.3">
      <c r="A255" t="s">
        <v>403</v>
      </c>
      <c r="B255" s="1">
        <v>45085</v>
      </c>
      <c r="C255" t="s">
        <v>147</v>
      </c>
      <c r="D255" t="s">
        <v>148</v>
      </c>
      <c r="E255" t="s">
        <v>66</v>
      </c>
      <c r="F255" t="s">
        <v>72</v>
      </c>
      <c r="G255" t="s">
        <v>97</v>
      </c>
      <c r="H255" t="s">
        <v>174</v>
      </c>
      <c r="I255">
        <v>1</v>
      </c>
      <c r="J255" s="8">
        <v>53000</v>
      </c>
      <c r="K255">
        <v>10</v>
      </c>
      <c r="L255" t="s">
        <v>19</v>
      </c>
      <c r="M255" s="5">
        <f>Cleaned_Data[[#This Row],[Quantity]]*Cleaned_Data[[#This Row],[Unit_Price]]</f>
        <v>53000</v>
      </c>
      <c r="N255" s="7">
        <f>Cleaned_Data[[#This Row],[Total_sales]]*(Cleaned_Data[[#This Row],[Discount_Percent]]/100)</f>
        <v>5300</v>
      </c>
      <c r="O255" s="7">
        <f>Cleaned_Data[[#This Row],[Total_sales]]-Cleaned_Data[[#This Row],[Discount_Amount]]</f>
        <v>47700</v>
      </c>
      <c r="P255" t="str">
        <f>TEXT(Cleaned_Data[[#This Row],[Order_Date]],"MMM-YYYY")</f>
        <v>Jun-2023</v>
      </c>
      <c r="Q255" t="str">
        <f>"Q"&amp;ROUNDUP(MONTH(Cleaned_Data[[#This Row],[Order_Date]])/3,0)&amp;"-2023"</f>
        <v>Q2-2023</v>
      </c>
      <c r="R255" t="str">
        <f>TEXT(Cleaned_Data[[#This Row],[Order_Date]],"DDD")</f>
        <v>Thu</v>
      </c>
      <c r="S255" t="str">
        <f>IF(Cleaned_Data[[#This Row],[Net_Sales]]&gt;=100000,"High",IF(Cleaned_Data[[#This Row],[Net_Sales]]&gt;=50000,"Medium","Low"))</f>
        <v>Low</v>
      </c>
    </row>
    <row r="256" spans="1:19" x14ac:dyDescent="0.3">
      <c r="A256" t="s">
        <v>404</v>
      </c>
      <c r="B256" s="1">
        <v>45085</v>
      </c>
      <c r="C256" t="s">
        <v>130</v>
      </c>
      <c r="D256" t="s">
        <v>53</v>
      </c>
      <c r="E256" t="s">
        <v>15</v>
      </c>
      <c r="F256" t="s">
        <v>119</v>
      </c>
      <c r="G256" t="s">
        <v>45</v>
      </c>
      <c r="H256" t="s">
        <v>46</v>
      </c>
      <c r="I256">
        <v>1</v>
      </c>
      <c r="J256" s="8">
        <v>30500</v>
      </c>
      <c r="K256">
        <v>20</v>
      </c>
      <c r="L256" t="s">
        <v>27</v>
      </c>
      <c r="M256" s="5">
        <f>Cleaned_Data[[#This Row],[Quantity]]*Cleaned_Data[[#This Row],[Unit_Price]]</f>
        <v>30500</v>
      </c>
      <c r="N256" s="7">
        <f>Cleaned_Data[[#This Row],[Total_sales]]*(Cleaned_Data[[#This Row],[Discount_Percent]]/100)</f>
        <v>6100</v>
      </c>
      <c r="O256" s="7">
        <f>Cleaned_Data[[#This Row],[Total_sales]]-Cleaned_Data[[#This Row],[Discount_Amount]]</f>
        <v>24400</v>
      </c>
      <c r="P256" t="str">
        <f>TEXT(Cleaned_Data[[#This Row],[Order_Date]],"MMM-YYYY")</f>
        <v>Jun-2023</v>
      </c>
      <c r="Q256" t="str">
        <f>"Q"&amp;ROUNDUP(MONTH(Cleaned_Data[[#This Row],[Order_Date]])/3,0)&amp;"-2023"</f>
        <v>Q2-2023</v>
      </c>
      <c r="R256" t="str">
        <f>TEXT(Cleaned_Data[[#This Row],[Order_Date]],"DDD")</f>
        <v>Thu</v>
      </c>
      <c r="S256" t="str">
        <f>IF(Cleaned_Data[[#This Row],[Net_Sales]]&gt;=100000,"High",IF(Cleaned_Data[[#This Row],[Net_Sales]]&gt;=50000,"Medium","Low"))</f>
        <v>Low</v>
      </c>
    </row>
    <row r="257" spans="1:19" x14ac:dyDescent="0.3">
      <c r="A257" t="s">
        <v>405</v>
      </c>
      <c r="B257" s="1">
        <v>45115</v>
      </c>
      <c r="C257" t="s">
        <v>250</v>
      </c>
      <c r="D257" t="s">
        <v>251</v>
      </c>
      <c r="E257" t="s">
        <v>81</v>
      </c>
      <c r="F257" t="s">
        <v>117</v>
      </c>
      <c r="G257" t="s">
        <v>25</v>
      </c>
      <c r="H257" t="s">
        <v>32</v>
      </c>
      <c r="I257">
        <v>2</v>
      </c>
      <c r="J257" s="8">
        <v>2200</v>
      </c>
      <c r="K257">
        <v>0</v>
      </c>
      <c r="L257" t="s">
        <v>103</v>
      </c>
      <c r="M257" s="5">
        <f>Cleaned_Data[[#This Row],[Quantity]]*Cleaned_Data[[#This Row],[Unit_Price]]</f>
        <v>4400</v>
      </c>
      <c r="N257" s="7">
        <f>Cleaned_Data[[#This Row],[Total_sales]]*(Cleaned_Data[[#This Row],[Discount_Percent]]/100)</f>
        <v>0</v>
      </c>
      <c r="O257" s="7">
        <f>Cleaned_Data[[#This Row],[Total_sales]]-Cleaned_Data[[#This Row],[Discount_Amount]]</f>
        <v>4400</v>
      </c>
      <c r="P257" t="str">
        <f>TEXT(Cleaned_Data[[#This Row],[Order_Date]],"MMM-YYYY")</f>
        <v>Jul-2023</v>
      </c>
      <c r="Q257" t="str">
        <f>"Q"&amp;ROUNDUP(MONTH(Cleaned_Data[[#This Row],[Order_Date]])/3,0)&amp;"-2023"</f>
        <v>Q3-2023</v>
      </c>
      <c r="R257" t="str">
        <f>TEXT(Cleaned_Data[[#This Row],[Order_Date]],"DDD")</f>
        <v>Sat</v>
      </c>
      <c r="S257" t="str">
        <f>IF(Cleaned_Data[[#This Row],[Net_Sales]]&gt;=100000,"High",IF(Cleaned_Data[[#This Row],[Net_Sales]]&gt;=50000,"Medium","Low"))</f>
        <v>Low</v>
      </c>
    </row>
    <row r="258" spans="1:19" x14ac:dyDescent="0.3">
      <c r="A258" t="s">
        <v>406</v>
      </c>
      <c r="B258" s="1">
        <v>45146</v>
      </c>
      <c r="C258" t="s">
        <v>143</v>
      </c>
      <c r="D258" t="s">
        <v>144</v>
      </c>
      <c r="E258" t="s">
        <v>81</v>
      </c>
      <c r="F258" t="s">
        <v>160</v>
      </c>
      <c r="G258" t="s">
        <v>25</v>
      </c>
      <c r="H258" t="s">
        <v>124</v>
      </c>
      <c r="I258">
        <v>2</v>
      </c>
      <c r="J258" s="8">
        <v>600</v>
      </c>
      <c r="K258">
        <v>0</v>
      </c>
      <c r="L258" t="s">
        <v>33</v>
      </c>
      <c r="M258" s="5">
        <f>Cleaned_Data[[#This Row],[Quantity]]*Cleaned_Data[[#This Row],[Unit_Price]]</f>
        <v>1200</v>
      </c>
      <c r="N258" s="7">
        <f>Cleaned_Data[[#This Row],[Total_sales]]*(Cleaned_Data[[#This Row],[Discount_Percent]]/100)</f>
        <v>0</v>
      </c>
      <c r="O258" s="7">
        <f>Cleaned_Data[[#This Row],[Total_sales]]-Cleaned_Data[[#This Row],[Discount_Amount]]</f>
        <v>1200</v>
      </c>
      <c r="P258" t="str">
        <f>TEXT(Cleaned_Data[[#This Row],[Order_Date]],"MMM-YYYY")</f>
        <v>Aug-2023</v>
      </c>
      <c r="Q258" t="str">
        <f>"Q"&amp;ROUNDUP(MONTH(Cleaned_Data[[#This Row],[Order_Date]])/3,0)&amp;"-2023"</f>
        <v>Q3-2023</v>
      </c>
      <c r="R258" t="str">
        <f>TEXT(Cleaned_Data[[#This Row],[Order_Date]],"DDD")</f>
        <v>Tue</v>
      </c>
      <c r="S258" t="str">
        <f>IF(Cleaned_Data[[#This Row],[Net_Sales]]&gt;=100000,"High",IF(Cleaned_Data[[#This Row],[Net_Sales]]&gt;=50000,"Medium","Low"))</f>
        <v>Low</v>
      </c>
    </row>
    <row r="259" spans="1:19" x14ac:dyDescent="0.3">
      <c r="A259" t="s">
        <v>407</v>
      </c>
      <c r="B259" s="1">
        <v>45146</v>
      </c>
      <c r="C259" t="s">
        <v>143</v>
      </c>
      <c r="D259" t="s">
        <v>144</v>
      </c>
      <c r="E259" t="s">
        <v>81</v>
      </c>
      <c r="F259" t="s">
        <v>117</v>
      </c>
      <c r="G259" t="s">
        <v>17</v>
      </c>
      <c r="H259" t="s">
        <v>168</v>
      </c>
      <c r="I259">
        <v>1</v>
      </c>
      <c r="J259" s="8">
        <v>29600</v>
      </c>
      <c r="K259">
        <v>0</v>
      </c>
      <c r="L259" t="s">
        <v>47</v>
      </c>
      <c r="M259" s="5">
        <f>Cleaned_Data[[#This Row],[Quantity]]*Cleaned_Data[[#This Row],[Unit_Price]]</f>
        <v>29600</v>
      </c>
      <c r="N259" s="7">
        <f>Cleaned_Data[[#This Row],[Total_sales]]*(Cleaned_Data[[#This Row],[Discount_Percent]]/100)</f>
        <v>0</v>
      </c>
      <c r="O259" s="7">
        <f>Cleaned_Data[[#This Row],[Total_sales]]-Cleaned_Data[[#This Row],[Discount_Amount]]</f>
        <v>29600</v>
      </c>
      <c r="P259" t="str">
        <f>TEXT(Cleaned_Data[[#This Row],[Order_Date]],"MMM-YYYY")</f>
        <v>Aug-2023</v>
      </c>
      <c r="Q259" t="str">
        <f>"Q"&amp;ROUNDUP(MONTH(Cleaned_Data[[#This Row],[Order_Date]])/3,0)&amp;"-2023"</f>
        <v>Q3-2023</v>
      </c>
      <c r="R259" t="str">
        <f>TEXT(Cleaned_Data[[#This Row],[Order_Date]],"DDD")</f>
        <v>Tue</v>
      </c>
      <c r="S259" t="str">
        <f>IF(Cleaned_Data[[#This Row],[Net_Sales]]&gt;=100000,"High",IF(Cleaned_Data[[#This Row],[Net_Sales]]&gt;=50000,"Medium","Low"))</f>
        <v>Low</v>
      </c>
    </row>
    <row r="260" spans="1:19" x14ac:dyDescent="0.3">
      <c r="A260" t="s">
        <v>408</v>
      </c>
      <c r="B260" s="1">
        <v>45177</v>
      </c>
      <c r="C260" t="s">
        <v>284</v>
      </c>
      <c r="D260" t="s">
        <v>285</v>
      </c>
      <c r="E260" t="s">
        <v>66</v>
      </c>
      <c r="F260" t="s">
        <v>67</v>
      </c>
      <c r="G260" t="s">
        <v>39</v>
      </c>
      <c r="H260" t="s">
        <v>40</v>
      </c>
      <c r="I260">
        <v>1</v>
      </c>
      <c r="J260" s="8">
        <v>27800</v>
      </c>
      <c r="K260">
        <v>15</v>
      </c>
      <c r="L260" t="s">
        <v>73</v>
      </c>
      <c r="M260" s="5">
        <f>Cleaned_Data[[#This Row],[Quantity]]*Cleaned_Data[[#This Row],[Unit_Price]]</f>
        <v>27800</v>
      </c>
      <c r="N260" s="7">
        <f>Cleaned_Data[[#This Row],[Total_sales]]*(Cleaned_Data[[#This Row],[Discount_Percent]]/100)</f>
        <v>4170</v>
      </c>
      <c r="O260" s="7">
        <f>Cleaned_Data[[#This Row],[Total_sales]]-Cleaned_Data[[#This Row],[Discount_Amount]]</f>
        <v>23630</v>
      </c>
      <c r="P260" t="str">
        <f>TEXT(Cleaned_Data[[#This Row],[Order_Date]],"MMM-YYYY")</f>
        <v>Sep-2023</v>
      </c>
      <c r="Q260" t="str">
        <f>"Q"&amp;ROUNDUP(MONTH(Cleaned_Data[[#This Row],[Order_Date]])/3,0)&amp;"-2023"</f>
        <v>Q3-2023</v>
      </c>
      <c r="R260" t="str">
        <f>TEXT(Cleaned_Data[[#This Row],[Order_Date]],"DDD")</f>
        <v>Fri</v>
      </c>
      <c r="S260" t="str">
        <f>IF(Cleaned_Data[[#This Row],[Net_Sales]]&gt;=100000,"High",IF(Cleaned_Data[[#This Row],[Net_Sales]]&gt;=50000,"Medium","Low"))</f>
        <v>Low</v>
      </c>
    </row>
    <row r="261" spans="1:19" x14ac:dyDescent="0.3">
      <c r="A261" t="s">
        <v>409</v>
      </c>
      <c r="B261" s="1">
        <v>45177</v>
      </c>
      <c r="C261" t="s">
        <v>188</v>
      </c>
      <c r="D261" t="s">
        <v>189</v>
      </c>
      <c r="E261" t="s">
        <v>81</v>
      </c>
      <c r="F261" t="s">
        <v>82</v>
      </c>
      <c r="G261" t="s">
        <v>39</v>
      </c>
      <c r="H261" t="s">
        <v>68</v>
      </c>
      <c r="I261">
        <v>1</v>
      </c>
      <c r="J261" s="8">
        <v>23400</v>
      </c>
      <c r="K261">
        <v>0</v>
      </c>
      <c r="L261" t="s">
        <v>27</v>
      </c>
      <c r="M261" s="5">
        <f>Cleaned_Data[[#This Row],[Quantity]]*Cleaned_Data[[#This Row],[Unit_Price]]</f>
        <v>23400</v>
      </c>
      <c r="N261" s="7">
        <f>Cleaned_Data[[#This Row],[Total_sales]]*(Cleaned_Data[[#This Row],[Discount_Percent]]/100)</f>
        <v>0</v>
      </c>
      <c r="O261" s="7">
        <f>Cleaned_Data[[#This Row],[Total_sales]]-Cleaned_Data[[#This Row],[Discount_Amount]]</f>
        <v>23400</v>
      </c>
      <c r="P261" t="str">
        <f>TEXT(Cleaned_Data[[#This Row],[Order_Date]],"MMM-YYYY")</f>
        <v>Sep-2023</v>
      </c>
      <c r="Q261" t="str">
        <f>"Q"&amp;ROUNDUP(MONTH(Cleaned_Data[[#This Row],[Order_Date]])/3,0)&amp;"-2023"</f>
        <v>Q3-2023</v>
      </c>
      <c r="R261" t="str">
        <f>TEXT(Cleaned_Data[[#This Row],[Order_Date]],"DDD")</f>
        <v>Fri</v>
      </c>
      <c r="S261" t="str">
        <f>IF(Cleaned_Data[[#This Row],[Net_Sales]]&gt;=100000,"High",IF(Cleaned_Data[[#This Row],[Net_Sales]]&gt;=50000,"Medium","Low"))</f>
        <v>Low</v>
      </c>
    </row>
    <row r="262" spans="1:19" x14ac:dyDescent="0.3">
      <c r="A262" t="s">
        <v>410</v>
      </c>
      <c r="B262" s="1">
        <v>45177</v>
      </c>
      <c r="C262" t="s">
        <v>21</v>
      </c>
      <c r="D262" t="s">
        <v>22</v>
      </c>
      <c r="E262" t="s">
        <v>81</v>
      </c>
      <c r="F262" t="s">
        <v>117</v>
      </c>
      <c r="G262" t="s">
        <v>17</v>
      </c>
      <c r="H262" t="s">
        <v>168</v>
      </c>
      <c r="I262">
        <v>1</v>
      </c>
      <c r="J262" s="8">
        <v>42000</v>
      </c>
      <c r="K262">
        <v>15</v>
      </c>
      <c r="L262" t="s">
        <v>103</v>
      </c>
      <c r="M262" s="5">
        <f>Cleaned_Data[[#This Row],[Quantity]]*Cleaned_Data[[#This Row],[Unit_Price]]</f>
        <v>42000</v>
      </c>
      <c r="N262" s="7">
        <f>Cleaned_Data[[#This Row],[Total_sales]]*(Cleaned_Data[[#This Row],[Discount_Percent]]/100)</f>
        <v>6300</v>
      </c>
      <c r="O262" s="7">
        <f>Cleaned_Data[[#This Row],[Total_sales]]-Cleaned_Data[[#This Row],[Discount_Amount]]</f>
        <v>35700</v>
      </c>
      <c r="P262" t="str">
        <f>TEXT(Cleaned_Data[[#This Row],[Order_Date]],"MMM-YYYY")</f>
        <v>Sep-2023</v>
      </c>
      <c r="Q262" t="str">
        <f>"Q"&amp;ROUNDUP(MONTH(Cleaned_Data[[#This Row],[Order_Date]])/3,0)&amp;"-2023"</f>
        <v>Q3-2023</v>
      </c>
      <c r="R262" t="str">
        <f>TEXT(Cleaned_Data[[#This Row],[Order_Date]],"DDD")</f>
        <v>Fri</v>
      </c>
      <c r="S262" t="str">
        <f>IF(Cleaned_Data[[#This Row],[Net_Sales]]&gt;=100000,"High",IF(Cleaned_Data[[#This Row],[Net_Sales]]&gt;=50000,"Medium","Low"))</f>
        <v>Low</v>
      </c>
    </row>
    <row r="263" spans="1:19" x14ac:dyDescent="0.3">
      <c r="A263" t="s">
        <v>411</v>
      </c>
      <c r="B263" s="1">
        <v>45177</v>
      </c>
      <c r="C263" t="s">
        <v>84</v>
      </c>
      <c r="D263" t="s">
        <v>85</v>
      </c>
      <c r="E263" t="s">
        <v>66</v>
      </c>
      <c r="F263" t="s">
        <v>72</v>
      </c>
      <c r="G263" t="s">
        <v>25</v>
      </c>
      <c r="H263" t="s">
        <v>124</v>
      </c>
      <c r="I263">
        <v>2</v>
      </c>
      <c r="J263" s="8">
        <v>1800</v>
      </c>
      <c r="K263">
        <v>25</v>
      </c>
      <c r="L263" t="s">
        <v>27</v>
      </c>
      <c r="M263" s="5">
        <f>Cleaned_Data[[#This Row],[Quantity]]*Cleaned_Data[[#This Row],[Unit_Price]]</f>
        <v>3600</v>
      </c>
      <c r="N263" s="7">
        <f>Cleaned_Data[[#This Row],[Total_sales]]*(Cleaned_Data[[#This Row],[Discount_Percent]]/100)</f>
        <v>900</v>
      </c>
      <c r="O263" s="7">
        <f>Cleaned_Data[[#This Row],[Total_sales]]-Cleaned_Data[[#This Row],[Discount_Amount]]</f>
        <v>2700</v>
      </c>
      <c r="P263" t="str">
        <f>TEXT(Cleaned_Data[[#This Row],[Order_Date]],"MMM-YYYY")</f>
        <v>Sep-2023</v>
      </c>
      <c r="Q263" t="str">
        <f>"Q"&amp;ROUNDUP(MONTH(Cleaned_Data[[#This Row],[Order_Date]])/3,0)&amp;"-2023"</f>
        <v>Q3-2023</v>
      </c>
      <c r="R263" t="str">
        <f>TEXT(Cleaned_Data[[#This Row],[Order_Date]],"DDD")</f>
        <v>Fri</v>
      </c>
      <c r="S263" t="str">
        <f>IF(Cleaned_Data[[#This Row],[Net_Sales]]&gt;=100000,"High",IF(Cleaned_Data[[#This Row],[Net_Sales]]&gt;=50000,"Medium","Low"))</f>
        <v>Low</v>
      </c>
    </row>
    <row r="264" spans="1:19" x14ac:dyDescent="0.3">
      <c r="A264" t="s">
        <v>412</v>
      </c>
      <c r="B264" s="1">
        <v>45177</v>
      </c>
      <c r="C264" t="s">
        <v>115</v>
      </c>
      <c r="D264" t="s">
        <v>116</v>
      </c>
      <c r="E264" t="s">
        <v>23</v>
      </c>
      <c r="F264" t="s">
        <v>44</v>
      </c>
      <c r="G264" t="s">
        <v>45</v>
      </c>
      <c r="H264" t="s">
        <v>156</v>
      </c>
      <c r="I264">
        <v>1</v>
      </c>
      <c r="J264" s="8">
        <v>28800</v>
      </c>
      <c r="K264">
        <v>0</v>
      </c>
      <c r="L264" t="s">
        <v>62</v>
      </c>
      <c r="M264" s="5">
        <f>Cleaned_Data[[#This Row],[Quantity]]*Cleaned_Data[[#This Row],[Unit_Price]]</f>
        <v>28800</v>
      </c>
      <c r="N264" s="7">
        <f>Cleaned_Data[[#This Row],[Total_sales]]*(Cleaned_Data[[#This Row],[Discount_Percent]]/100)</f>
        <v>0</v>
      </c>
      <c r="O264" s="7">
        <f>Cleaned_Data[[#This Row],[Total_sales]]-Cleaned_Data[[#This Row],[Discount_Amount]]</f>
        <v>28800</v>
      </c>
      <c r="P264" t="str">
        <f>TEXT(Cleaned_Data[[#This Row],[Order_Date]],"MMM-YYYY")</f>
        <v>Sep-2023</v>
      </c>
      <c r="Q264" t="str">
        <f>"Q"&amp;ROUNDUP(MONTH(Cleaned_Data[[#This Row],[Order_Date]])/3,0)&amp;"-2023"</f>
        <v>Q3-2023</v>
      </c>
      <c r="R264" t="str">
        <f>TEXT(Cleaned_Data[[#This Row],[Order_Date]],"DDD")</f>
        <v>Fri</v>
      </c>
      <c r="S264" t="str">
        <f>IF(Cleaned_Data[[#This Row],[Net_Sales]]&gt;=100000,"High",IF(Cleaned_Data[[#This Row],[Net_Sales]]&gt;=50000,"Medium","Low"))</f>
        <v>Low</v>
      </c>
    </row>
    <row r="265" spans="1:19" x14ac:dyDescent="0.3">
      <c r="A265" t="s">
        <v>413</v>
      </c>
      <c r="B265" s="1">
        <v>45207</v>
      </c>
      <c r="C265" t="s">
        <v>64</v>
      </c>
      <c r="D265" t="s">
        <v>65</v>
      </c>
      <c r="E265" t="s">
        <v>81</v>
      </c>
      <c r="F265" t="s">
        <v>117</v>
      </c>
      <c r="G265" t="s">
        <v>97</v>
      </c>
      <c r="H265" t="s">
        <v>171</v>
      </c>
      <c r="I265">
        <v>1</v>
      </c>
      <c r="J265" s="8">
        <v>37700</v>
      </c>
      <c r="K265">
        <v>0</v>
      </c>
      <c r="L265" t="s">
        <v>53</v>
      </c>
      <c r="M265" s="5">
        <f>Cleaned_Data[[#This Row],[Quantity]]*Cleaned_Data[[#This Row],[Unit_Price]]</f>
        <v>37700</v>
      </c>
      <c r="N265" s="7">
        <f>Cleaned_Data[[#This Row],[Total_sales]]*(Cleaned_Data[[#This Row],[Discount_Percent]]/100)</f>
        <v>0</v>
      </c>
      <c r="O265" s="7">
        <f>Cleaned_Data[[#This Row],[Total_sales]]-Cleaned_Data[[#This Row],[Discount_Amount]]</f>
        <v>37700</v>
      </c>
      <c r="P265" t="str">
        <f>TEXT(Cleaned_Data[[#This Row],[Order_Date]],"MMM-YYYY")</f>
        <v>Oct-2023</v>
      </c>
      <c r="Q265" t="str">
        <f>"Q"&amp;ROUNDUP(MONTH(Cleaned_Data[[#This Row],[Order_Date]])/3,0)&amp;"-2023"</f>
        <v>Q4-2023</v>
      </c>
      <c r="R265" t="str">
        <f>TEXT(Cleaned_Data[[#This Row],[Order_Date]],"DDD")</f>
        <v>Sun</v>
      </c>
      <c r="S265" t="str">
        <f>IF(Cleaned_Data[[#This Row],[Net_Sales]]&gt;=100000,"High",IF(Cleaned_Data[[#This Row],[Net_Sales]]&gt;=50000,"Medium","Low"))</f>
        <v>Low</v>
      </c>
    </row>
    <row r="266" spans="1:19" x14ac:dyDescent="0.3">
      <c r="A266" t="s">
        <v>414</v>
      </c>
      <c r="B266" s="1">
        <v>45238</v>
      </c>
      <c r="C266" t="s">
        <v>95</v>
      </c>
      <c r="D266" t="s">
        <v>96</v>
      </c>
      <c r="E266" t="s">
        <v>81</v>
      </c>
      <c r="F266" t="s">
        <v>82</v>
      </c>
      <c r="G266" t="s">
        <v>17</v>
      </c>
      <c r="H266" t="s">
        <v>168</v>
      </c>
      <c r="I266">
        <v>1</v>
      </c>
      <c r="J266" s="8">
        <v>46400</v>
      </c>
      <c r="K266">
        <v>5</v>
      </c>
      <c r="L266" t="s">
        <v>53</v>
      </c>
      <c r="M266" s="5">
        <f>Cleaned_Data[[#This Row],[Quantity]]*Cleaned_Data[[#This Row],[Unit_Price]]</f>
        <v>46400</v>
      </c>
      <c r="N266" s="7">
        <f>Cleaned_Data[[#This Row],[Total_sales]]*(Cleaned_Data[[#This Row],[Discount_Percent]]/100)</f>
        <v>2320</v>
      </c>
      <c r="O266" s="7">
        <f>Cleaned_Data[[#This Row],[Total_sales]]-Cleaned_Data[[#This Row],[Discount_Amount]]</f>
        <v>44080</v>
      </c>
      <c r="P266" t="str">
        <f>TEXT(Cleaned_Data[[#This Row],[Order_Date]],"MMM-YYYY")</f>
        <v>Nov-2023</v>
      </c>
      <c r="Q266" t="str">
        <f>"Q"&amp;ROUNDUP(MONTH(Cleaned_Data[[#This Row],[Order_Date]])/3,0)&amp;"-2023"</f>
        <v>Q4-2023</v>
      </c>
      <c r="R266" t="str">
        <f>TEXT(Cleaned_Data[[#This Row],[Order_Date]],"DDD")</f>
        <v>Wed</v>
      </c>
      <c r="S266" t="str">
        <f>IF(Cleaned_Data[[#This Row],[Net_Sales]]&gt;=100000,"High",IF(Cleaned_Data[[#This Row],[Net_Sales]]&gt;=50000,"Medium","Low"))</f>
        <v>Low</v>
      </c>
    </row>
    <row r="267" spans="1:19" x14ac:dyDescent="0.3">
      <c r="A267" t="s">
        <v>415</v>
      </c>
      <c r="B267" s="1">
        <v>45238</v>
      </c>
      <c r="C267" t="s">
        <v>232</v>
      </c>
      <c r="D267" t="s">
        <v>233</v>
      </c>
      <c r="E267" t="s">
        <v>37</v>
      </c>
      <c r="F267" t="s">
        <v>38</v>
      </c>
      <c r="G267" t="s">
        <v>17</v>
      </c>
      <c r="H267" t="s">
        <v>77</v>
      </c>
      <c r="I267">
        <v>1</v>
      </c>
      <c r="J267" s="8">
        <v>21600</v>
      </c>
      <c r="K267">
        <v>10</v>
      </c>
      <c r="L267" t="s">
        <v>33</v>
      </c>
      <c r="M267" s="5">
        <f>Cleaned_Data[[#This Row],[Quantity]]*Cleaned_Data[[#This Row],[Unit_Price]]</f>
        <v>21600</v>
      </c>
      <c r="N267" s="7">
        <f>Cleaned_Data[[#This Row],[Total_sales]]*(Cleaned_Data[[#This Row],[Discount_Percent]]/100)</f>
        <v>2160</v>
      </c>
      <c r="O267" s="7">
        <f>Cleaned_Data[[#This Row],[Total_sales]]-Cleaned_Data[[#This Row],[Discount_Amount]]</f>
        <v>19440</v>
      </c>
      <c r="P267" t="str">
        <f>TEXT(Cleaned_Data[[#This Row],[Order_Date]],"MMM-YYYY")</f>
        <v>Nov-2023</v>
      </c>
      <c r="Q267" t="str">
        <f>"Q"&amp;ROUNDUP(MONTH(Cleaned_Data[[#This Row],[Order_Date]])/3,0)&amp;"-2023"</f>
        <v>Q4-2023</v>
      </c>
      <c r="R267" t="str">
        <f>TEXT(Cleaned_Data[[#This Row],[Order_Date]],"DDD")</f>
        <v>Wed</v>
      </c>
      <c r="S267" t="str">
        <f>IF(Cleaned_Data[[#This Row],[Net_Sales]]&gt;=100000,"High",IF(Cleaned_Data[[#This Row],[Net_Sales]]&gt;=50000,"Medium","Low"))</f>
        <v>Low</v>
      </c>
    </row>
    <row r="268" spans="1:19" x14ac:dyDescent="0.3">
      <c r="A268" t="s">
        <v>416</v>
      </c>
      <c r="B268" s="1">
        <v>45268</v>
      </c>
      <c r="C268" t="s">
        <v>185</v>
      </c>
      <c r="D268" t="s">
        <v>186</v>
      </c>
      <c r="E268" t="s">
        <v>81</v>
      </c>
      <c r="F268" t="s">
        <v>82</v>
      </c>
      <c r="G268" t="s">
        <v>39</v>
      </c>
      <c r="H268" t="s">
        <v>40</v>
      </c>
      <c r="I268">
        <v>1</v>
      </c>
      <c r="J268" s="8">
        <v>25600</v>
      </c>
      <c r="K268">
        <v>5</v>
      </c>
      <c r="L268" t="s">
        <v>62</v>
      </c>
      <c r="M268" s="5">
        <f>Cleaned_Data[[#This Row],[Quantity]]*Cleaned_Data[[#This Row],[Unit_Price]]</f>
        <v>25600</v>
      </c>
      <c r="N268" s="7">
        <f>Cleaned_Data[[#This Row],[Total_sales]]*(Cleaned_Data[[#This Row],[Discount_Percent]]/100)</f>
        <v>1280</v>
      </c>
      <c r="O268" s="7">
        <f>Cleaned_Data[[#This Row],[Total_sales]]-Cleaned_Data[[#This Row],[Discount_Amount]]</f>
        <v>24320</v>
      </c>
      <c r="P268" t="str">
        <f>TEXT(Cleaned_Data[[#This Row],[Order_Date]],"MMM-YYYY")</f>
        <v>Dec-2023</v>
      </c>
      <c r="Q268" t="str">
        <f>"Q"&amp;ROUNDUP(MONTH(Cleaned_Data[[#This Row],[Order_Date]])/3,0)&amp;"-2023"</f>
        <v>Q4-2023</v>
      </c>
      <c r="R268" t="str">
        <f>TEXT(Cleaned_Data[[#This Row],[Order_Date]],"DDD")</f>
        <v>Fri</v>
      </c>
      <c r="S268" t="str">
        <f>IF(Cleaned_Data[[#This Row],[Net_Sales]]&gt;=100000,"High",IF(Cleaned_Data[[#This Row],[Net_Sales]]&gt;=50000,"Medium","Low"))</f>
        <v>Low</v>
      </c>
    </row>
    <row r="269" spans="1:19" x14ac:dyDescent="0.3">
      <c r="A269" t="s">
        <v>417</v>
      </c>
      <c r="B269" s="1">
        <v>45268</v>
      </c>
      <c r="C269" t="s">
        <v>185</v>
      </c>
      <c r="D269" t="s">
        <v>186</v>
      </c>
      <c r="E269" t="s">
        <v>37</v>
      </c>
      <c r="F269" t="s">
        <v>101</v>
      </c>
      <c r="G269" t="s">
        <v>97</v>
      </c>
      <c r="H269" t="s">
        <v>171</v>
      </c>
      <c r="I269">
        <v>1</v>
      </c>
      <c r="J269" s="8">
        <v>69700</v>
      </c>
      <c r="K269">
        <v>0</v>
      </c>
      <c r="L269" t="s">
        <v>73</v>
      </c>
      <c r="M269" s="5">
        <f>Cleaned_Data[[#This Row],[Quantity]]*Cleaned_Data[[#This Row],[Unit_Price]]</f>
        <v>69700</v>
      </c>
      <c r="N269" s="7">
        <f>Cleaned_Data[[#This Row],[Total_sales]]*(Cleaned_Data[[#This Row],[Discount_Percent]]/100)</f>
        <v>0</v>
      </c>
      <c r="O269" s="7">
        <f>Cleaned_Data[[#This Row],[Total_sales]]-Cleaned_Data[[#This Row],[Discount_Amount]]</f>
        <v>69700</v>
      </c>
      <c r="P269" t="str">
        <f>TEXT(Cleaned_Data[[#This Row],[Order_Date]],"MMM-YYYY")</f>
        <v>Dec-2023</v>
      </c>
      <c r="Q269" t="str">
        <f>"Q"&amp;ROUNDUP(MONTH(Cleaned_Data[[#This Row],[Order_Date]])/3,0)&amp;"-2023"</f>
        <v>Q4-2023</v>
      </c>
      <c r="R269" t="str">
        <f>TEXT(Cleaned_Data[[#This Row],[Order_Date]],"DDD")</f>
        <v>Fri</v>
      </c>
      <c r="S269" t="str">
        <f>IF(Cleaned_Data[[#This Row],[Net_Sales]]&gt;=100000,"High",IF(Cleaned_Data[[#This Row],[Net_Sales]]&gt;=50000,"Medium","Low"))</f>
        <v>Medium</v>
      </c>
    </row>
    <row r="270" spans="1:19" x14ac:dyDescent="0.3">
      <c r="A270" t="s">
        <v>418</v>
      </c>
      <c r="B270" s="1">
        <v>44935</v>
      </c>
      <c r="C270" t="s">
        <v>79</v>
      </c>
      <c r="D270" t="s">
        <v>80</v>
      </c>
      <c r="E270" t="s">
        <v>23</v>
      </c>
      <c r="F270" t="s">
        <v>31</v>
      </c>
      <c r="G270" t="s">
        <v>97</v>
      </c>
      <c r="H270" t="s">
        <v>98</v>
      </c>
      <c r="I270">
        <v>1</v>
      </c>
      <c r="J270" s="8">
        <v>48000</v>
      </c>
      <c r="K270">
        <v>0</v>
      </c>
      <c r="L270" t="s">
        <v>19</v>
      </c>
      <c r="M270" s="5">
        <f>Cleaned_Data[[#This Row],[Quantity]]*Cleaned_Data[[#This Row],[Unit_Price]]</f>
        <v>48000</v>
      </c>
      <c r="N270" s="7">
        <f>Cleaned_Data[[#This Row],[Total_sales]]*(Cleaned_Data[[#This Row],[Discount_Percent]]/100)</f>
        <v>0</v>
      </c>
      <c r="O270" s="7">
        <f>Cleaned_Data[[#This Row],[Total_sales]]-Cleaned_Data[[#This Row],[Discount_Amount]]</f>
        <v>48000</v>
      </c>
      <c r="P270" t="str">
        <f>TEXT(Cleaned_Data[[#This Row],[Order_Date]],"MMM-YYYY")</f>
        <v>Jan-2023</v>
      </c>
      <c r="Q270" t="str">
        <f>"Q"&amp;ROUNDUP(MONTH(Cleaned_Data[[#This Row],[Order_Date]])/3,0)&amp;"-2023"</f>
        <v>Q1-2023</v>
      </c>
      <c r="R270" t="str">
        <f>TEXT(Cleaned_Data[[#This Row],[Order_Date]],"DDD")</f>
        <v>Mon</v>
      </c>
      <c r="S270" t="str">
        <f>IF(Cleaned_Data[[#This Row],[Net_Sales]]&gt;=100000,"High",IF(Cleaned_Data[[#This Row],[Net_Sales]]&gt;=50000,"Medium","Low"))</f>
        <v>Low</v>
      </c>
    </row>
    <row r="271" spans="1:19" x14ac:dyDescent="0.3">
      <c r="A271" t="s">
        <v>419</v>
      </c>
      <c r="B271" s="1">
        <v>44935</v>
      </c>
      <c r="C271" t="s">
        <v>210</v>
      </c>
      <c r="D271" t="s">
        <v>211</v>
      </c>
      <c r="E271" t="s">
        <v>66</v>
      </c>
      <c r="F271" t="s">
        <v>92</v>
      </c>
      <c r="G271" t="s">
        <v>17</v>
      </c>
      <c r="H271" t="s">
        <v>77</v>
      </c>
      <c r="I271">
        <v>1</v>
      </c>
      <c r="J271" s="8">
        <v>32200</v>
      </c>
      <c r="K271">
        <v>25</v>
      </c>
      <c r="L271" t="s">
        <v>103</v>
      </c>
      <c r="M271" s="5">
        <f>Cleaned_Data[[#This Row],[Quantity]]*Cleaned_Data[[#This Row],[Unit_Price]]</f>
        <v>32200</v>
      </c>
      <c r="N271" s="7">
        <f>Cleaned_Data[[#This Row],[Total_sales]]*(Cleaned_Data[[#This Row],[Discount_Percent]]/100)</f>
        <v>8050</v>
      </c>
      <c r="O271" s="7">
        <f>Cleaned_Data[[#This Row],[Total_sales]]-Cleaned_Data[[#This Row],[Discount_Amount]]</f>
        <v>24150</v>
      </c>
      <c r="P271" t="str">
        <f>TEXT(Cleaned_Data[[#This Row],[Order_Date]],"MMM-YYYY")</f>
        <v>Jan-2023</v>
      </c>
      <c r="Q271" t="str">
        <f>"Q"&amp;ROUNDUP(MONTH(Cleaned_Data[[#This Row],[Order_Date]])/3,0)&amp;"-2023"</f>
        <v>Q1-2023</v>
      </c>
      <c r="R271" t="str">
        <f>TEXT(Cleaned_Data[[#This Row],[Order_Date]],"DDD")</f>
        <v>Mon</v>
      </c>
      <c r="S271" t="str">
        <f>IF(Cleaned_Data[[#This Row],[Net_Sales]]&gt;=100000,"High",IF(Cleaned_Data[[#This Row],[Net_Sales]]&gt;=50000,"Medium","Low"))</f>
        <v>Low</v>
      </c>
    </row>
    <row r="272" spans="1:19" x14ac:dyDescent="0.3">
      <c r="A272" t="s">
        <v>420</v>
      </c>
      <c r="B272" s="1">
        <v>44935</v>
      </c>
      <c r="C272" t="s">
        <v>158</v>
      </c>
      <c r="D272" t="s">
        <v>159</v>
      </c>
      <c r="E272" t="s">
        <v>66</v>
      </c>
      <c r="F272" t="s">
        <v>92</v>
      </c>
      <c r="G272" t="s">
        <v>45</v>
      </c>
      <c r="H272" t="s">
        <v>52</v>
      </c>
      <c r="I272">
        <v>1</v>
      </c>
      <c r="J272" s="8">
        <v>34400</v>
      </c>
      <c r="K272">
        <v>0</v>
      </c>
      <c r="L272" t="s">
        <v>53</v>
      </c>
      <c r="M272" s="5">
        <f>Cleaned_Data[[#This Row],[Quantity]]*Cleaned_Data[[#This Row],[Unit_Price]]</f>
        <v>34400</v>
      </c>
      <c r="N272" s="7">
        <f>Cleaned_Data[[#This Row],[Total_sales]]*(Cleaned_Data[[#This Row],[Discount_Percent]]/100)</f>
        <v>0</v>
      </c>
      <c r="O272" s="7">
        <f>Cleaned_Data[[#This Row],[Total_sales]]-Cleaned_Data[[#This Row],[Discount_Amount]]</f>
        <v>34400</v>
      </c>
      <c r="P272" t="str">
        <f>TEXT(Cleaned_Data[[#This Row],[Order_Date]],"MMM-YYYY")</f>
        <v>Jan-2023</v>
      </c>
      <c r="Q272" t="str">
        <f>"Q"&amp;ROUNDUP(MONTH(Cleaned_Data[[#This Row],[Order_Date]])/3,0)&amp;"-2023"</f>
        <v>Q1-2023</v>
      </c>
      <c r="R272" t="str">
        <f>TEXT(Cleaned_Data[[#This Row],[Order_Date]],"DDD")</f>
        <v>Mon</v>
      </c>
      <c r="S272" t="str">
        <f>IF(Cleaned_Data[[#This Row],[Net_Sales]]&gt;=100000,"High",IF(Cleaned_Data[[#This Row],[Net_Sales]]&gt;=50000,"Medium","Low"))</f>
        <v>Low</v>
      </c>
    </row>
    <row r="273" spans="1:19" x14ac:dyDescent="0.3">
      <c r="A273" t="s">
        <v>421</v>
      </c>
      <c r="B273" s="1">
        <v>44935</v>
      </c>
      <c r="C273" t="s">
        <v>130</v>
      </c>
      <c r="D273" t="s">
        <v>53</v>
      </c>
      <c r="E273" t="s">
        <v>66</v>
      </c>
      <c r="F273" t="s">
        <v>67</v>
      </c>
      <c r="G273" t="s">
        <v>97</v>
      </c>
      <c r="H273" t="s">
        <v>174</v>
      </c>
      <c r="I273">
        <v>2</v>
      </c>
      <c r="J273" s="8">
        <v>80000</v>
      </c>
      <c r="K273">
        <v>0</v>
      </c>
      <c r="L273" t="s">
        <v>47</v>
      </c>
      <c r="M273" s="5">
        <f>Cleaned_Data[[#This Row],[Quantity]]*Cleaned_Data[[#This Row],[Unit_Price]]</f>
        <v>160000</v>
      </c>
      <c r="N273" s="7">
        <f>Cleaned_Data[[#This Row],[Total_sales]]*(Cleaned_Data[[#This Row],[Discount_Percent]]/100)</f>
        <v>0</v>
      </c>
      <c r="O273" s="7">
        <f>Cleaned_Data[[#This Row],[Total_sales]]-Cleaned_Data[[#This Row],[Discount_Amount]]</f>
        <v>160000</v>
      </c>
      <c r="P273" t="str">
        <f>TEXT(Cleaned_Data[[#This Row],[Order_Date]],"MMM-YYYY")</f>
        <v>Jan-2023</v>
      </c>
      <c r="Q273" t="str">
        <f>"Q"&amp;ROUNDUP(MONTH(Cleaned_Data[[#This Row],[Order_Date]])/3,0)&amp;"-2023"</f>
        <v>Q1-2023</v>
      </c>
      <c r="R273" t="str">
        <f>TEXT(Cleaned_Data[[#This Row],[Order_Date]],"DDD")</f>
        <v>Mon</v>
      </c>
      <c r="S273" t="str">
        <f>IF(Cleaned_Data[[#This Row],[Net_Sales]]&gt;=100000,"High",IF(Cleaned_Data[[#This Row],[Net_Sales]]&gt;=50000,"Medium","Low"))</f>
        <v>High</v>
      </c>
    </row>
    <row r="274" spans="1:19" x14ac:dyDescent="0.3">
      <c r="A274" t="s">
        <v>422</v>
      </c>
      <c r="B274" s="1">
        <v>44966</v>
      </c>
      <c r="C274" t="s">
        <v>284</v>
      </c>
      <c r="D274" t="s">
        <v>285</v>
      </c>
      <c r="E274" t="s">
        <v>81</v>
      </c>
      <c r="F274" t="s">
        <v>117</v>
      </c>
      <c r="G274" t="s">
        <v>45</v>
      </c>
      <c r="H274" t="s">
        <v>52</v>
      </c>
      <c r="I274">
        <v>1</v>
      </c>
      <c r="J274" s="8">
        <v>38600</v>
      </c>
      <c r="K274">
        <v>10</v>
      </c>
      <c r="L274" t="s">
        <v>19</v>
      </c>
      <c r="M274" s="5">
        <f>Cleaned_Data[[#This Row],[Quantity]]*Cleaned_Data[[#This Row],[Unit_Price]]</f>
        <v>38600</v>
      </c>
      <c r="N274" s="7">
        <f>Cleaned_Data[[#This Row],[Total_sales]]*(Cleaned_Data[[#This Row],[Discount_Percent]]/100)</f>
        <v>3860</v>
      </c>
      <c r="O274" s="7">
        <f>Cleaned_Data[[#This Row],[Total_sales]]-Cleaned_Data[[#This Row],[Discount_Amount]]</f>
        <v>34740</v>
      </c>
      <c r="P274" t="str">
        <f>TEXT(Cleaned_Data[[#This Row],[Order_Date]],"MMM-YYYY")</f>
        <v>Feb-2023</v>
      </c>
      <c r="Q274" t="str">
        <f>"Q"&amp;ROUNDUP(MONTH(Cleaned_Data[[#This Row],[Order_Date]])/3,0)&amp;"-2023"</f>
        <v>Q1-2023</v>
      </c>
      <c r="R274" t="str">
        <f>TEXT(Cleaned_Data[[#This Row],[Order_Date]],"DDD")</f>
        <v>Thu</v>
      </c>
      <c r="S274" t="str">
        <f>IF(Cleaned_Data[[#This Row],[Net_Sales]]&gt;=100000,"High",IF(Cleaned_Data[[#This Row],[Net_Sales]]&gt;=50000,"Medium","Low"))</f>
        <v>Low</v>
      </c>
    </row>
    <row r="275" spans="1:19" x14ac:dyDescent="0.3">
      <c r="A275" t="s">
        <v>423</v>
      </c>
      <c r="B275" s="1">
        <v>44966</v>
      </c>
      <c r="C275" t="s">
        <v>185</v>
      </c>
      <c r="D275" t="s">
        <v>186</v>
      </c>
      <c r="E275" t="s">
        <v>15</v>
      </c>
      <c r="F275" t="s">
        <v>16</v>
      </c>
      <c r="G275" t="s">
        <v>17</v>
      </c>
      <c r="H275" t="s">
        <v>196</v>
      </c>
      <c r="I275">
        <v>2</v>
      </c>
      <c r="J275" s="8">
        <v>28000</v>
      </c>
      <c r="K275">
        <v>0</v>
      </c>
      <c r="L275" t="s">
        <v>53</v>
      </c>
      <c r="M275" s="5">
        <f>Cleaned_Data[[#This Row],[Quantity]]*Cleaned_Data[[#This Row],[Unit_Price]]</f>
        <v>56000</v>
      </c>
      <c r="N275" s="7">
        <f>Cleaned_Data[[#This Row],[Total_sales]]*(Cleaned_Data[[#This Row],[Discount_Percent]]/100)</f>
        <v>0</v>
      </c>
      <c r="O275" s="7">
        <f>Cleaned_Data[[#This Row],[Total_sales]]-Cleaned_Data[[#This Row],[Discount_Amount]]</f>
        <v>56000</v>
      </c>
      <c r="P275" t="str">
        <f>TEXT(Cleaned_Data[[#This Row],[Order_Date]],"MMM-YYYY")</f>
        <v>Feb-2023</v>
      </c>
      <c r="Q275" t="str">
        <f>"Q"&amp;ROUNDUP(MONTH(Cleaned_Data[[#This Row],[Order_Date]])/3,0)&amp;"-2023"</f>
        <v>Q1-2023</v>
      </c>
      <c r="R275" t="str">
        <f>TEXT(Cleaned_Data[[#This Row],[Order_Date]],"DDD")</f>
        <v>Thu</v>
      </c>
      <c r="S275" t="str">
        <f>IF(Cleaned_Data[[#This Row],[Net_Sales]]&gt;=100000,"High",IF(Cleaned_Data[[#This Row],[Net_Sales]]&gt;=50000,"Medium","Low"))</f>
        <v>Medium</v>
      </c>
    </row>
    <row r="276" spans="1:19" x14ac:dyDescent="0.3">
      <c r="A276" t="s">
        <v>424</v>
      </c>
      <c r="B276" s="1">
        <v>44966</v>
      </c>
      <c r="C276" t="s">
        <v>180</v>
      </c>
      <c r="D276" t="s">
        <v>181</v>
      </c>
      <c r="E276" t="s">
        <v>15</v>
      </c>
      <c r="F276" t="s">
        <v>119</v>
      </c>
      <c r="G276" t="s">
        <v>25</v>
      </c>
      <c r="H276" t="s">
        <v>32</v>
      </c>
      <c r="I276">
        <v>2</v>
      </c>
      <c r="J276" s="8">
        <v>2000</v>
      </c>
      <c r="K276">
        <v>5</v>
      </c>
      <c r="L276" t="s">
        <v>73</v>
      </c>
      <c r="M276" s="5">
        <f>Cleaned_Data[[#This Row],[Quantity]]*Cleaned_Data[[#This Row],[Unit_Price]]</f>
        <v>4000</v>
      </c>
      <c r="N276" s="7">
        <f>Cleaned_Data[[#This Row],[Total_sales]]*(Cleaned_Data[[#This Row],[Discount_Percent]]/100)</f>
        <v>200</v>
      </c>
      <c r="O276" s="7">
        <f>Cleaned_Data[[#This Row],[Total_sales]]-Cleaned_Data[[#This Row],[Discount_Amount]]</f>
        <v>3800</v>
      </c>
      <c r="P276" t="str">
        <f>TEXT(Cleaned_Data[[#This Row],[Order_Date]],"MMM-YYYY")</f>
        <v>Feb-2023</v>
      </c>
      <c r="Q276" t="str">
        <f>"Q"&amp;ROUNDUP(MONTH(Cleaned_Data[[#This Row],[Order_Date]])/3,0)&amp;"-2023"</f>
        <v>Q1-2023</v>
      </c>
      <c r="R276" t="str">
        <f>TEXT(Cleaned_Data[[#This Row],[Order_Date]],"DDD")</f>
        <v>Thu</v>
      </c>
      <c r="S276" t="str">
        <f>IF(Cleaned_Data[[#This Row],[Net_Sales]]&gt;=100000,"High",IF(Cleaned_Data[[#This Row],[Net_Sales]]&gt;=50000,"Medium","Low"))</f>
        <v>Low</v>
      </c>
    </row>
    <row r="277" spans="1:19" x14ac:dyDescent="0.3">
      <c r="A277" t="s">
        <v>425</v>
      </c>
      <c r="B277" s="1">
        <v>44994</v>
      </c>
      <c r="C277" t="s">
        <v>59</v>
      </c>
      <c r="D277" t="s">
        <v>60</v>
      </c>
      <c r="E277" t="s">
        <v>23</v>
      </c>
      <c r="F277" t="s">
        <v>24</v>
      </c>
      <c r="G277" t="s">
        <v>17</v>
      </c>
      <c r="H277" t="s">
        <v>18</v>
      </c>
      <c r="I277">
        <v>1</v>
      </c>
      <c r="J277" s="8">
        <v>60000</v>
      </c>
      <c r="K277">
        <v>20</v>
      </c>
      <c r="L277" t="s">
        <v>62</v>
      </c>
      <c r="M277" s="5">
        <f>Cleaned_Data[[#This Row],[Quantity]]*Cleaned_Data[[#This Row],[Unit_Price]]</f>
        <v>60000</v>
      </c>
      <c r="N277" s="7">
        <f>Cleaned_Data[[#This Row],[Total_sales]]*(Cleaned_Data[[#This Row],[Discount_Percent]]/100)</f>
        <v>12000</v>
      </c>
      <c r="O277" s="7">
        <f>Cleaned_Data[[#This Row],[Total_sales]]-Cleaned_Data[[#This Row],[Discount_Amount]]</f>
        <v>48000</v>
      </c>
      <c r="P277" t="str">
        <f>TEXT(Cleaned_Data[[#This Row],[Order_Date]],"MMM-YYYY")</f>
        <v>Mar-2023</v>
      </c>
      <c r="Q277" t="str">
        <f>"Q"&amp;ROUNDUP(MONTH(Cleaned_Data[[#This Row],[Order_Date]])/3,0)&amp;"-2023"</f>
        <v>Q1-2023</v>
      </c>
      <c r="R277" t="str">
        <f>TEXT(Cleaned_Data[[#This Row],[Order_Date]],"DDD")</f>
        <v>Thu</v>
      </c>
      <c r="S277" t="str">
        <f>IF(Cleaned_Data[[#This Row],[Net_Sales]]&gt;=100000,"High",IF(Cleaned_Data[[#This Row],[Net_Sales]]&gt;=50000,"Medium","Low"))</f>
        <v>Low</v>
      </c>
    </row>
    <row r="278" spans="1:19" x14ac:dyDescent="0.3">
      <c r="A278" t="s">
        <v>426</v>
      </c>
      <c r="B278" s="1">
        <v>44994</v>
      </c>
      <c r="C278" t="s">
        <v>185</v>
      </c>
      <c r="D278" t="s">
        <v>186</v>
      </c>
      <c r="E278" t="s">
        <v>81</v>
      </c>
      <c r="F278" t="s">
        <v>82</v>
      </c>
      <c r="G278" t="s">
        <v>17</v>
      </c>
      <c r="H278" t="s">
        <v>168</v>
      </c>
      <c r="I278">
        <v>1</v>
      </c>
      <c r="J278" s="8">
        <v>15100</v>
      </c>
      <c r="K278">
        <v>5</v>
      </c>
      <c r="L278" t="s">
        <v>73</v>
      </c>
      <c r="M278" s="5">
        <f>Cleaned_Data[[#This Row],[Quantity]]*Cleaned_Data[[#This Row],[Unit_Price]]</f>
        <v>15100</v>
      </c>
      <c r="N278" s="7">
        <f>Cleaned_Data[[#This Row],[Total_sales]]*(Cleaned_Data[[#This Row],[Discount_Percent]]/100)</f>
        <v>755</v>
      </c>
      <c r="O278" s="7">
        <f>Cleaned_Data[[#This Row],[Total_sales]]-Cleaned_Data[[#This Row],[Discount_Amount]]</f>
        <v>14345</v>
      </c>
      <c r="P278" t="str">
        <f>TEXT(Cleaned_Data[[#This Row],[Order_Date]],"MMM-YYYY")</f>
        <v>Mar-2023</v>
      </c>
      <c r="Q278" t="str">
        <f>"Q"&amp;ROUNDUP(MONTH(Cleaned_Data[[#This Row],[Order_Date]])/3,0)&amp;"-2023"</f>
        <v>Q1-2023</v>
      </c>
      <c r="R278" t="str">
        <f>TEXT(Cleaned_Data[[#This Row],[Order_Date]],"DDD")</f>
        <v>Thu</v>
      </c>
      <c r="S278" t="str">
        <f>IF(Cleaned_Data[[#This Row],[Net_Sales]]&gt;=100000,"High",IF(Cleaned_Data[[#This Row],[Net_Sales]]&gt;=50000,"Medium","Low"))</f>
        <v>Low</v>
      </c>
    </row>
    <row r="279" spans="1:19" x14ac:dyDescent="0.3">
      <c r="A279" t="s">
        <v>427</v>
      </c>
      <c r="B279" s="1">
        <v>44994</v>
      </c>
      <c r="C279" t="s">
        <v>126</v>
      </c>
      <c r="D279" t="s">
        <v>127</v>
      </c>
      <c r="E279" t="s">
        <v>23</v>
      </c>
      <c r="F279" t="s">
        <v>31</v>
      </c>
      <c r="G279" t="s">
        <v>39</v>
      </c>
      <c r="H279" t="s">
        <v>68</v>
      </c>
      <c r="I279">
        <v>1</v>
      </c>
      <c r="J279" s="8">
        <v>21800</v>
      </c>
      <c r="K279">
        <v>0</v>
      </c>
      <c r="L279" t="s">
        <v>19</v>
      </c>
      <c r="M279" s="5">
        <f>Cleaned_Data[[#This Row],[Quantity]]*Cleaned_Data[[#This Row],[Unit_Price]]</f>
        <v>21800</v>
      </c>
      <c r="N279" s="7">
        <f>Cleaned_Data[[#This Row],[Total_sales]]*(Cleaned_Data[[#This Row],[Discount_Percent]]/100)</f>
        <v>0</v>
      </c>
      <c r="O279" s="7">
        <f>Cleaned_Data[[#This Row],[Total_sales]]-Cleaned_Data[[#This Row],[Discount_Amount]]</f>
        <v>21800</v>
      </c>
      <c r="P279" t="str">
        <f>TEXT(Cleaned_Data[[#This Row],[Order_Date]],"MMM-YYYY")</f>
        <v>Mar-2023</v>
      </c>
      <c r="Q279" t="str">
        <f>"Q"&amp;ROUNDUP(MONTH(Cleaned_Data[[#This Row],[Order_Date]])/3,0)&amp;"-2023"</f>
        <v>Q1-2023</v>
      </c>
      <c r="R279" t="str">
        <f>TEXT(Cleaned_Data[[#This Row],[Order_Date]],"DDD")</f>
        <v>Thu</v>
      </c>
      <c r="S279" t="str">
        <f>IF(Cleaned_Data[[#This Row],[Net_Sales]]&gt;=100000,"High",IF(Cleaned_Data[[#This Row],[Net_Sales]]&gt;=50000,"Medium","Low"))</f>
        <v>Low</v>
      </c>
    </row>
    <row r="280" spans="1:19" x14ac:dyDescent="0.3">
      <c r="A280" t="s">
        <v>428</v>
      </c>
      <c r="B280" s="1">
        <v>44994</v>
      </c>
      <c r="C280" t="s">
        <v>244</v>
      </c>
      <c r="D280" t="s">
        <v>245</v>
      </c>
      <c r="E280" t="s">
        <v>23</v>
      </c>
      <c r="F280" t="s">
        <v>51</v>
      </c>
      <c r="G280" t="s">
        <v>25</v>
      </c>
      <c r="H280" t="s">
        <v>212</v>
      </c>
      <c r="I280">
        <v>3</v>
      </c>
      <c r="J280" s="8">
        <v>2500</v>
      </c>
      <c r="K280">
        <v>20</v>
      </c>
      <c r="L280" t="s">
        <v>27</v>
      </c>
      <c r="M280" s="5">
        <f>Cleaned_Data[[#This Row],[Quantity]]*Cleaned_Data[[#This Row],[Unit_Price]]</f>
        <v>7500</v>
      </c>
      <c r="N280" s="7">
        <f>Cleaned_Data[[#This Row],[Total_sales]]*(Cleaned_Data[[#This Row],[Discount_Percent]]/100)</f>
        <v>1500</v>
      </c>
      <c r="O280" s="7">
        <f>Cleaned_Data[[#This Row],[Total_sales]]-Cleaned_Data[[#This Row],[Discount_Amount]]</f>
        <v>6000</v>
      </c>
      <c r="P280" t="str">
        <f>TEXT(Cleaned_Data[[#This Row],[Order_Date]],"MMM-YYYY")</f>
        <v>Mar-2023</v>
      </c>
      <c r="Q280" t="str">
        <f>"Q"&amp;ROUNDUP(MONTH(Cleaned_Data[[#This Row],[Order_Date]])/3,0)&amp;"-2023"</f>
        <v>Q1-2023</v>
      </c>
      <c r="R280" t="str">
        <f>TEXT(Cleaned_Data[[#This Row],[Order_Date]],"DDD")</f>
        <v>Thu</v>
      </c>
      <c r="S280" t="str">
        <f>IF(Cleaned_Data[[#This Row],[Net_Sales]]&gt;=100000,"High",IF(Cleaned_Data[[#This Row],[Net_Sales]]&gt;=50000,"Medium","Low"))</f>
        <v>Low</v>
      </c>
    </row>
    <row r="281" spans="1:19" x14ac:dyDescent="0.3">
      <c r="A281" t="s">
        <v>429</v>
      </c>
      <c r="B281" s="1">
        <v>44994</v>
      </c>
      <c r="C281" t="s">
        <v>105</v>
      </c>
      <c r="D281" t="s">
        <v>106</v>
      </c>
      <c r="E281" t="s">
        <v>37</v>
      </c>
      <c r="F281" t="s">
        <v>101</v>
      </c>
      <c r="G281" t="s">
        <v>39</v>
      </c>
      <c r="H281" t="s">
        <v>40</v>
      </c>
      <c r="I281">
        <v>1</v>
      </c>
      <c r="J281" s="8">
        <v>24200</v>
      </c>
      <c r="K281">
        <v>25</v>
      </c>
      <c r="L281" t="s">
        <v>33</v>
      </c>
      <c r="M281" s="5">
        <f>Cleaned_Data[[#This Row],[Quantity]]*Cleaned_Data[[#This Row],[Unit_Price]]</f>
        <v>24200</v>
      </c>
      <c r="N281" s="7">
        <f>Cleaned_Data[[#This Row],[Total_sales]]*(Cleaned_Data[[#This Row],[Discount_Percent]]/100)</f>
        <v>6050</v>
      </c>
      <c r="O281" s="7">
        <f>Cleaned_Data[[#This Row],[Total_sales]]-Cleaned_Data[[#This Row],[Discount_Amount]]</f>
        <v>18150</v>
      </c>
      <c r="P281" t="str">
        <f>TEXT(Cleaned_Data[[#This Row],[Order_Date]],"MMM-YYYY")</f>
        <v>Mar-2023</v>
      </c>
      <c r="Q281" t="str">
        <f>"Q"&amp;ROUNDUP(MONTH(Cleaned_Data[[#This Row],[Order_Date]])/3,0)&amp;"-2023"</f>
        <v>Q1-2023</v>
      </c>
      <c r="R281" t="str">
        <f>TEXT(Cleaned_Data[[#This Row],[Order_Date]],"DDD")</f>
        <v>Thu</v>
      </c>
      <c r="S281" t="str">
        <f>IF(Cleaned_Data[[#This Row],[Net_Sales]]&gt;=100000,"High",IF(Cleaned_Data[[#This Row],[Net_Sales]]&gt;=50000,"Medium","Low"))</f>
        <v>Low</v>
      </c>
    </row>
    <row r="282" spans="1:19" x14ac:dyDescent="0.3">
      <c r="A282" t="s">
        <v>430</v>
      </c>
      <c r="B282" s="1">
        <v>44994</v>
      </c>
      <c r="C282" t="s">
        <v>122</v>
      </c>
      <c r="D282" t="s">
        <v>123</v>
      </c>
      <c r="E282" t="s">
        <v>37</v>
      </c>
      <c r="F282" t="s">
        <v>101</v>
      </c>
      <c r="G282" t="s">
        <v>17</v>
      </c>
      <c r="H282" t="s">
        <v>168</v>
      </c>
      <c r="I282">
        <v>1</v>
      </c>
      <c r="J282" s="8">
        <v>36400</v>
      </c>
      <c r="K282">
        <v>25</v>
      </c>
      <c r="L282" t="s">
        <v>47</v>
      </c>
      <c r="M282" s="5">
        <f>Cleaned_Data[[#This Row],[Quantity]]*Cleaned_Data[[#This Row],[Unit_Price]]</f>
        <v>36400</v>
      </c>
      <c r="N282" s="7">
        <f>Cleaned_Data[[#This Row],[Total_sales]]*(Cleaned_Data[[#This Row],[Discount_Percent]]/100)</f>
        <v>9100</v>
      </c>
      <c r="O282" s="7">
        <f>Cleaned_Data[[#This Row],[Total_sales]]-Cleaned_Data[[#This Row],[Discount_Amount]]</f>
        <v>27300</v>
      </c>
      <c r="P282" t="str">
        <f>TEXT(Cleaned_Data[[#This Row],[Order_Date]],"MMM-YYYY")</f>
        <v>Mar-2023</v>
      </c>
      <c r="Q282" t="str">
        <f>"Q"&amp;ROUNDUP(MONTH(Cleaned_Data[[#This Row],[Order_Date]])/3,0)&amp;"-2023"</f>
        <v>Q1-2023</v>
      </c>
      <c r="R282" t="str">
        <f>TEXT(Cleaned_Data[[#This Row],[Order_Date]],"DDD")</f>
        <v>Thu</v>
      </c>
      <c r="S282" t="str">
        <f>IF(Cleaned_Data[[#This Row],[Net_Sales]]&gt;=100000,"High",IF(Cleaned_Data[[#This Row],[Net_Sales]]&gt;=50000,"Medium","Low"))</f>
        <v>Low</v>
      </c>
    </row>
    <row r="283" spans="1:19" x14ac:dyDescent="0.3">
      <c r="A283" t="s">
        <v>431</v>
      </c>
      <c r="B283" s="1">
        <v>44994</v>
      </c>
      <c r="C283" t="s">
        <v>70</v>
      </c>
      <c r="D283" t="s">
        <v>71</v>
      </c>
      <c r="E283" t="s">
        <v>15</v>
      </c>
      <c r="F283" t="s">
        <v>128</v>
      </c>
      <c r="G283" t="s">
        <v>97</v>
      </c>
      <c r="H283" t="s">
        <v>174</v>
      </c>
      <c r="I283">
        <v>1</v>
      </c>
      <c r="J283" s="8">
        <v>47300</v>
      </c>
      <c r="K283">
        <v>10</v>
      </c>
      <c r="L283" t="s">
        <v>73</v>
      </c>
      <c r="M283" s="5">
        <f>Cleaned_Data[[#This Row],[Quantity]]*Cleaned_Data[[#This Row],[Unit_Price]]</f>
        <v>47300</v>
      </c>
      <c r="N283" s="7">
        <f>Cleaned_Data[[#This Row],[Total_sales]]*(Cleaned_Data[[#This Row],[Discount_Percent]]/100)</f>
        <v>4730</v>
      </c>
      <c r="O283" s="7">
        <f>Cleaned_Data[[#This Row],[Total_sales]]-Cleaned_Data[[#This Row],[Discount_Amount]]</f>
        <v>42570</v>
      </c>
      <c r="P283" t="str">
        <f>TEXT(Cleaned_Data[[#This Row],[Order_Date]],"MMM-YYYY")</f>
        <v>Mar-2023</v>
      </c>
      <c r="Q283" t="str">
        <f>"Q"&amp;ROUNDUP(MONTH(Cleaned_Data[[#This Row],[Order_Date]])/3,0)&amp;"-2023"</f>
        <v>Q1-2023</v>
      </c>
      <c r="R283" t="str">
        <f>TEXT(Cleaned_Data[[#This Row],[Order_Date]],"DDD")</f>
        <v>Thu</v>
      </c>
      <c r="S283" t="str">
        <f>IF(Cleaned_Data[[#This Row],[Net_Sales]]&gt;=100000,"High",IF(Cleaned_Data[[#This Row],[Net_Sales]]&gt;=50000,"Medium","Low"))</f>
        <v>Low</v>
      </c>
    </row>
    <row r="284" spans="1:19" x14ac:dyDescent="0.3">
      <c r="A284" t="s">
        <v>432</v>
      </c>
      <c r="B284" s="1">
        <v>45025</v>
      </c>
      <c r="C284" t="s">
        <v>49</v>
      </c>
      <c r="D284" t="s">
        <v>50</v>
      </c>
      <c r="E284" t="s">
        <v>81</v>
      </c>
      <c r="F284" t="s">
        <v>117</v>
      </c>
      <c r="G284" t="s">
        <v>39</v>
      </c>
      <c r="H284" t="s">
        <v>102</v>
      </c>
      <c r="I284">
        <v>1</v>
      </c>
      <c r="J284" s="8">
        <v>17500</v>
      </c>
      <c r="K284">
        <v>0</v>
      </c>
      <c r="L284" t="s">
        <v>73</v>
      </c>
      <c r="M284" s="5">
        <f>Cleaned_Data[[#This Row],[Quantity]]*Cleaned_Data[[#This Row],[Unit_Price]]</f>
        <v>17500</v>
      </c>
      <c r="N284" s="7">
        <f>Cleaned_Data[[#This Row],[Total_sales]]*(Cleaned_Data[[#This Row],[Discount_Percent]]/100)</f>
        <v>0</v>
      </c>
      <c r="O284" s="7">
        <f>Cleaned_Data[[#This Row],[Total_sales]]-Cleaned_Data[[#This Row],[Discount_Amount]]</f>
        <v>17500</v>
      </c>
      <c r="P284" t="str">
        <f>TEXT(Cleaned_Data[[#This Row],[Order_Date]],"MMM-YYYY")</f>
        <v>Apr-2023</v>
      </c>
      <c r="Q284" t="str">
        <f>"Q"&amp;ROUNDUP(MONTH(Cleaned_Data[[#This Row],[Order_Date]])/3,0)&amp;"-2023"</f>
        <v>Q2-2023</v>
      </c>
      <c r="R284" t="str">
        <f>TEXT(Cleaned_Data[[#This Row],[Order_Date]],"DDD")</f>
        <v>Sun</v>
      </c>
      <c r="S284" t="str">
        <f>IF(Cleaned_Data[[#This Row],[Net_Sales]]&gt;=100000,"High",IF(Cleaned_Data[[#This Row],[Net_Sales]]&gt;=50000,"Medium","Low"))</f>
        <v>Low</v>
      </c>
    </row>
    <row r="285" spans="1:19" x14ac:dyDescent="0.3">
      <c r="A285" t="s">
        <v>433</v>
      </c>
      <c r="B285" s="1">
        <v>45025</v>
      </c>
      <c r="C285" t="s">
        <v>84</v>
      </c>
      <c r="D285" t="s">
        <v>85</v>
      </c>
      <c r="E285" t="s">
        <v>23</v>
      </c>
      <c r="F285" t="s">
        <v>24</v>
      </c>
      <c r="G285" t="s">
        <v>39</v>
      </c>
      <c r="H285" t="s">
        <v>102</v>
      </c>
      <c r="I285">
        <v>1</v>
      </c>
      <c r="J285" s="8">
        <v>17900</v>
      </c>
      <c r="K285">
        <v>0</v>
      </c>
      <c r="L285" t="s">
        <v>33</v>
      </c>
      <c r="M285" s="5">
        <f>Cleaned_Data[[#This Row],[Quantity]]*Cleaned_Data[[#This Row],[Unit_Price]]</f>
        <v>17900</v>
      </c>
      <c r="N285" s="7">
        <f>Cleaned_Data[[#This Row],[Total_sales]]*(Cleaned_Data[[#This Row],[Discount_Percent]]/100)</f>
        <v>0</v>
      </c>
      <c r="O285" s="7">
        <f>Cleaned_Data[[#This Row],[Total_sales]]-Cleaned_Data[[#This Row],[Discount_Amount]]</f>
        <v>17900</v>
      </c>
      <c r="P285" t="str">
        <f>TEXT(Cleaned_Data[[#This Row],[Order_Date]],"MMM-YYYY")</f>
        <v>Apr-2023</v>
      </c>
      <c r="Q285" t="str">
        <f>"Q"&amp;ROUNDUP(MONTH(Cleaned_Data[[#This Row],[Order_Date]])/3,0)&amp;"-2023"</f>
        <v>Q2-2023</v>
      </c>
      <c r="R285" t="str">
        <f>TEXT(Cleaned_Data[[#This Row],[Order_Date]],"DDD")</f>
        <v>Sun</v>
      </c>
      <c r="S285" t="str">
        <f>IF(Cleaned_Data[[#This Row],[Net_Sales]]&gt;=100000,"High",IF(Cleaned_Data[[#This Row],[Net_Sales]]&gt;=50000,"Medium","Low"))</f>
        <v>Low</v>
      </c>
    </row>
    <row r="286" spans="1:19" x14ac:dyDescent="0.3">
      <c r="A286" t="s">
        <v>434</v>
      </c>
      <c r="B286" s="1">
        <v>45025</v>
      </c>
      <c r="C286" t="s">
        <v>64</v>
      </c>
      <c r="D286" t="s">
        <v>65</v>
      </c>
      <c r="E286" t="s">
        <v>37</v>
      </c>
      <c r="F286" t="s">
        <v>101</v>
      </c>
      <c r="G286" t="s">
        <v>17</v>
      </c>
      <c r="H286" t="s">
        <v>88</v>
      </c>
      <c r="I286">
        <v>1</v>
      </c>
      <c r="J286" s="8">
        <v>58700</v>
      </c>
      <c r="K286">
        <v>15</v>
      </c>
      <c r="L286" t="s">
        <v>53</v>
      </c>
      <c r="M286" s="5">
        <f>Cleaned_Data[[#This Row],[Quantity]]*Cleaned_Data[[#This Row],[Unit_Price]]</f>
        <v>58700</v>
      </c>
      <c r="N286" s="7">
        <f>Cleaned_Data[[#This Row],[Total_sales]]*(Cleaned_Data[[#This Row],[Discount_Percent]]/100)</f>
        <v>8805</v>
      </c>
      <c r="O286" s="7">
        <f>Cleaned_Data[[#This Row],[Total_sales]]-Cleaned_Data[[#This Row],[Discount_Amount]]</f>
        <v>49895</v>
      </c>
      <c r="P286" t="str">
        <f>TEXT(Cleaned_Data[[#This Row],[Order_Date]],"MMM-YYYY")</f>
        <v>Apr-2023</v>
      </c>
      <c r="Q286" t="str">
        <f>"Q"&amp;ROUNDUP(MONTH(Cleaned_Data[[#This Row],[Order_Date]])/3,0)&amp;"-2023"</f>
        <v>Q2-2023</v>
      </c>
      <c r="R286" t="str">
        <f>TEXT(Cleaned_Data[[#This Row],[Order_Date]],"DDD")</f>
        <v>Sun</v>
      </c>
      <c r="S286" t="str">
        <f>IF(Cleaned_Data[[#This Row],[Net_Sales]]&gt;=100000,"High",IF(Cleaned_Data[[#This Row],[Net_Sales]]&gt;=50000,"Medium","Low"))</f>
        <v>Low</v>
      </c>
    </row>
    <row r="287" spans="1:19" x14ac:dyDescent="0.3">
      <c r="A287" t="s">
        <v>435</v>
      </c>
      <c r="B287" s="1">
        <v>45025</v>
      </c>
      <c r="C287" t="s">
        <v>42</v>
      </c>
      <c r="D287" t="s">
        <v>43</v>
      </c>
      <c r="E287" t="s">
        <v>23</v>
      </c>
      <c r="F287" t="s">
        <v>24</v>
      </c>
      <c r="G287" t="s">
        <v>39</v>
      </c>
      <c r="H287" t="s">
        <v>40</v>
      </c>
      <c r="I287">
        <v>1</v>
      </c>
      <c r="J287" s="8">
        <v>30700</v>
      </c>
      <c r="K287">
        <v>20</v>
      </c>
      <c r="L287" t="s">
        <v>33</v>
      </c>
      <c r="M287" s="5">
        <f>Cleaned_Data[[#This Row],[Quantity]]*Cleaned_Data[[#This Row],[Unit_Price]]</f>
        <v>30700</v>
      </c>
      <c r="N287" s="7">
        <f>Cleaned_Data[[#This Row],[Total_sales]]*(Cleaned_Data[[#This Row],[Discount_Percent]]/100)</f>
        <v>6140</v>
      </c>
      <c r="O287" s="7">
        <f>Cleaned_Data[[#This Row],[Total_sales]]-Cleaned_Data[[#This Row],[Discount_Amount]]</f>
        <v>24560</v>
      </c>
      <c r="P287" t="str">
        <f>TEXT(Cleaned_Data[[#This Row],[Order_Date]],"MMM-YYYY")</f>
        <v>Apr-2023</v>
      </c>
      <c r="Q287" t="str">
        <f>"Q"&amp;ROUNDUP(MONTH(Cleaned_Data[[#This Row],[Order_Date]])/3,0)&amp;"-2023"</f>
        <v>Q2-2023</v>
      </c>
      <c r="R287" t="str">
        <f>TEXT(Cleaned_Data[[#This Row],[Order_Date]],"DDD")</f>
        <v>Sun</v>
      </c>
      <c r="S287" t="str">
        <f>IF(Cleaned_Data[[#This Row],[Net_Sales]]&gt;=100000,"High",IF(Cleaned_Data[[#This Row],[Net_Sales]]&gt;=50000,"Medium","Low"))</f>
        <v>Low</v>
      </c>
    </row>
    <row r="288" spans="1:19" x14ac:dyDescent="0.3">
      <c r="A288" t="s">
        <v>436</v>
      </c>
      <c r="B288" s="1">
        <v>45055</v>
      </c>
      <c r="C288" t="s">
        <v>35</v>
      </c>
      <c r="D288" t="s">
        <v>36</v>
      </c>
      <c r="E288" t="s">
        <v>15</v>
      </c>
      <c r="F288" t="s">
        <v>119</v>
      </c>
      <c r="G288" t="s">
        <v>39</v>
      </c>
      <c r="H288" t="s">
        <v>57</v>
      </c>
      <c r="I288">
        <v>1</v>
      </c>
      <c r="J288" s="8">
        <v>27600</v>
      </c>
      <c r="K288">
        <v>0</v>
      </c>
      <c r="L288" t="s">
        <v>62</v>
      </c>
      <c r="M288" s="5">
        <f>Cleaned_Data[[#This Row],[Quantity]]*Cleaned_Data[[#This Row],[Unit_Price]]</f>
        <v>27600</v>
      </c>
      <c r="N288" s="7">
        <f>Cleaned_Data[[#This Row],[Total_sales]]*(Cleaned_Data[[#This Row],[Discount_Percent]]/100)</f>
        <v>0</v>
      </c>
      <c r="O288" s="7">
        <f>Cleaned_Data[[#This Row],[Total_sales]]-Cleaned_Data[[#This Row],[Discount_Amount]]</f>
        <v>27600</v>
      </c>
      <c r="P288" t="str">
        <f>TEXT(Cleaned_Data[[#This Row],[Order_Date]],"MMM-YYYY")</f>
        <v>May-2023</v>
      </c>
      <c r="Q288" t="str">
        <f>"Q"&amp;ROUNDUP(MONTH(Cleaned_Data[[#This Row],[Order_Date]])/3,0)&amp;"-2023"</f>
        <v>Q2-2023</v>
      </c>
      <c r="R288" t="str">
        <f>TEXT(Cleaned_Data[[#This Row],[Order_Date]],"DDD")</f>
        <v>Tue</v>
      </c>
      <c r="S288" t="str">
        <f>IF(Cleaned_Data[[#This Row],[Net_Sales]]&gt;=100000,"High",IF(Cleaned_Data[[#This Row],[Net_Sales]]&gt;=50000,"Medium","Low"))</f>
        <v>Low</v>
      </c>
    </row>
    <row r="289" spans="1:19" x14ac:dyDescent="0.3">
      <c r="A289" t="s">
        <v>437</v>
      </c>
      <c r="B289" s="1">
        <v>45055</v>
      </c>
      <c r="C289" t="s">
        <v>158</v>
      </c>
      <c r="D289" t="s">
        <v>159</v>
      </c>
      <c r="E289" t="s">
        <v>81</v>
      </c>
      <c r="F289" t="s">
        <v>117</v>
      </c>
      <c r="G289" t="s">
        <v>97</v>
      </c>
      <c r="H289" t="s">
        <v>174</v>
      </c>
      <c r="I289">
        <v>1</v>
      </c>
      <c r="J289" s="8">
        <v>70700</v>
      </c>
      <c r="K289">
        <v>0</v>
      </c>
      <c r="L289" t="s">
        <v>53</v>
      </c>
      <c r="M289" s="5">
        <f>Cleaned_Data[[#This Row],[Quantity]]*Cleaned_Data[[#This Row],[Unit_Price]]</f>
        <v>70700</v>
      </c>
      <c r="N289" s="7">
        <f>Cleaned_Data[[#This Row],[Total_sales]]*(Cleaned_Data[[#This Row],[Discount_Percent]]/100)</f>
        <v>0</v>
      </c>
      <c r="O289" s="7">
        <f>Cleaned_Data[[#This Row],[Total_sales]]-Cleaned_Data[[#This Row],[Discount_Amount]]</f>
        <v>70700</v>
      </c>
      <c r="P289" t="str">
        <f>TEXT(Cleaned_Data[[#This Row],[Order_Date]],"MMM-YYYY")</f>
        <v>May-2023</v>
      </c>
      <c r="Q289" t="str">
        <f>"Q"&amp;ROUNDUP(MONTH(Cleaned_Data[[#This Row],[Order_Date]])/3,0)&amp;"-2023"</f>
        <v>Q2-2023</v>
      </c>
      <c r="R289" t="str">
        <f>TEXT(Cleaned_Data[[#This Row],[Order_Date]],"DDD")</f>
        <v>Tue</v>
      </c>
      <c r="S289" t="str">
        <f>IF(Cleaned_Data[[#This Row],[Net_Sales]]&gt;=100000,"High",IF(Cleaned_Data[[#This Row],[Net_Sales]]&gt;=50000,"Medium","Low"))</f>
        <v>Medium</v>
      </c>
    </row>
    <row r="290" spans="1:19" x14ac:dyDescent="0.3">
      <c r="A290" t="s">
        <v>438</v>
      </c>
      <c r="B290" s="1">
        <v>45086</v>
      </c>
      <c r="C290" t="s">
        <v>105</v>
      </c>
      <c r="D290" t="s">
        <v>106</v>
      </c>
      <c r="E290" t="s">
        <v>81</v>
      </c>
      <c r="F290" t="s">
        <v>117</v>
      </c>
      <c r="G290" t="s">
        <v>39</v>
      </c>
      <c r="H290" t="s">
        <v>102</v>
      </c>
      <c r="I290">
        <v>1</v>
      </c>
      <c r="J290" s="8">
        <v>21700</v>
      </c>
      <c r="K290">
        <v>15</v>
      </c>
      <c r="L290" t="s">
        <v>62</v>
      </c>
      <c r="M290" s="5">
        <f>Cleaned_Data[[#This Row],[Quantity]]*Cleaned_Data[[#This Row],[Unit_Price]]</f>
        <v>21700</v>
      </c>
      <c r="N290" s="7">
        <f>Cleaned_Data[[#This Row],[Total_sales]]*(Cleaned_Data[[#This Row],[Discount_Percent]]/100)</f>
        <v>3255</v>
      </c>
      <c r="O290" s="7">
        <f>Cleaned_Data[[#This Row],[Total_sales]]-Cleaned_Data[[#This Row],[Discount_Amount]]</f>
        <v>18445</v>
      </c>
      <c r="P290" t="str">
        <f>TEXT(Cleaned_Data[[#This Row],[Order_Date]],"MMM-YYYY")</f>
        <v>Jun-2023</v>
      </c>
      <c r="Q290" t="str">
        <f>"Q"&amp;ROUNDUP(MONTH(Cleaned_Data[[#This Row],[Order_Date]])/3,0)&amp;"-2023"</f>
        <v>Q2-2023</v>
      </c>
      <c r="R290" t="str">
        <f>TEXT(Cleaned_Data[[#This Row],[Order_Date]],"DDD")</f>
        <v>Fri</v>
      </c>
      <c r="S290" t="str">
        <f>IF(Cleaned_Data[[#This Row],[Net_Sales]]&gt;=100000,"High",IF(Cleaned_Data[[#This Row],[Net_Sales]]&gt;=50000,"Medium","Low"))</f>
        <v>Low</v>
      </c>
    </row>
    <row r="291" spans="1:19" x14ac:dyDescent="0.3">
      <c r="A291" t="s">
        <v>439</v>
      </c>
      <c r="B291" s="1">
        <v>45086</v>
      </c>
      <c r="C291" t="s">
        <v>29</v>
      </c>
      <c r="D291" t="s">
        <v>30</v>
      </c>
      <c r="E291" t="s">
        <v>23</v>
      </c>
      <c r="F291" t="s">
        <v>24</v>
      </c>
      <c r="G291" t="s">
        <v>45</v>
      </c>
      <c r="H291" t="s">
        <v>156</v>
      </c>
      <c r="I291">
        <v>2</v>
      </c>
      <c r="J291" s="8">
        <v>38600</v>
      </c>
      <c r="K291">
        <v>10</v>
      </c>
      <c r="L291" t="s">
        <v>19</v>
      </c>
      <c r="M291" s="5">
        <f>Cleaned_Data[[#This Row],[Quantity]]*Cleaned_Data[[#This Row],[Unit_Price]]</f>
        <v>77200</v>
      </c>
      <c r="N291" s="7">
        <f>Cleaned_Data[[#This Row],[Total_sales]]*(Cleaned_Data[[#This Row],[Discount_Percent]]/100)</f>
        <v>7720</v>
      </c>
      <c r="O291" s="7">
        <f>Cleaned_Data[[#This Row],[Total_sales]]-Cleaned_Data[[#This Row],[Discount_Amount]]</f>
        <v>69480</v>
      </c>
      <c r="P291" t="str">
        <f>TEXT(Cleaned_Data[[#This Row],[Order_Date]],"MMM-YYYY")</f>
        <v>Jun-2023</v>
      </c>
      <c r="Q291" t="str">
        <f>"Q"&amp;ROUNDUP(MONTH(Cleaned_Data[[#This Row],[Order_Date]])/3,0)&amp;"-2023"</f>
        <v>Q2-2023</v>
      </c>
      <c r="R291" t="str">
        <f>TEXT(Cleaned_Data[[#This Row],[Order_Date]],"DDD")</f>
        <v>Fri</v>
      </c>
      <c r="S291" t="str">
        <f>IF(Cleaned_Data[[#This Row],[Net_Sales]]&gt;=100000,"High",IF(Cleaned_Data[[#This Row],[Net_Sales]]&gt;=50000,"Medium","Low"))</f>
        <v>Medium</v>
      </c>
    </row>
    <row r="292" spans="1:19" x14ac:dyDescent="0.3">
      <c r="A292" t="s">
        <v>440</v>
      </c>
      <c r="B292" s="1">
        <v>45086</v>
      </c>
      <c r="C292" t="s">
        <v>90</v>
      </c>
      <c r="D292" t="s">
        <v>91</v>
      </c>
      <c r="E292" t="s">
        <v>15</v>
      </c>
      <c r="F292" t="s">
        <v>131</v>
      </c>
      <c r="G292" t="s">
        <v>39</v>
      </c>
      <c r="H292" t="s">
        <v>68</v>
      </c>
      <c r="I292">
        <v>1</v>
      </c>
      <c r="J292" s="8">
        <v>15800</v>
      </c>
      <c r="K292">
        <v>0</v>
      </c>
      <c r="L292" t="s">
        <v>19</v>
      </c>
      <c r="M292" s="5">
        <f>Cleaned_Data[[#This Row],[Quantity]]*Cleaned_Data[[#This Row],[Unit_Price]]</f>
        <v>15800</v>
      </c>
      <c r="N292" s="7">
        <f>Cleaned_Data[[#This Row],[Total_sales]]*(Cleaned_Data[[#This Row],[Discount_Percent]]/100)</f>
        <v>0</v>
      </c>
      <c r="O292" s="7">
        <f>Cleaned_Data[[#This Row],[Total_sales]]-Cleaned_Data[[#This Row],[Discount_Amount]]</f>
        <v>15800</v>
      </c>
      <c r="P292" t="str">
        <f>TEXT(Cleaned_Data[[#This Row],[Order_Date]],"MMM-YYYY")</f>
        <v>Jun-2023</v>
      </c>
      <c r="Q292" t="str">
        <f>"Q"&amp;ROUNDUP(MONTH(Cleaned_Data[[#This Row],[Order_Date]])/3,0)&amp;"-2023"</f>
        <v>Q2-2023</v>
      </c>
      <c r="R292" t="str">
        <f>TEXT(Cleaned_Data[[#This Row],[Order_Date]],"DDD")</f>
        <v>Fri</v>
      </c>
      <c r="S292" t="str">
        <f>IF(Cleaned_Data[[#This Row],[Net_Sales]]&gt;=100000,"High",IF(Cleaned_Data[[#This Row],[Net_Sales]]&gt;=50000,"Medium","Low"))</f>
        <v>Low</v>
      </c>
    </row>
    <row r="293" spans="1:19" x14ac:dyDescent="0.3">
      <c r="A293" t="s">
        <v>441</v>
      </c>
      <c r="B293" s="1">
        <v>45116</v>
      </c>
      <c r="C293" t="s">
        <v>236</v>
      </c>
      <c r="D293" t="s">
        <v>237</v>
      </c>
      <c r="E293" t="s">
        <v>37</v>
      </c>
      <c r="F293" t="s">
        <v>101</v>
      </c>
      <c r="G293" t="s">
        <v>17</v>
      </c>
      <c r="H293" t="s">
        <v>18</v>
      </c>
      <c r="I293">
        <v>1</v>
      </c>
      <c r="J293" s="8">
        <v>45400</v>
      </c>
      <c r="K293">
        <v>10</v>
      </c>
      <c r="L293" t="s">
        <v>73</v>
      </c>
      <c r="M293" s="5">
        <f>Cleaned_Data[[#This Row],[Quantity]]*Cleaned_Data[[#This Row],[Unit_Price]]</f>
        <v>45400</v>
      </c>
      <c r="N293" s="7">
        <f>Cleaned_Data[[#This Row],[Total_sales]]*(Cleaned_Data[[#This Row],[Discount_Percent]]/100)</f>
        <v>4540</v>
      </c>
      <c r="O293" s="7">
        <f>Cleaned_Data[[#This Row],[Total_sales]]-Cleaned_Data[[#This Row],[Discount_Amount]]</f>
        <v>40860</v>
      </c>
      <c r="P293" t="str">
        <f>TEXT(Cleaned_Data[[#This Row],[Order_Date]],"MMM-YYYY")</f>
        <v>Jul-2023</v>
      </c>
      <c r="Q293" t="str">
        <f>"Q"&amp;ROUNDUP(MONTH(Cleaned_Data[[#This Row],[Order_Date]])/3,0)&amp;"-2023"</f>
        <v>Q3-2023</v>
      </c>
      <c r="R293" t="str">
        <f>TEXT(Cleaned_Data[[#This Row],[Order_Date]],"DDD")</f>
        <v>Sun</v>
      </c>
      <c r="S293" t="str">
        <f>IF(Cleaned_Data[[#This Row],[Net_Sales]]&gt;=100000,"High",IF(Cleaned_Data[[#This Row],[Net_Sales]]&gt;=50000,"Medium","Low"))</f>
        <v>Low</v>
      </c>
    </row>
    <row r="294" spans="1:19" x14ac:dyDescent="0.3">
      <c r="A294" t="s">
        <v>442</v>
      </c>
      <c r="B294" s="1">
        <v>45116</v>
      </c>
      <c r="C294" t="s">
        <v>151</v>
      </c>
      <c r="D294" t="s">
        <v>152</v>
      </c>
      <c r="E294" t="s">
        <v>15</v>
      </c>
      <c r="F294" t="s">
        <v>119</v>
      </c>
      <c r="G294" t="s">
        <v>45</v>
      </c>
      <c r="H294" t="s">
        <v>52</v>
      </c>
      <c r="I294">
        <v>1</v>
      </c>
      <c r="J294" s="8">
        <v>23200</v>
      </c>
      <c r="K294">
        <v>25</v>
      </c>
      <c r="L294" t="s">
        <v>27</v>
      </c>
      <c r="M294" s="5">
        <f>Cleaned_Data[[#This Row],[Quantity]]*Cleaned_Data[[#This Row],[Unit_Price]]</f>
        <v>23200</v>
      </c>
      <c r="N294" s="7">
        <f>Cleaned_Data[[#This Row],[Total_sales]]*(Cleaned_Data[[#This Row],[Discount_Percent]]/100)</f>
        <v>5800</v>
      </c>
      <c r="O294" s="7">
        <f>Cleaned_Data[[#This Row],[Total_sales]]-Cleaned_Data[[#This Row],[Discount_Amount]]</f>
        <v>17400</v>
      </c>
      <c r="P294" t="str">
        <f>TEXT(Cleaned_Data[[#This Row],[Order_Date]],"MMM-YYYY")</f>
        <v>Jul-2023</v>
      </c>
      <c r="Q294" t="str">
        <f>"Q"&amp;ROUNDUP(MONTH(Cleaned_Data[[#This Row],[Order_Date]])/3,0)&amp;"-2023"</f>
        <v>Q3-2023</v>
      </c>
      <c r="R294" t="str">
        <f>TEXT(Cleaned_Data[[#This Row],[Order_Date]],"DDD")</f>
        <v>Sun</v>
      </c>
      <c r="S294" t="str">
        <f>IF(Cleaned_Data[[#This Row],[Net_Sales]]&gt;=100000,"High",IF(Cleaned_Data[[#This Row],[Net_Sales]]&gt;=50000,"Medium","Low"))</f>
        <v>Low</v>
      </c>
    </row>
    <row r="295" spans="1:19" x14ac:dyDescent="0.3">
      <c r="A295" t="s">
        <v>443</v>
      </c>
      <c r="B295" s="1">
        <v>45116</v>
      </c>
      <c r="C295" t="s">
        <v>151</v>
      </c>
      <c r="D295" t="s">
        <v>152</v>
      </c>
      <c r="E295" t="s">
        <v>23</v>
      </c>
      <c r="F295" t="s">
        <v>44</v>
      </c>
      <c r="G295" t="s">
        <v>17</v>
      </c>
      <c r="H295" t="s">
        <v>77</v>
      </c>
      <c r="I295">
        <v>1</v>
      </c>
      <c r="J295" s="8">
        <v>40700</v>
      </c>
      <c r="K295">
        <v>10</v>
      </c>
      <c r="L295" t="s">
        <v>19</v>
      </c>
      <c r="M295" s="5">
        <f>Cleaned_Data[[#This Row],[Quantity]]*Cleaned_Data[[#This Row],[Unit_Price]]</f>
        <v>40700</v>
      </c>
      <c r="N295" s="7">
        <f>Cleaned_Data[[#This Row],[Total_sales]]*(Cleaned_Data[[#This Row],[Discount_Percent]]/100)</f>
        <v>4070</v>
      </c>
      <c r="O295" s="7">
        <f>Cleaned_Data[[#This Row],[Total_sales]]-Cleaned_Data[[#This Row],[Discount_Amount]]</f>
        <v>36630</v>
      </c>
      <c r="P295" t="str">
        <f>TEXT(Cleaned_Data[[#This Row],[Order_Date]],"MMM-YYYY")</f>
        <v>Jul-2023</v>
      </c>
      <c r="Q295" t="str">
        <f>"Q"&amp;ROUNDUP(MONTH(Cleaned_Data[[#This Row],[Order_Date]])/3,0)&amp;"-2023"</f>
        <v>Q3-2023</v>
      </c>
      <c r="R295" t="str">
        <f>TEXT(Cleaned_Data[[#This Row],[Order_Date]],"DDD")</f>
        <v>Sun</v>
      </c>
      <c r="S295" t="str">
        <f>IF(Cleaned_Data[[#This Row],[Net_Sales]]&gt;=100000,"High",IF(Cleaned_Data[[#This Row],[Net_Sales]]&gt;=50000,"Medium","Low"))</f>
        <v>Low</v>
      </c>
    </row>
    <row r="296" spans="1:19" x14ac:dyDescent="0.3">
      <c r="A296" t="s">
        <v>444</v>
      </c>
      <c r="B296" s="1">
        <v>45116</v>
      </c>
      <c r="C296" t="s">
        <v>55</v>
      </c>
      <c r="D296" t="s">
        <v>56</v>
      </c>
      <c r="E296" t="s">
        <v>37</v>
      </c>
      <c r="F296" t="s">
        <v>141</v>
      </c>
      <c r="G296" t="s">
        <v>97</v>
      </c>
      <c r="H296" t="s">
        <v>98</v>
      </c>
      <c r="I296">
        <v>2</v>
      </c>
      <c r="J296" s="8">
        <v>48300</v>
      </c>
      <c r="K296">
        <v>15</v>
      </c>
      <c r="L296" t="s">
        <v>47</v>
      </c>
      <c r="M296" s="5">
        <f>Cleaned_Data[[#This Row],[Quantity]]*Cleaned_Data[[#This Row],[Unit_Price]]</f>
        <v>96600</v>
      </c>
      <c r="N296" s="7">
        <f>Cleaned_Data[[#This Row],[Total_sales]]*(Cleaned_Data[[#This Row],[Discount_Percent]]/100)</f>
        <v>14490</v>
      </c>
      <c r="O296" s="7">
        <f>Cleaned_Data[[#This Row],[Total_sales]]-Cleaned_Data[[#This Row],[Discount_Amount]]</f>
        <v>82110</v>
      </c>
      <c r="P296" t="str">
        <f>TEXT(Cleaned_Data[[#This Row],[Order_Date]],"MMM-YYYY")</f>
        <v>Jul-2023</v>
      </c>
      <c r="Q296" t="str">
        <f>"Q"&amp;ROUNDUP(MONTH(Cleaned_Data[[#This Row],[Order_Date]])/3,0)&amp;"-2023"</f>
        <v>Q3-2023</v>
      </c>
      <c r="R296" t="str">
        <f>TEXT(Cleaned_Data[[#This Row],[Order_Date]],"DDD")</f>
        <v>Sun</v>
      </c>
      <c r="S296" t="str">
        <f>IF(Cleaned_Data[[#This Row],[Net_Sales]]&gt;=100000,"High",IF(Cleaned_Data[[#This Row],[Net_Sales]]&gt;=50000,"Medium","Low"))</f>
        <v>Medium</v>
      </c>
    </row>
    <row r="297" spans="1:19" x14ac:dyDescent="0.3">
      <c r="A297" t="s">
        <v>445</v>
      </c>
      <c r="B297" s="1">
        <v>45116</v>
      </c>
      <c r="C297" t="s">
        <v>112</v>
      </c>
      <c r="D297" t="s">
        <v>113</v>
      </c>
      <c r="E297" t="s">
        <v>81</v>
      </c>
      <c r="F297" t="s">
        <v>160</v>
      </c>
      <c r="G297" t="s">
        <v>39</v>
      </c>
      <c r="H297" t="s">
        <v>102</v>
      </c>
      <c r="I297">
        <v>1</v>
      </c>
      <c r="J297" s="8">
        <v>18300</v>
      </c>
      <c r="K297">
        <v>0</v>
      </c>
      <c r="L297" t="s">
        <v>62</v>
      </c>
      <c r="M297" s="5">
        <f>Cleaned_Data[[#This Row],[Quantity]]*Cleaned_Data[[#This Row],[Unit_Price]]</f>
        <v>18300</v>
      </c>
      <c r="N297" s="7">
        <f>Cleaned_Data[[#This Row],[Total_sales]]*(Cleaned_Data[[#This Row],[Discount_Percent]]/100)</f>
        <v>0</v>
      </c>
      <c r="O297" s="7">
        <f>Cleaned_Data[[#This Row],[Total_sales]]-Cleaned_Data[[#This Row],[Discount_Amount]]</f>
        <v>18300</v>
      </c>
      <c r="P297" t="str">
        <f>TEXT(Cleaned_Data[[#This Row],[Order_Date]],"MMM-YYYY")</f>
        <v>Jul-2023</v>
      </c>
      <c r="Q297" t="str">
        <f>"Q"&amp;ROUNDUP(MONTH(Cleaned_Data[[#This Row],[Order_Date]])/3,0)&amp;"-2023"</f>
        <v>Q3-2023</v>
      </c>
      <c r="R297" t="str">
        <f>TEXT(Cleaned_Data[[#This Row],[Order_Date]],"DDD")</f>
        <v>Sun</v>
      </c>
      <c r="S297" t="str">
        <f>IF(Cleaned_Data[[#This Row],[Net_Sales]]&gt;=100000,"High",IF(Cleaned_Data[[#This Row],[Net_Sales]]&gt;=50000,"Medium","Low"))</f>
        <v>Low</v>
      </c>
    </row>
    <row r="298" spans="1:19" x14ac:dyDescent="0.3">
      <c r="A298" t="s">
        <v>446</v>
      </c>
      <c r="B298" s="1">
        <v>45116</v>
      </c>
      <c r="C298" t="s">
        <v>163</v>
      </c>
      <c r="D298" t="s">
        <v>73</v>
      </c>
      <c r="E298" t="s">
        <v>15</v>
      </c>
      <c r="F298" t="s">
        <v>131</v>
      </c>
      <c r="G298" t="s">
        <v>45</v>
      </c>
      <c r="H298" t="s">
        <v>46</v>
      </c>
      <c r="I298">
        <v>1</v>
      </c>
      <c r="J298" s="8">
        <v>27800</v>
      </c>
      <c r="K298">
        <v>15</v>
      </c>
      <c r="L298" t="s">
        <v>47</v>
      </c>
      <c r="M298" s="5">
        <f>Cleaned_Data[[#This Row],[Quantity]]*Cleaned_Data[[#This Row],[Unit_Price]]</f>
        <v>27800</v>
      </c>
      <c r="N298" s="7">
        <f>Cleaned_Data[[#This Row],[Total_sales]]*(Cleaned_Data[[#This Row],[Discount_Percent]]/100)</f>
        <v>4170</v>
      </c>
      <c r="O298" s="7">
        <f>Cleaned_Data[[#This Row],[Total_sales]]-Cleaned_Data[[#This Row],[Discount_Amount]]</f>
        <v>23630</v>
      </c>
      <c r="P298" t="str">
        <f>TEXT(Cleaned_Data[[#This Row],[Order_Date]],"MMM-YYYY")</f>
        <v>Jul-2023</v>
      </c>
      <c r="Q298" t="str">
        <f>"Q"&amp;ROUNDUP(MONTH(Cleaned_Data[[#This Row],[Order_Date]])/3,0)&amp;"-2023"</f>
        <v>Q3-2023</v>
      </c>
      <c r="R298" t="str">
        <f>TEXT(Cleaned_Data[[#This Row],[Order_Date]],"DDD")</f>
        <v>Sun</v>
      </c>
      <c r="S298" t="str">
        <f>IF(Cleaned_Data[[#This Row],[Net_Sales]]&gt;=100000,"High",IF(Cleaned_Data[[#This Row],[Net_Sales]]&gt;=50000,"Medium","Low"))</f>
        <v>Low</v>
      </c>
    </row>
    <row r="299" spans="1:19" x14ac:dyDescent="0.3">
      <c r="A299" t="s">
        <v>447</v>
      </c>
      <c r="B299" s="1">
        <v>45147</v>
      </c>
      <c r="C299" t="s">
        <v>188</v>
      </c>
      <c r="D299" t="s">
        <v>189</v>
      </c>
      <c r="E299" t="s">
        <v>81</v>
      </c>
      <c r="F299" t="s">
        <v>82</v>
      </c>
      <c r="G299" t="s">
        <v>97</v>
      </c>
      <c r="H299" t="s">
        <v>133</v>
      </c>
      <c r="I299">
        <v>1</v>
      </c>
      <c r="J299" s="8">
        <v>69200</v>
      </c>
      <c r="K299">
        <v>10</v>
      </c>
      <c r="L299" t="s">
        <v>53</v>
      </c>
      <c r="M299" s="5">
        <f>Cleaned_Data[[#This Row],[Quantity]]*Cleaned_Data[[#This Row],[Unit_Price]]</f>
        <v>69200</v>
      </c>
      <c r="N299" s="7">
        <f>Cleaned_Data[[#This Row],[Total_sales]]*(Cleaned_Data[[#This Row],[Discount_Percent]]/100)</f>
        <v>6920</v>
      </c>
      <c r="O299" s="7">
        <f>Cleaned_Data[[#This Row],[Total_sales]]-Cleaned_Data[[#This Row],[Discount_Amount]]</f>
        <v>62280</v>
      </c>
      <c r="P299" t="str">
        <f>TEXT(Cleaned_Data[[#This Row],[Order_Date]],"MMM-YYYY")</f>
        <v>Aug-2023</v>
      </c>
      <c r="Q299" t="str">
        <f>"Q"&amp;ROUNDUP(MONTH(Cleaned_Data[[#This Row],[Order_Date]])/3,0)&amp;"-2023"</f>
        <v>Q3-2023</v>
      </c>
      <c r="R299" t="str">
        <f>TEXT(Cleaned_Data[[#This Row],[Order_Date]],"DDD")</f>
        <v>Wed</v>
      </c>
      <c r="S299" t="str">
        <f>IF(Cleaned_Data[[#This Row],[Net_Sales]]&gt;=100000,"High",IF(Cleaned_Data[[#This Row],[Net_Sales]]&gt;=50000,"Medium","Low"))</f>
        <v>Medium</v>
      </c>
    </row>
    <row r="300" spans="1:19" x14ac:dyDescent="0.3">
      <c r="A300" t="s">
        <v>448</v>
      </c>
      <c r="B300" s="1">
        <v>45178</v>
      </c>
      <c r="C300" t="s">
        <v>112</v>
      </c>
      <c r="D300" t="s">
        <v>113</v>
      </c>
      <c r="E300" t="s">
        <v>37</v>
      </c>
      <c r="F300" t="s">
        <v>141</v>
      </c>
      <c r="G300" t="s">
        <v>17</v>
      </c>
      <c r="H300" t="s">
        <v>77</v>
      </c>
      <c r="I300">
        <v>1</v>
      </c>
      <c r="J300" s="8">
        <v>34700</v>
      </c>
      <c r="K300">
        <v>0</v>
      </c>
      <c r="L300" t="s">
        <v>27</v>
      </c>
      <c r="M300" s="5">
        <f>Cleaned_Data[[#This Row],[Quantity]]*Cleaned_Data[[#This Row],[Unit_Price]]</f>
        <v>34700</v>
      </c>
      <c r="N300" s="7">
        <f>Cleaned_Data[[#This Row],[Total_sales]]*(Cleaned_Data[[#This Row],[Discount_Percent]]/100)</f>
        <v>0</v>
      </c>
      <c r="O300" s="7">
        <f>Cleaned_Data[[#This Row],[Total_sales]]-Cleaned_Data[[#This Row],[Discount_Amount]]</f>
        <v>34700</v>
      </c>
      <c r="P300" t="str">
        <f>TEXT(Cleaned_Data[[#This Row],[Order_Date]],"MMM-YYYY")</f>
        <v>Sep-2023</v>
      </c>
      <c r="Q300" t="str">
        <f>"Q"&amp;ROUNDUP(MONTH(Cleaned_Data[[#This Row],[Order_Date]])/3,0)&amp;"-2023"</f>
        <v>Q3-2023</v>
      </c>
      <c r="R300" t="str">
        <f>TEXT(Cleaned_Data[[#This Row],[Order_Date]],"DDD")</f>
        <v>Sat</v>
      </c>
      <c r="S300" t="str">
        <f>IF(Cleaned_Data[[#This Row],[Net_Sales]]&gt;=100000,"High",IF(Cleaned_Data[[#This Row],[Net_Sales]]&gt;=50000,"Medium","Low"))</f>
        <v>Low</v>
      </c>
    </row>
    <row r="301" spans="1:19" x14ac:dyDescent="0.3">
      <c r="A301" t="s">
        <v>449</v>
      </c>
      <c r="B301" s="1">
        <v>45178</v>
      </c>
      <c r="C301" t="s">
        <v>64</v>
      </c>
      <c r="D301" t="s">
        <v>65</v>
      </c>
      <c r="E301" t="s">
        <v>37</v>
      </c>
      <c r="F301" t="s">
        <v>141</v>
      </c>
      <c r="G301" t="s">
        <v>97</v>
      </c>
      <c r="H301" t="s">
        <v>171</v>
      </c>
      <c r="I301">
        <v>2</v>
      </c>
      <c r="J301" s="8">
        <v>58600</v>
      </c>
      <c r="K301">
        <v>0</v>
      </c>
      <c r="L301" t="s">
        <v>33</v>
      </c>
      <c r="M301" s="5">
        <f>Cleaned_Data[[#This Row],[Quantity]]*Cleaned_Data[[#This Row],[Unit_Price]]</f>
        <v>117200</v>
      </c>
      <c r="N301" s="7">
        <f>Cleaned_Data[[#This Row],[Total_sales]]*(Cleaned_Data[[#This Row],[Discount_Percent]]/100)</f>
        <v>0</v>
      </c>
      <c r="O301" s="7">
        <f>Cleaned_Data[[#This Row],[Total_sales]]-Cleaned_Data[[#This Row],[Discount_Amount]]</f>
        <v>117200</v>
      </c>
      <c r="P301" t="str">
        <f>TEXT(Cleaned_Data[[#This Row],[Order_Date]],"MMM-YYYY")</f>
        <v>Sep-2023</v>
      </c>
      <c r="Q301" t="str">
        <f>"Q"&amp;ROUNDUP(MONTH(Cleaned_Data[[#This Row],[Order_Date]])/3,0)&amp;"-2023"</f>
        <v>Q3-2023</v>
      </c>
      <c r="R301" t="str">
        <f>TEXT(Cleaned_Data[[#This Row],[Order_Date]],"DDD")</f>
        <v>Sat</v>
      </c>
      <c r="S301" t="str">
        <f>IF(Cleaned_Data[[#This Row],[Net_Sales]]&gt;=100000,"High",IF(Cleaned_Data[[#This Row],[Net_Sales]]&gt;=50000,"Medium","Low"))</f>
        <v>High</v>
      </c>
    </row>
    <row r="302" spans="1:19" x14ac:dyDescent="0.3">
      <c r="A302" t="s">
        <v>450</v>
      </c>
      <c r="B302" s="1">
        <v>45208</v>
      </c>
      <c r="C302" t="s">
        <v>126</v>
      </c>
      <c r="D302" t="s">
        <v>127</v>
      </c>
      <c r="E302" t="s">
        <v>81</v>
      </c>
      <c r="F302" t="s">
        <v>160</v>
      </c>
      <c r="G302" t="s">
        <v>25</v>
      </c>
      <c r="H302" t="s">
        <v>124</v>
      </c>
      <c r="I302">
        <v>2</v>
      </c>
      <c r="J302" s="8">
        <v>3000</v>
      </c>
      <c r="K302">
        <v>5</v>
      </c>
      <c r="L302" t="s">
        <v>33</v>
      </c>
      <c r="M302" s="5">
        <f>Cleaned_Data[[#This Row],[Quantity]]*Cleaned_Data[[#This Row],[Unit_Price]]</f>
        <v>6000</v>
      </c>
      <c r="N302" s="7">
        <f>Cleaned_Data[[#This Row],[Total_sales]]*(Cleaned_Data[[#This Row],[Discount_Percent]]/100)</f>
        <v>300</v>
      </c>
      <c r="O302" s="7">
        <f>Cleaned_Data[[#This Row],[Total_sales]]-Cleaned_Data[[#This Row],[Discount_Amount]]</f>
        <v>5700</v>
      </c>
      <c r="P302" t="str">
        <f>TEXT(Cleaned_Data[[#This Row],[Order_Date]],"MMM-YYYY")</f>
        <v>Oct-2023</v>
      </c>
      <c r="Q302" t="str">
        <f>"Q"&amp;ROUNDUP(MONTH(Cleaned_Data[[#This Row],[Order_Date]])/3,0)&amp;"-2023"</f>
        <v>Q4-2023</v>
      </c>
      <c r="R302" t="str">
        <f>TEXT(Cleaned_Data[[#This Row],[Order_Date]],"DDD")</f>
        <v>Mon</v>
      </c>
      <c r="S302" t="str">
        <f>IF(Cleaned_Data[[#This Row],[Net_Sales]]&gt;=100000,"High",IF(Cleaned_Data[[#This Row],[Net_Sales]]&gt;=50000,"Medium","Low"))</f>
        <v>Low</v>
      </c>
    </row>
    <row r="303" spans="1:19" x14ac:dyDescent="0.3">
      <c r="A303" t="s">
        <v>451</v>
      </c>
      <c r="B303" s="1">
        <v>45208</v>
      </c>
      <c r="C303" t="s">
        <v>183</v>
      </c>
      <c r="D303" t="s">
        <v>27</v>
      </c>
      <c r="E303" t="s">
        <v>66</v>
      </c>
      <c r="F303" t="s">
        <v>67</v>
      </c>
      <c r="G303" t="s">
        <v>45</v>
      </c>
      <c r="H303" t="s">
        <v>207</v>
      </c>
      <c r="I303">
        <v>1</v>
      </c>
      <c r="J303" s="8">
        <v>38700</v>
      </c>
      <c r="K303">
        <v>5</v>
      </c>
      <c r="L303" t="s">
        <v>33</v>
      </c>
      <c r="M303" s="5">
        <f>Cleaned_Data[[#This Row],[Quantity]]*Cleaned_Data[[#This Row],[Unit_Price]]</f>
        <v>38700</v>
      </c>
      <c r="N303" s="7">
        <f>Cleaned_Data[[#This Row],[Total_sales]]*(Cleaned_Data[[#This Row],[Discount_Percent]]/100)</f>
        <v>1935</v>
      </c>
      <c r="O303" s="7">
        <f>Cleaned_Data[[#This Row],[Total_sales]]-Cleaned_Data[[#This Row],[Discount_Amount]]</f>
        <v>36765</v>
      </c>
      <c r="P303" t="str">
        <f>TEXT(Cleaned_Data[[#This Row],[Order_Date]],"MMM-YYYY")</f>
        <v>Oct-2023</v>
      </c>
      <c r="Q303" t="str">
        <f>"Q"&amp;ROUNDUP(MONTH(Cleaned_Data[[#This Row],[Order_Date]])/3,0)&amp;"-2023"</f>
        <v>Q4-2023</v>
      </c>
      <c r="R303" t="str">
        <f>TEXT(Cleaned_Data[[#This Row],[Order_Date]],"DDD")</f>
        <v>Mon</v>
      </c>
      <c r="S303" t="str">
        <f>IF(Cleaned_Data[[#This Row],[Net_Sales]]&gt;=100000,"High",IF(Cleaned_Data[[#This Row],[Net_Sales]]&gt;=50000,"Medium","Low"))</f>
        <v>Low</v>
      </c>
    </row>
    <row r="304" spans="1:19" x14ac:dyDescent="0.3">
      <c r="A304" t="s">
        <v>452</v>
      </c>
      <c r="B304" s="1">
        <v>45239</v>
      </c>
      <c r="C304" t="s">
        <v>122</v>
      </c>
      <c r="D304" t="s">
        <v>123</v>
      </c>
      <c r="E304" t="s">
        <v>66</v>
      </c>
      <c r="F304" t="s">
        <v>87</v>
      </c>
      <c r="G304" t="s">
        <v>17</v>
      </c>
      <c r="H304" t="s">
        <v>168</v>
      </c>
      <c r="I304">
        <v>1</v>
      </c>
      <c r="J304" s="8">
        <v>46000</v>
      </c>
      <c r="K304">
        <v>20</v>
      </c>
      <c r="L304" t="s">
        <v>33</v>
      </c>
      <c r="M304" s="5">
        <f>Cleaned_Data[[#This Row],[Quantity]]*Cleaned_Data[[#This Row],[Unit_Price]]</f>
        <v>46000</v>
      </c>
      <c r="N304" s="7">
        <f>Cleaned_Data[[#This Row],[Total_sales]]*(Cleaned_Data[[#This Row],[Discount_Percent]]/100)</f>
        <v>9200</v>
      </c>
      <c r="O304" s="7">
        <f>Cleaned_Data[[#This Row],[Total_sales]]-Cleaned_Data[[#This Row],[Discount_Amount]]</f>
        <v>36800</v>
      </c>
      <c r="P304" t="str">
        <f>TEXT(Cleaned_Data[[#This Row],[Order_Date]],"MMM-YYYY")</f>
        <v>Nov-2023</v>
      </c>
      <c r="Q304" t="str">
        <f>"Q"&amp;ROUNDUP(MONTH(Cleaned_Data[[#This Row],[Order_Date]])/3,0)&amp;"-2023"</f>
        <v>Q4-2023</v>
      </c>
      <c r="R304" t="str">
        <f>TEXT(Cleaned_Data[[#This Row],[Order_Date]],"DDD")</f>
        <v>Thu</v>
      </c>
      <c r="S304" t="str">
        <f>IF(Cleaned_Data[[#This Row],[Net_Sales]]&gt;=100000,"High",IF(Cleaned_Data[[#This Row],[Net_Sales]]&gt;=50000,"Medium","Low"))</f>
        <v>Low</v>
      </c>
    </row>
    <row r="305" spans="1:19" x14ac:dyDescent="0.3">
      <c r="A305" t="s">
        <v>453</v>
      </c>
      <c r="B305" s="1">
        <v>45239</v>
      </c>
      <c r="C305" t="s">
        <v>84</v>
      </c>
      <c r="D305" t="s">
        <v>85</v>
      </c>
      <c r="E305" t="s">
        <v>37</v>
      </c>
      <c r="F305" t="s">
        <v>101</v>
      </c>
      <c r="G305" t="s">
        <v>97</v>
      </c>
      <c r="H305" t="s">
        <v>174</v>
      </c>
      <c r="I305">
        <v>2</v>
      </c>
      <c r="J305" s="8">
        <v>45500</v>
      </c>
      <c r="K305">
        <v>15</v>
      </c>
      <c r="L305" t="s">
        <v>33</v>
      </c>
      <c r="M305" s="5">
        <f>Cleaned_Data[[#This Row],[Quantity]]*Cleaned_Data[[#This Row],[Unit_Price]]</f>
        <v>91000</v>
      </c>
      <c r="N305" s="7">
        <f>Cleaned_Data[[#This Row],[Total_sales]]*(Cleaned_Data[[#This Row],[Discount_Percent]]/100)</f>
        <v>13650</v>
      </c>
      <c r="O305" s="7">
        <f>Cleaned_Data[[#This Row],[Total_sales]]-Cleaned_Data[[#This Row],[Discount_Amount]]</f>
        <v>77350</v>
      </c>
      <c r="P305" t="str">
        <f>TEXT(Cleaned_Data[[#This Row],[Order_Date]],"MMM-YYYY")</f>
        <v>Nov-2023</v>
      </c>
      <c r="Q305" t="str">
        <f>"Q"&amp;ROUNDUP(MONTH(Cleaned_Data[[#This Row],[Order_Date]])/3,0)&amp;"-2023"</f>
        <v>Q4-2023</v>
      </c>
      <c r="R305" t="str">
        <f>TEXT(Cleaned_Data[[#This Row],[Order_Date]],"DDD")</f>
        <v>Thu</v>
      </c>
      <c r="S305" t="str">
        <f>IF(Cleaned_Data[[#This Row],[Net_Sales]]&gt;=100000,"High",IF(Cleaned_Data[[#This Row],[Net_Sales]]&gt;=50000,"Medium","Low"))</f>
        <v>Medium</v>
      </c>
    </row>
    <row r="306" spans="1:19" x14ac:dyDescent="0.3">
      <c r="A306" t="s">
        <v>454</v>
      </c>
      <c r="B306" s="1">
        <v>45239</v>
      </c>
      <c r="C306" t="s">
        <v>21</v>
      </c>
      <c r="D306" t="s">
        <v>22</v>
      </c>
      <c r="E306" t="s">
        <v>66</v>
      </c>
      <c r="F306" t="s">
        <v>67</v>
      </c>
      <c r="G306" t="s">
        <v>45</v>
      </c>
      <c r="H306" t="s">
        <v>52</v>
      </c>
      <c r="I306">
        <v>1</v>
      </c>
      <c r="J306" s="8">
        <v>39500</v>
      </c>
      <c r="K306">
        <v>15</v>
      </c>
      <c r="L306" t="s">
        <v>62</v>
      </c>
      <c r="M306" s="5">
        <f>Cleaned_Data[[#This Row],[Quantity]]*Cleaned_Data[[#This Row],[Unit_Price]]</f>
        <v>39500</v>
      </c>
      <c r="N306" s="7">
        <f>Cleaned_Data[[#This Row],[Total_sales]]*(Cleaned_Data[[#This Row],[Discount_Percent]]/100)</f>
        <v>5925</v>
      </c>
      <c r="O306" s="7">
        <f>Cleaned_Data[[#This Row],[Total_sales]]-Cleaned_Data[[#This Row],[Discount_Amount]]</f>
        <v>33575</v>
      </c>
      <c r="P306" t="str">
        <f>TEXT(Cleaned_Data[[#This Row],[Order_Date]],"MMM-YYYY")</f>
        <v>Nov-2023</v>
      </c>
      <c r="Q306" t="str">
        <f>"Q"&amp;ROUNDUP(MONTH(Cleaned_Data[[#This Row],[Order_Date]])/3,0)&amp;"-2023"</f>
        <v>Q4-2023</v>
      </c>
      <c r="R306" t="str">
        <f>TEXT(Cleaned_Data[[#This Row],[Order_Date]],"DDD")</f>
        <v>Thu</v>
      </c>
      <c r="S306" t="str">
        <f>IF(Cleaned_Data[[#This Row],[Net_Sales]]&gt;=100000,"High",IF(Cleaned_Data[[#This Row],[Net_Sales]]&gt;=50000,"Medium","Low"))</f>
        <v>Low</v>
      </c>
    </row>
    <row r="307" spans="1:19" x14ac:dyDescent="0.3">
      <c r="A307" t="s">
        <v>455</v>
      </c>
      <c r="B307" s="1">
        <v>45239</v>
      </c>
      <c r="C307" t="s">
        <v>203</v>
      </c>
      <c r="D307" t="s">
        <v>204</v>
      </c>
      <c r="E307" t="s">
        <v>66</v>
      </c>
      <c r="F307" t="s">
        <v>92</v>
      </c>
      <c r="G307" t="s">
        <v>39</v>
      </c>
      <c r="H307" t="s">
        <v>102</v>
      </c>
      <c r="I307">
        <v>1</v>
      </c>
      <c r="J307" s="8">
        <v>23700</v>
      </c>
      <c r="K307">
        <v>0</v>
      </c>
      <c r="L307" t="s">
        <v>73</v>
      </c>
      <c r="M307" s="5">
        <f>Cleaned_Data[[#This Row],[Quantity]]*Cleaned_Data[[#This Row],[Unit_Price]]</f>
        <v>23700</v>
      </c>
      <c r="N307" s="7">
        <f>Cleaned_Data[[#This Row],[Total_sales]]*(Cleaned_Data[[#This Row],[Discount_Percent]]/100)</f>
        <v>0</v>
      </c>
      <c r="O307" s="7">
        <f>Cleaned_Data[[#This Row],[Total_sales]]-Cleaned_Data[[#This Row],[Discount_Amount]]</f>
        <v>23700</v>
      </c>
      <c r="P307" t="str">
        <f>TEXT(Cleaned_Data[[#This Row],[Order_Date]],"MMM-YYYY")</f>
        <v>Nov-2023</v>
      </c>
      <c r="Q307" t="str">
        <f>"Q"&amp;ROUNDUP(MONTH(Cleaned_Data[[#This Row],[Order_Date]])/3,0)&amp;"-2023"</f>
        <v>Q4-2023</v>
      </c>
      <c r="R307" t="str">
        <f>TEXT(Cleaned_Data[[#This Row],[Order_Date]],"DDD")</f>
        <v>Thu</v>
      </c>
      <c r="S307" t="str">
        <f>IF(Cleaned_Data[[#This Row],[Net_Sales]]&gt;=100000,"High",IF(Cleaned_Data[[#This Row],[Net_Sales]]&gt;=50000,"Medium","Low"))</f>
        <v>Low</v>
      </c>
    </row>
    <row r="308" spans="1:19" x14ac:dyDescent="0.3">
      <c r="A308" t="s">
        <v>456</v>
      </c>
      <c r="B308" s="1">
        <v>45239</v>
      </c>
      <c r="C308" t="s">
        <v>90</v>
      </c>
      <c r="D308" t="s">
        <v>91</v>
      </c>
      <c r="E308" t="s">
        <v>66</v>
      </c>
      <c r="F308" t="s">
        <v>87</v>
      </c>
      <c r="G308" t="s">
        <v>25</v>
      </c>
      <c r="H308" t="s">
        <v>108</v>
      </c>
      <c r="I308">
        <v>1</v>
      </c>
      <c r="J308" s="8">
        <v>1400</v>
      </c>
      <c r="K308">
        <v>0</v>
      </c>
      <c r="L308" t="s">
        <v>73</v>
      </c>
      <c r="M308" s="5">
        <f>Cleaned_Data[[#This Row],[Quantity]]*Cleaned_Data[[#This Row],[Unit_Price]]</f>
        <v>1400</v>
      </c>
      <c r="N308" s="7">
        <f>Cleaned_Data[[#This Row],[Total_sales]]*(Cleaned_Data[[#This Row],[Discount_Percent]]/100)</f>
        <v>0</v>
      </c>
      <c r="O308" s="7">
        <f>Cleaned_Data[[#This Row],[Total_sales]]-Cleaned_Data[[#This Row],[Discount_Amount]]</f>
        <v>1400</v>
      </c>
      <c r="P308" t="str">
        <f>TEXT(Cleaned_Data[[#This Row],[Order_Date]],"MMM-YYYY")</f>
        <v>Nov-2023</v>
      </c>
      <c r="Q308" t="str">
        <f>"Q"&amp;ROUNDUP(MONTH(Cleaned_Data[[#This Row],[Order_Date]])/3,0)&amp;"-2023"</f>
        <v>Q4-2023</v>
      </c>
      <c r="R308" t="str">
        <f>TEXT(Cleaned_Data[[#This Row],[Order_Date]],"DDD")</f>
        <v>Thu</v>
      </c>
      <c r="S308" t="str">
        <f>IF(Cleaned_Data[[#This Row],[Net_Sales]]&gt;=100000,"High",IF(Cleaned_Data[[#This Row],[Net_Sales]]&gt;=50000,"Medium","Low"))</f>
        <v>Low</v>
      </c>
    </row>
    <row r="309" spans="1:19" x14ac:dyDescent="0.3">
      <c r="A309" t="s">
        <v>457</v>
      </c>
      <c r="B309" s="1">
        <v>45239</v>
      </c>
      <c r="C309" t="s">
        <v>59</v>
      </c>
      <c r="D309" t="s">
        <v>60</v>
      </c>
      <c r="E309" t="s">
        <v>37</v>
      </c>
      <c r="F309" t="s">
        <v>141</v>
      </c>
      <c r="G309" t="s">
        <v>45</v>
      </c>
      <c r="H309" t="s">
        <v>46</v>
      </c>
      <c r="I309">
        <v>1</v>
      </c>
      <c r="J309" s="8">
        <v>35900</v>
      </c>
      <c r="K309">
        <v>0</v>
      </c>
      <c r="L309" t="s">
        <v>73</v>
      </c>
      <c r="M309" s="5">
        <f>Cleaned_Data[[#This Row],[Quantity]]*Cleaned_Data[[#This Row],[Unit_Price]]</f>
        <v>35900</v>
      </c>
      <c r="N309" s="7">
        <f>Cleaned_Data[[#This Row],[Total_sales]]*(Cleaned_Data[[#This Row],[Discount_Percent]]/100)</f>
        <v>0</v>
      </c>
      <c r="O309" s="7">
        <f>Cleaned_Data[[#This Row],[Total_sales]]-Cleaned_Data[[#This Row],[Discount_Amount]]</f>
        <v>35900</v>
      </c>
      <c r="P309" t="str">
        <f>TEXT(Cleaned_Data[[#This Row],[Order_Date]],"MMM-YYYY")</f>
        <v>Nov-2023</v>
      </c>
      <c r="Q309" t="str">
        <f>"Q"&amp;ROUNDUP(MONTH(Cleaned_Data[[#This Row],[Order_Date]])/3,0)&amp;"-2023"</f>
        <v>Q4-2023</v>
      </c>
      <c r="R309" t="str">
        <f>TEXT(Cleaned_Data[[#This Row],[Order_Date]],"DDD")</f>
        <v>Thu</v>
      </c>
      <c r="S309" t="str">
        <f>IF(Cleaned_Data[[#This Row],[Net_Sales]]&gt;=100000,"High",IF(Cleaned_Data[[#This Row],[Net_Sales]]&gt;=50000,"Medium","Low"))</f>
        <v>Low</v>
      </c>
    </row>
    <row r="310" spans="1:19" x14ac:dyDescent="0.3">
      <c r="A310" t="s">
        <v>458</v>
      </c>
      <c r="B310" s="1">
        <v>44936</v>
      </c>
      <c r="C310" t="s">
        <v>176</v>
      </c>
      <c r="D310" t="s">
        <v>177</v>
      </c>
      <c r="E310" t="s">
        <v>66</v>
      </c>
      <c r="F310" t="s">
        <v>72</v>
      </c>
      <c r="G310" t="s">
        <v>97</v>
      </c>
      <c r="H310" t="s">
        <v>171</v>
      </c>
      <c r="I310">
        <v>1</v>
      </c>
      <c r="J310" s="8">
        <v>49000</v>
      </c>
      <c r="K310">
        <v>0</v>
      </c>
      <c r="L310" t="s">
        <v>103</v>
      </c>
      <c r="M310" s="5">
        <f>Cleaned_Data[[#This Row],[Quantity]]*Cleaned_Data[[#This Row],[Unit_Price]]</f>
        <v>49000</v>
      </c>
      <c r="N310" s="7">
        <f>Cleaned_Data[[#This Row],[Total_sales]]*(Cleaned_Data[[#This Row],[Discount_Percent]]/100)</f>
        <v>0</v>
      </c>
      <c r="O310" s="7">
        <f>Cleaned_Data[[#This Row],[Total_sales]]-Cleaned_Data[[#This Row],[Discount_Amount]]</f>
        <v>49000</v>
      </c>
      <c r="P310" t="str">
        <f>TEXT(Cleaned_Data[[#This Row],[Order_Date]],"MMM-YYYY")</f>
        <v>Jan-2023</v>
      </c>
      <c r="Q310" t="str">
        <f>"Q"&amp;ROUNDUP(MONTH(Cleaned_Data[[#This Row],[Order_Date]])/3,0)&amp;"-2023"</f>
        <v>Q1-2023</v>
      </c>
      <c r="R310" t="str">
        <f>TEXT(Cleaned_Data[[#This Row],[Order_Date]],"DDD")</f>
        <v>Tue</v>
      </c>
      <c r="S310" t="str">
        <f>IF(Cleaned_Data[[#This Row],[Net_Sales]]&gt;=100000,"High",IF(Cleaned_Data[[#This Row],[Net_Sales]]&gt;=50000,"Medium","Low"))</f>
        <v>Low</v>
      </c>
    </row>
    <row r="311" spans="1:19" x14ac:dyDescent="0.3">
      <c r="A311" t="s">
        <v>459</v>
      </c>
      <c r="B311" s="1">
        <v>44936</v>
      </c>
      <c r="C311" t="s">
        <v>75</v>
      </c>
      <c r="D311" t="s">
        <v>76</v>
      </c>
      <c r="E311" t="s">
        <v>23</v>
      </c>
      <c r="F311" t="s">
        <v>51</v>
      </c>
      <c r="G311" t="s">
        <v>17</v>
      </c>
      <c r="H311" t="s">
        <v>168</v>
      </c>
      <c r="I311">
        <v>1</v>
      </c>
      <c r="J311" s="8">
        <v>15000</v>
      </c>
      <c r="K311">
        <v>5</v>
      </c>
      <c r="L311" t="s">
        <v>19</v>
      </c>
      <c r="M311" s="5">
        <f>Cleaned_Data[[#This Row],[Quantity]]*Cleaned_Data[[#This Row],[Unit_Price]]</f>
        <v>15000</v>
      </c>
      <c r="N311" s="7">
        <f>Cleaned_Data[[#This Row],[Total_sales]]*(Cleaned_Data[[#This Row],[Discount_Percent]]/100)</f>
        <v>750</v>
      </c>
      <c r="O311" s="7">
        <f>Cleaned_Data[[#This Row],[Total_sales]]-Cleaned_Data[[#This Row],[Discount_Amount]]</f>
        <v>14250</v>
      </c>
      <c r="P311" t="str">
        <f>TEXT(Cleaned_Data[[#This Row],[Order_Date]],"MMM-YYYY")</f>
        <v>Jan-2023</v>
      </c>
      <c r="Q311" t="str">
        <f>"Q"&amp;ROUNDUP(MONTH(Cleaned_Data[[#This Row],[Order_Date]])/3,0)&amp;"-2023"</f>
        <v>Q1-2023</v>
      </c>
      <c r="R311" t="str">
        <f>TEXT(Cleaned_Data[[#This Row],[Order_Date]],"DDD")</f>
        <v>Tue</v>
      </c>
      <c r="S311" t="str">
        <f>IF(Cleaned_Data[[#This Row],[Net_Sales]]&gt;=100000,"High",IF(Cleaned_Data[[#This Row],[Net_Sales]]&gt;=50000,"Medium","Low"))</f>
        <v>Low</v>
      </c>
    </row>
    <row r="312" spans="1:19" x14ac:dyDescent="0.3">
      <c r="A312" t="s">
        <v>460</v>
      </c>
      <c r="B312" s="1">
        <v>44967</v>
      </c>
      <c r="C312" t="s">
        <v>35</v>
      </c>
      <c r="D312" t="s">
        <v>36</v>
      </c>
      <c r="E312" t="s">
        <v>15</v>
      </c>
      <c r="F312" t="s">
        <v>131</v>
      </c>
      <c r="G312" t="s">
        <v>25</v>
      </c>
      <c r="H312" t="s">
        <v>212</v>
      </c>
      <c r="I312">
        <v>2</v>
      </c>
      <c r="J312" s="8">
        <v>900</v>
      </c>
      <c r="K312">
        <v>25</v>
      </c>
      <c r="L312" t="s">
        <v>47</v>
      </c>
      <c r="M312" s="5">
        <f>Cleaned_Data[[#This Row],[Quantity]]*Cleaned_Data[[#This Row],[Unit_Price]]</f>
        <v>1800</v>
      </c>
      <c r="N312" s="7">
        <f>Cleaned_Data[[#This Row],[Total_sales]]*(Cleaned_Data[[#This Row],[Discount_Percent]]/100)</f>
        <v>450</v>
      </c>
      <c r="O312" s="7">
        <f>Cleaned_Data[[#This Row],[Total_sales]]-Cleaned_Data[[#This Row],[Discount_Amount]]</f>
        <v>1350</v>
      </c>
      <c r="P312" t="str">
        <f>TEXT(Cleaned_Data[[#This Row],[Order_Date]],"MMM-YYYY")</f>
        <v>Feb-2023</v>
      </c>
      <c r="Q312" t="str">
        <f>"Q"&amp;ROUNDUP(MONTH(Cleaned_Data[[#This Row],[Order_Date]])/3,0)&amp;"-2023"</f>
        <v>Q1-2023</v>
      </c>
      <c r="R312" t="str">
        <f>TEXT(Cleaned_Data[[#This Row],[Order_Date]],"DDD")</f>
        <v>Fri</v>
      </c>
      <c r="S312" t="str">
        <f>IF(Cleaned_Data[[#This Row],[Net_Sales]]&gt;=100000,"High",IF(Cleaned_Data[[#This Row],[Net_Sales]]&gt;=50000,"Medium","Low"))</f>
        <v>Low</v>
      </c>
    </row>
    <row r="313" spans="1:19" x14ac:dyDescent="0.3">
      <c r="A313" t="s">
        <v>461</v>
      </c>
      <c r="B313" s="1">
        <v>44967</v>
      </c>
      <c r="C313" t="s">
        <v>29</v>
      </c>
      <c r="D313" t="s">
        <v>30</v>
      </c>
      <c r="E313" t="s">
        <v>15</v>
      </c>
      <c r="F313" t="s">
        <v>16</v>
      </c>
      <c r="G313" t="s">
        <v>39</v>
      </c>
      <c r="H313" t="s">
        <v>40</v>
      </c>
      <c r="I313">
        <v>1</v>
      </c>
      <c r="J313" s="8">
        <v>10500</v>
      </c>
      <c r="K313">
        <v>25</v>
      </c>
      <c r="L313" t="s">
        <v>19</v>
      </c>
      <c r="M313" s="5">
        <f>Cleaned_Data[[#This Row],[Quantity]]*Cleaned_Data[[#This Row],[Unit_Price]]</f>
        <v>10500</v>
      </c>
      <c r="N313" s="7">
        <f>Cleaned_Data[[#This Row],[Total_sales]]*(Cleaned_Data[[#This Row],[Discount_Percent]]/100)</f>
        <v>2625</v>
      </c>
      <c r="O313" s="7">
        <f>Cleaned_Data[[#This Row],[Total_sales]]-Cleaned_Data[[#This Row],[Discount_Amount]]</f>
        <v>7875</v>
      </c>
      <c r="P313" t="str">
        <f>TEXT(Cleaned_Data[[#This Row],[Order_Date]],"MMM-YYYY")</f>
        <v>Feb-2023</v>
      </c>
      <c r="Q313" t="str">
        <f>"Q"&amp;ROUNDUP(MONTH(Cleaned_Data[[#This Row],[Order_Date]])/3,0)&amp;"-2023"</f>
        <v>Q1-2023</v>
      </c>
      <c r="R313" t="str">
        <f>TEXT(Cleaned_Data[[#This Row],[Order_Date]],"DDD")</f>
        <v>Fri</v>
      </c>
      <c r="S313" t="str">
        <f>IF(Cleaned_Data[[#This Row],[Net_Sales]]&gt;=100000,"High",IF(Cleaned_Data[[#This Row],[Net_Sales]]&gt;=50000,"Medium","Low"))</f>
        <v>Low</v>
      </c>
    </row>
    <row r="314" spans="1:19" x14ac:dyDescent="0.3">
      <c r="A314" t="s">
        <v>462</v>
      </c>
      <c r="B314" s="1">
        <v>45026</v>
      </c>
      <c r="C314" t="s">
        <v>79</v>
      </c>
      <c r="D314" t="s">
        <v>80</v>
      </c>
      <c r="E314" t="s">
        <v>66</v>
      </c>
      <c r="F314" t="s">
        <v>92</v>
      </c>
      <c r="G314" t="s">
        <v>39</v>
      </c>
      <c r="H314" t="s">
        <v>102</v>
      </c>
      <c r="I314">
        <v>1</v>
      </c>
      <c r="J314" s="8">
        <v>29800</v>
      </c>
      <c r="K314">
        <v>10</v>
      </c>
      <c r="L314" t="s">
        <v>62</v>
      </c>
      <c r="M314" s="5">
        <f>Cleaned_Data[[#This Row],[Quantity]]*Cleaned_Data[[#This Row],[Unit_Price]]</f>
        <v>29800</v>
      </c>
      <c r="N314" s="7">
        <f>Cleaned_Data[[#This Row],[Total_sales]]*(Cleaned_Data[[#This Row],[Discount_Percent]]/100)</f>
        <v>2980</v>
      </c>
      <c r="O314" s="7">
        <f>Cleaned_Data[[#This Row],[Total_sales]]-Cleaned_Data[[#This Row],[Discount_Amount]]</f>
        <v>26820</v>
      </c>
      <c r="P314" t="str">
        <f>TEXT(Cleaned_Data[[#This Row],[Order_Date]],"MMM-YYYY")</f>
        <v>Apr-2023</v>
      </c>
      <c r="Q314" t="str">
        <f>"Q"&amp;ROUNDUP(MONTH(Cleaned_Data[[#This Row],[Order_Date]])/3,0)&amp;"-2023"</f>
        <v>Q2-2023</v>
      </c>
      <c r="R314" t="str">
        <f>TEXT(Cleaned_Data[[#This Row],[Order_Date]],"DDD")</f>
        <v>Mon</v>
      </c>
      <c r="S314" t="str">
        <f>IF(Cleaned_Data[[#This Row],[Net_Sales]]&gt;=100000,"High",IF(Cleaned_Data[[#This Row],[Net_Sales]]&gt;=50000,"Medium","Low"))</f>
        <v>Low</v>
      </c>
    </row>
    <row r="315" spans="1:19" x14ac:dyDescent="0.3">
      <c r="A315" t="s">
        <v>463</v>
      </c>
      <c r="B315" s="1">
        <v>45026</v>
      </c>
      <c r="C315" t="s">
        <v>13</v>
      </c>
      <c r="D315" t="s">
        <v>14</v>
      </c>
      <c r="E315" t="s">
        <v>81</v>
      </c>
      <c r="F315" t="s">
        <v>110</v>
      </c>
      <c r="G315" t="s">
        <v>17</v>
      </c>
      <c r="H315" t="s">
        <v>88</v>
      </c>
      <c r="I315">
        <v>1</v>
      </c>
      <c r="J315" s="8">
        <v>41400</v>
      </c>
      <c r="K315">
        <v>0</v>
      </c>
      <c r="L315" t="s">
        <v>19</v>
      </c>
      <c r="M315" s="5">
        <f>Cleaned_Data[[#This Row],[Quantity]]*Cleaned_Data[[#This Row],[Unit_Price]]</f>
        <v>41400</v>
      </c>
      <c r="N315" s="7">
        <f>Cleaned_Data[[#This Row],[Total_sales]]*(Cleaned_Data[[#This Row],[Discount_Percent]]/100)</f>
        <v>0</v>
      </c>
      <c r="O315" s="7">
        <f>Cleaned_Data[[#This Row],[Total_sales]]-Cleaned_Data[[#This Row],[Discount_Amount]]</f>
        <v>41400</v>
      </c>
      <c r="P315" t="str">
        <f>TEXT(Cleaned_Data[[#This Row],[Order_Date]],"MMM-YYYY")</f>
        <v>Apr-2023</v>
      </c>
      <c r="Q315" t="str">
        <f>"Q"&amp;ROUNDUP(MONTH(Cleaned_Data[[#This Row],[Order_Date]])/3,0)&amp;"-2023"</f>
        <v>Q2-2023</v>
      </c>
      <c r="R315" t="str">
        <f>TEXT(Cleaned_Data[[#This Row],[Order_Date]],"DDD")</f>
        <v>Mon</v>
      </c>
      <c r="S315" t="str">
        <f>IF(Cleaned_Data[[#This Row],[Net_Sales]]&gt;=100000,"High",IF(Cleaned_Data[[#This Row],[Net_Sales]]&gt;=50000,"Medium","Low"))</f>
        <v>Low</v>
      </c>
    </row>
    <row r="316" spans="1:19" x14ac:dyDescent="0.3">
      <c r="A316" t="s">
        <v>464</v>
      </c>
      <c r="B316" s="1">
        <v>45087</v>
      </c>
      <c r="C316" t="s">
        <v>126</v>
      </c>
      <c r="D316" t="s">
        <v>127</v>
      </c>
      <c r="E316" t="s">
        <v>66</v>
      </c>
      <c r="F316" t="s">
        <v>67</v>
      </c>
      <c r="G316" t="s">
        <v>25</v>
      </c>
      <c r="H316" t="s">
        <v>108</v>
      </c>
      <c r="I316">
        <v>3</v>
      </c>
      <c r="J316" s="8">
        <v>1900</v>
      </c>
      <c r="K316">
        <v>5</v>
      </c>
      <c r="L316" t="s">
        <v>103</v>
      </c>
      <c r="M316" s="5">
        <f>Cleaned_Data[[#This Row],[Quantity]]*Cleaned_Data[[#This Row],[Unit_Price]]</f>
        <v>5700</v>
      </c>
      <c r="N316" s="7">
        <f>Cleaned_Data[[#This Row],[Total_sales]]*(Cleaned_Data[[#This Row],[Discount_Percent]]/100)</f>
        <v>285</v>
      </c>
      <c r="O316" s="7">
        <f>Cleaned_Data[[#This Row],[Total_sales]]-Cleaned_Data[[#This Row],[Discount_Amount]]</f>
        <v>5415</v>
      </c>
      <c r="P316" t="str">
        <f>TEXT(Cleaned_Data[[#This Row],[Order_Date]],"MMM-YYYY")</f>
        <v>Jun-2023</v>
      </c>
      <c r="Q316" t="str">
        <f>"Q"&amp;ROUNDUP(MONTH(Cleaned_Data[[#This Row],[Order_Date]])/3,0)&amp;"-2023"</f>
        <v>Q2-2023</v>
      </c>
      <c r="R316" t="str">
        <f>TEXT(Cleaned_Data[[#This Row],[Order_Date]],"DDD")</f>
        <v>Sat</v>
      </c>
      <c r="S316" t="str">
        <f>IF(Cleaned_Data[[#This Row],[Net_Sales]]&gt;=100000,"High",IF(Cleaned_Data[[#This Row],[Net_Sales]]&gt;=50000,"Medium","Low"))</f>
        <v>Low</v>
      </c>
    </row>
    <row r="317" spans="1:19" x14ac:dyDescent="0.3">
      <c r="A317" t="s">
        <v>465</v>
      </c>
      <c r="B317" s="1">
        <v>45087</v>
      </c>
      <c r="C317" t="s">
        <v>130</v>
      </c>
      <c r="D317" t="s">
        <v>53</v>
      </c>
      <c r="E317" t="s">
        <v>15</v>
      </c>
      <c r="F317" t="s">
        <v>16</v>
      </c>
      <c r="G317" t="s">
        <v>97</v>
      </c>
      <c r="H317" t="s">
        <v>133</v>
      </c>
      <c r="I317">
        <v>1</v>
      </c>
      <c r="J317" s="8">
        <v>55100</v>
      </c>
      <c r="K317">
        <v>10</v>
      </c>
      <c r="L317" t="s">
        <v>27</v>
      </c>
      <c r="M317" s="5">
        <f>Cleaned_Data[[#This Row],[Quantity]]*Cleaned_Data[[#This Row],[Unit_Price]]</f>
        <v>55100</v>
      </c>
      <c r="N317" s="7">
        <f>Cleaned_Data[[#This Row],[Total_sales]]*(Cleaned_Data[[#This Row],[Discount_Percent]]/100)</f>
        <v>5510</v>
      </c>
      <c r="O317" s="7">
        <f>Cleaned_Data[[#This Row],[Total_sales]]-Cleaned_Data[[#This Row],[Discount_Amount]]</f>
        <v>49590</v>
      </c>
      <c r="P317" t="str">
        <f>TEXT(Cleaned_Data[[#This Row],[Order_Date]],"MMM-YYYY")</f>
        <v>Jun-2023</v>
      </c>
      <c r="Q317" t="str">
        <f>"Q"&amp;ROUNDUP(MONTH(Cleaned_Data[[#This Row],[Order_Date]])/3,0)&amp;"-2023"</f>
        <v>Q2-2023</v>
      </c>
      <c r="R317" t="str">
        <f>TEXT(Cleaned_Data[[#This Row],[Order_Date]],"DDD")</f>
        <v>Sat</v>
      </c>
      <c r="S317" t="str">
        <f>IF(Cleaned_Data[[#This Row],[Net_Sales]]&gt;=100000,"High",IF(Cleaned_Data[[#This Row],[Net_Sales]]&gt;=50000,"Medium","Low"))</f>
        <v>Low</v>
      </c>
    </row>
    <row r="318" spans="1:19" x14ac:dyDescent="0.3">
      <c r="A318" t="s">
        <v>466</v>
      </c>
      <c r="B318" s="1">
        <v>45087</v>
      </c>
      <c r="C318" t="s">
        <v>115</v>
      </c>
      <c r="D318" t="s">
        <v>116</v>
      </c>
      <c r="E318" t="s">
        <v>23</v>
      </c>
      <c r="F318" t="s">
        <v>51</v>
      </c>
      <c r="G318" t="s">
        <v>25</v>
      </c>
      <c r="H318" t="s">
        <v>124</v>
      </c>
      <c r="I318">
        <v>3</v>
      </c>
      <c r="J318" s="8">
        <v>800</v>
      </c>
      <c r="K318">
        <v>10</v>
      </c>
      <c r="L318" t="s">
        <v>47</v>
      </c>
      <c r="M318" s="5">
        <f>Cleaned_Data[[#This Row],[Quantity]]*Cleaned_Data[[#This Row],[Unit_Price]]</f>
        <v>2400</v>
      </c>
      <c r="N318" s="7">
        <f>Cleaned_Data[[#This Row],[Total_sales]]*(Cleaned_Data[[#This Row],[Discount_Percent]]/100)</f>
        <v>240</v>
      </c>
      <c r="O318" s="7">
        <f>Cleaned_Data[[#This Row],[Total_sales]]-Cleaned_Data[[#This Row],[Discount_Amount]]</f>
        <v>2160</v>
      </c>
      <c r="P318" t="str">
        <f>TEXT(Cleaned_Data[[#This Row],[Order_Date]],"MMM-YYYY")</f>
        <v>Jun-2023</v>
      </c>
      <c r="Q318" t="str">
        <f>"Q"&amp;ROUNDUP(MONTH(Cleaned_Data[[#This Row],[Order_Date]])/3,0)&amp;"-2023"</f>
        <v>Q2-2023</v>
      </c>
      <c r="R318" t="str">
        <f>TEXT(Cleaned_Data[[#This Row],[Order_Date]],"DDD")</f>
        <v>Sat</v>
      </c>
      <c r="S318" t="str">
        <f>IF(Cleaned_Data[[#This Row],[Net_Sales]]&gt;=100000,"High",IF(Cleaned_Data[[#This Row],[Net_Sales]]&gt;=50000,"Medium","Low"))</f>
        <v>Low</v>
      </c>
    </row>
    <row r="319" spans="1:19" x14ac:dyDescent="0.3">
      <c r="A319" t="s">
        <v>467</v>
      </c>
      <c r="B319" s="1">
        <v>45087</v>
      </c>
      <c r="C319" t="s">
        <v>151</v>
      </c>
      <c r="D319" t="s">
        <v>152</v>
      </c>
      <c r="E319" t="s">
        <v>37</v>
      </c>
      <c r="F319" t="s">
        <v>141</v>
      </c>
      <c r="G319" t="s">
        <v>39</v>
      </c>
      <c r="H319" t="s">
        <v>40</v>
      </c>
      <c r="I319">
        <v>1</v>
      </c>
      <c r="J319" s="8">
        <v>16400</v>
      </c>
      <c r="K319">
        <v>20</v>
      </c>
      <c r="L319" t="s">
        <v>47</v>
      </c>
      <c r="M319" s="5">
        <f>Cleaned_Data[[#This Row],[Quantity]]*Cleaned_Data[[#This Row],[Unit_Price]]</f>
        <v>16400</v>
      </c>
      <c r="N319" s="7">
        <f>Cleaned_Data[[#This Row],[Total_sales]]*(Cleaned_Data[[#This Row],[Discount_Percent]]/100)</f>
        <v>3280</v>
      </c>
      <c r="O319" s="7">
        <f>Cleaned_Data[[#This Row],[Total_sales]]-Cleaned_Data[[#This Row],[Discount_Amount]]</f>
        <v>13120</v>
      </c>
      <c r="P319" t="str">
        <f>TEXT(Cleaned_Data[[#This Row],[Order_Date]],"MMM-YYYY")</f>
        <v>Jun-2023</v>
      </c>
      <c r="Q319" t="str">
        <f>"Q"&amp;ROUNDUP(MONTH(Cleaned_Data[[#This Row],[Order_Date]])/3,0)&amp;"-2023"</f>
        <v>Q2-2023</v>
      </c>
      <c r="R319" t="str">
        <f>TEXT(Cleaned_Data[[#This Row],[Order_Date]],"DDD")</f>
        <v>Sat</v>
      </c>
      <c r="S319" t="str">
        <f>IF(Cleaned_Data[[#This Row],[Net_Sales]]&gt;=100000,"High",IF(Cleaned_Data[[#This Row],[Net_Sales]]&gt;=50000,"Medium","Low"))</f>
        <v>Low</v>
      </c>
    </row>
    <row r="320" spans="1:19" x14ac:dyDescent="0.3">
      <c r="A320" t="s">
        <v>468</v>
      </c>
      <c r="B320" s="1">
        <v>45087</v>
      </c>
      <c r="C320" t="s">
        <v>42</v>
      </c>
      <c r="D320" t="s">
        <v>43</v>
      </c>
      <c r="E320" t="s">
        <v>66</v>
      </c>
      <c r="F320" t="s">
        <v>87</v>
      </c>
      <c r="G320" t="s">
        <v>25</v>
      </c>
      <c r="H320" t="s">
        <v>32</v>
      </c>
      <c r="I320">
        <v>2</v>
      </c>
      <c r="J320" s="8">
        <v>1200</v>
      </c>
      <c r="K320">
        <v>10</v>
      </c>
      <c r="L320" t="s">
        <v>73</v>
      </c>
      <c r="M320" s="5">
        <f>Cleaned_Data[[#This Row],[Quantity]]*Cleaned_Data[[#This Row],[Unit_Price]]</f>
        <v>2400</v>
      </c>
      <c r="N320" s="7">
        <f>Cleaned_Data[[#This Row],[Total_sales]]*(Cleaned_Data[[#This Row],[Discount_Percent]]/100)</f>
        <v>240</v>
      </c>
      <c r="O320" s="7">
        <f>Cleaned_Data[[#This Row],[Total_sales]]-Cleaned_Data[[#This Row],[Discount_Amount]]</f>
        <v>2160</v>
      </c>
      <c r="P320" t="str">
        <f>TEXT(Cleaned_Data[[#This Row],[Order_Date]],"MMM-YYYY")</f>
        <v>Jun-2023</v>
      </c>
      <c r="Q320" t="str">
        <f>"Q"&amp;ROUNDUP(MONTH(Cleaned_Data[[#This Row],[Order_Date]])/3,0)&amp;"-2023"</f>
        <v>Q2-2023</v>
      </c>
      <c r="R320" t="str">
        <f>TEXT(Cleaned_Data[[#This Row],[Order_Date]],"DDD")</f>
        <v>Sat</v>
      </c>
      <c r="S320" t="str">
        <f>IF(Cleaned_Data[[#This Row],[Net_Sales]]&gt;=100000,"High",IF(Cleaned_Data[[#This Row],[Net_Sales]]&gt;=50000,"Medium","Low"))</f>
        <v>Low</v>
      </c>
    </row>
    <row r="321" spans="1:19" x14ac:dyDescent="0.3">
      <c r="A321" t="s">
        <v>469</v>
      </c>
      <c r="B321" s="1">
        <v>45087</v>
      </c>
      <c r="C321" t="s">
        <v>55</v>
      </c>
      <c r="D321" t="s">
        <v>56</v>
      </c>
      <c r="E321" t="s">
        <v>66</v>
      </c>
      <c r="F321" t="s">
        <v>67</v>
      </c>
      <c r="G321" t="s">
        <v>39</v>
      </c>
      <c r="H321" t="s">
        <v>102</v>
      </c>
      <c r="I321">
        <v>1</v>
      </c>
      <c r="J321" s="8">
        <v>20800</v>
      </c>
      <c r="K321">
        <v>15</v>
      </c>
      <c r="L321" t="s">
        <v>103</v>
      </c>
      <c r="M321" s="5">
        <f>Cleaned_Data[[#This Row],[Quantity]]*Cleaned_Data[[#This Row],[Unit_Price]]</f>
        <v>20800</v>
      </c>
      <c r="N321" s="7">
        <f>Cleaned_Data[[#This Row],[Total_sales]]*(Cleaned_Data[[#This Row],[Discount_Percent]]/100)</f>
        <v>3120</v>
      </c>
      <c r="O321" s="7">
        <f>Cleaned_Data[[#This Row],[Total_sales]]-Cleaned_Data[[#This Row],[Discount_Amount]]</f>
        <v>17680</v>
      </c>
      <c r="P321" t="str">
        <f>TEXT(Cleaned_Data[[#This Row],[Order_Date]],"MMM-YYYY")</f>
        <v>Jun-2023</v>
      </c>
      <c r="Q321" t="str">
        <f>"Q"&amp;ROUNDUP(MONTH(Cleaned_Data[[#This Row],[Order_Date]])/3,0)&amp;"-2023"</f>
        <v>Q2-2023</v>
      </c>
      <c r="R321" t="str">
        <f>TEXT(Cleaned_Data[[#This Row],[Order_Date]],"DDD")</f>
        <v>Sat</v>
      </c>
      <c r="S321" t="str">
        <f>IF(Cleaned_Data[[#This Row],[Net_Sales]]&gt;=100000,"High",IF(Cleaned_Data[[#This Row],[Net_Sales]]&gt;=50000,"Medium","Low"))</f>
        <v>Low</v>
      </c>
    </row>
    <row r="322" spans="1:19" x14ac:dyDescent="0.3">
      <c r="A322" t="s">
        <v>470</v>
      </c>
      <c r="B322" s="1">
        <v>45087</v>
      </c>
      <c r="C322" t="s">
        <v>203</v>
      </c>
      <c r="D322" t="s">
        <v>204</v>
      </c>
      <c r="E322" t="s">
        <v>66</v>
      </c>
      <c r="F322" t="s">
        <v>92</v>
      </c>
      <c r="G322" t="s">
        <v>45</v>
      </c>
      <c r="H322" t="s">
        <v>52</v>
      </c>
      <c r="I322">
        <v>1</v>
      </c>
      <c r="J322" s="8">
        <v>35200</v>
      </c>
      <c r="K322">
        <v>0</v>
      </c>
      <c r="L322" t="s">
        <v>19</v>
      </c>
      <c r="M322" s="5">
        <f>Cleaned_Data[[#This Row],[Quantity]]*Cleaned_Data[[#This Row],[Unit_Price]]</f>
        <v>35200</v>
      </c>
      <c r="N322" s="7">
        <f>Cleaned_Data[[#This Row],[Total_sales]]*(Cleaned_Data[[#This Row],[Discount_Percent]]/100)</f>
        <v>0</v>
      </c>
      <c r="O322" s="7">
        <f>Cleaned_Data[[#This Row],[Total_sales]]-Cleaned_Data[[#This Row],[Discount_Amount]]</f>
        <v>35200</v>
      </c>
      <c r="P322" t="str">
        <f>TEXT(Cleaned_Data[[#This Row],[Order_Date]],"MMM-YYYY")</f>
        <v>Jun-2023</v>
      </c>
      <c r="Q322" t="str">
        <f>"Q"&amp;ROUNDUP(MONTH(Cleaned_Data[[#This Row],[Order_Date]])/3,0)&amp;"-2023"</f>
        <v>Q2-2023</v>
      </c>
      <c r="R322" t="str">
        <f>TEXT(Cleaned_Data[[#This Row],[Order_Date]],"DDD")</f>
        <v>Sat</v>
      </c>
      <c r="S322" t="str">
        <f>IF(Cleaned_Data[[#This Row],[Net_Sales]]&gt;=100000,"High",IF(Cleaned_Data[[#This Row],[Net_Sales]]&gt;=50000,"Medium","Low"))</f>
        <v>Low</v>
      </c>
    </row>
    <row r="323" spans="1:19" x14ac:dyDescent="0.3">
      <c r="A323" t="s">
        <v>471</v>
      </c>
      <c r="B323" s="1">
        <v>45117</v>
      </c>
      <c r="C323" t="s">
        <v>115</v>
      </c>
      <c r="D323" t="s">
        <v>116</v>
      </c>
      <c r="E323" t="s">
        <v>37</v>
      </c>
      <c r="F323" t="s">
        <v>101</v>
      </c>
      <c r="G323" t="s">
        <v>25</v>
      </c>
      <c r="H323" t="s">
        <v>124</v>
      </c>
      <c r="I323">
        <v>2</v>
      </c>
      <c r="J323" s="8">
        <v>900</v>
      </c>
      <c r="K323">
        <v>5</v>
      </c>
      <c r="L323" t="s">
        <v>19</v>
      </c>
      <c r="M323" s="5">
        <f>Cleaned_Data[[#This Row],[Quantity]]*Cleaned_Data[[#This Row],[Unit_Price]]</f>
        <v>1800</v>
      </c>
      <c r="N323" s="7">
        <f>Cleaned_Data[[#This Row],[Total_sales]]*(Cleaned_Data[[#This Row],[Discount_Percent]]/100)</f>
        <v>90</v>
      </c>
      <c r="O323" s="7">
        <f>Cleaned_Data[[#This Row],[Total_sales]]-Cleaned_Data[[#This Row],[Discount_Amount]]</f>
        <v>1710</v>
      </c>
      <c r="P323" t="str">
        <f>TEXT(Cleaned_Data[[#This Row],[Order_Date]],"MMM-YYYY")</f>
        <v>Jul-2023</v>
      </c>
      <c r="Q323" t="str">
        <f>"Q"&amp;ROUNDUP(MONTH(Cleaned_Data[[#This Row],[Order_Date]])/3,0)&amp;"-2023"</f>
        <v>Q3-2023</v>
      </c>
      <c r="R323" t="str">
        <f>TEXT(Cleaned_Data[[#This Row],[Order_Date]],"DDD")</f>
        <v>Mon</v>
      </c>
      <c r="S323" t="str">
        <f>IF(Cleaned_Data[[#This Row],[Net_Sales]]&gt;=100000,"High",IF(Cleaned_Data[[#This Row],[Net_Sales]]&gt;=50000,"Medium","Low"))</f>
        <v>Low</v>
      </c>
    </row>
    <row r="324" spans="1:19" x14ac:dyDescent="0.3">
      <c r="A324" t="s">
        <v>472</v>
      </c>
      <c r="B324" s="1">
        <v>45117</v>
      </c>
      <c r="C324" t="s">
        <v>13</v>
      </c>
      <c r="D324" t="s">
        <v>14</v>
      </c>
      <c r="E324" t="s">
        <v>66</v>
      </c>
      <c r="F324" t="s">
        <v>92</v>
      </c>
      <c r="G324" t="s">
        <v>17</v>
      </c>
      <c r="H324" t="s">
        <v>18</v>
      </c>
      <c r="I324">
        <v>1</v>
      </c>
      <c r="J324" s="8">
        <v>60000</v>
      </c>
      <c r="K324">
        <v>5</v>
      </c>
      <c r="L324" t="s">
        <v>19</v>
      </c>
      <c r="M324" s="5">
        <f>Cleaned_Data[[#This Row],[Quantity]]*Cleaned_Data[[#This Row],[Unit_Price]]</f>
        <v>60000</v>
      </c>
      <c r="N324" s="7">
        <f>Cleaned_Data[[#This Row],[Total_sales]]*(Cleaned_Data[[#This Row],[Discount_Percent]]/100)</f>
        <v>3000</v>
      </c>
      <c r="O324" s="7">
        <f>Cleaned_Data[[#This Row],[Total_sales]]-Cleaned_Data[[#This Row],[Discount_Amount]]</f>
        <v>57000</v>
      </c>
      <c r="P324" t="str">
        <f>TEXT(Cleaned_Data[[#This Row],[Order_Date]],"MMM-YYYY")</f>
        <v>Jul-2023</v>
      </c>
      <c r="Q324" t="str">
        <f>"Q"&amp;ROUNDUP(MONTH(Cleaned_Data[[#This Row],[Order_Date]])/3,0)&amp;"-2023"</f>
        <v>Q3-2023</v>
      </c>
      <c r="R324" t="str">
        <f>TEXT(Cleaned_Data[[#This Row],[Order_Date]],"DDD")</f>
        <v>Mon</v>
      </c>
      <c r="S324" t="str">
        <f>IF(Cleaned_Data[[#This Row],[Net_Sales]]&gt;=100000,"High",IF(Cleaned_Data[[#This Row],[Net_Sales]]&gt;=50000,"Medium","Low"))</f>
        <v>Medium</v>
      </c>
    </row>
    <row r="325" spans="1:19" x14ac:dyDescent="0.3">
      <c r="A325" t="s">
        <v>473</v>
      </c>
      <c r="B325" s="1">
        <v>45117</v>
      </c>
      <c r="C325" t="s">
        <v>64</v>
      </c>
      <c r="D325" t="s">
        <v>65</v>
      </c>
      <c r="E325" t="s">
        <v>81</v>
      </c>
      <c r="F325" t="s">
        <v>160</v>
      </c>
      <c r="G325" t="s">
        <v>25</v>
      </c>
      <c r="H325" t="s">
        <v>26</v>
      </c>
      <c r="I325">
        <v>2</v>
      </c>
      <c r="J325" s="8">
        <v>2200</v>
      </c>
      <c r="K325">
        <v>15</v>
      </c>
      <c r="L325" t="s">
        <v>19</v>
      </c>
      <c r="M325" s="5">
        <f>Cleaned_Data[[#This Row],[Quantity]]*Cleaned_Data[[#This Row],[Unit_Price]]</f>
        <v>4400</v>
      </c>
      <c r="N325" s="7">
        <f>Cleaned_Data[[#This Row],[Total_sales]]*(Cleaned_Data[[#This Row],[Discount_Percent]]/100)</f>
        <v>660</v>
      </c>
      <c r="O325" s="7">
        <f>Cleaned_Data[[#This Row],[Total_sales]]-Cleaned_Data[[#This Row],[Discount_Amount]]</f>
        <v>3740</v>
      </c>
      <c r="P325" t="str">
        <f>TEXT(Cleaned_Data[[#This Row],[Order_Date]],"MMM-YYYY")</f>
        <v>Jul-2023</v>
      </c>
      <c r="Q325" t="str">
        <f>"Q"&amp;ROUNDUP(MONTH(Cleaned_Data[[#This Row],[Order_Date]])/3,0)&amp;"-2023"</f>
        <v>Q3-2023</v>
      </c>
      <c r="R325" t="str">
        <f>TEXT(Cleaned_Data[[#This Row],[Order_Date]],"DDD")</f>
        <v>Mon</v>
      </c>
      <c r="S325" t="str">
        <f>IF(Cleaned_Data[[#This Row],[Net_Sales]]&gt;=100000,"High",IF(Cleaned_Data[[#This Row],[Net_Sales]]&gt;=50000,"Medium","Low"))</f>
        <v>Low</v>
      </c>
    </row>
    <row r="326" spans="1:19" x14ac:dyDescent="0.3">
      <c r="A326" t="s">
        <v>474</v>
      </c>
      <c r="B326" s="1">
        <v>45117</v>
      </c>
      <c r="C326" t="s">
        <v>64</v>
      </c>
      <c r="D326" t="s">
        <v>65</v>
      </c>
      <c r="E326" t="s">
        <v>66</v>
      </c>
      <c r="F326" t="s">
        <v>67</v>
      </c>
      <c r="G326" t="s">
        <v>45</v>
      </c>
      <c r="H326" t="s">
        <v>207</v>
      </c>
      <c r="I326">
        <v>1</v>
      </c>
      <c r="J326" s="8">
        <v>34300</v>
      </c>
      <c r="K326">
        <v>0</v>
      </c>
      <c r="L326" t="s">
        <v>47</v>
      </c>
      <c r="M326" s="5">
        <f>Cleaned_Data[[#This Row],[Quantity]]*Cleaned_Data[[#This Row],[Unit_Price]]</f>
        <v>34300</v>
      </c>
      <c r="N326" s="7">
        <f>Cleaned_Data[[#This Row],[Total_sales]]*(Cleaned_Data[[#This Row],[Discount_Percent]]/100)</f>
        <v>0</v>
      </c>
      <c r="O326" s="7">
        <f>Cleaned_Data[[#This Row],[Total_sales]]-Cleaned_Data[[#This Row],[Discount_Amount]]</f>
        <v>34300</v>
      </c>
      <c r="P326" t="str">
        <f>TEXT(Cleaned_Data[[#This Row],[Order_Date]],"MMM-YYYY")</f>
        <v>Jul-2023</v>
      </c>
      <c r="Q326" t="str">
        <f>"Q"&amp;ROUNDUP(MONTH(Cleaned_Data[[#This Row],[Order_Date]])/3,0)&amp;"-2023"</f>
        <v>Q3-2023</v>
      </c>
      <c r="R326" t="str">
        <f>TEXT(Cleaned_Data[[#This Row],[Order_Date]],"DDD")</f>
        <v>Mon</v>
      </c>
      <c r="S326" t="str">
        <f>IF(Cleaned_Data[[#This Row],[Net_Sales]]&gt;=100000,"High",IF(Cleaned_Data[[#This Row],[Net_Sales]]&gt;=50000,"Medium","Low"))</f>
        <v>Low</v>
      </c>
    </row>
    <row r="327" spans="1:19" x14ac:dyDescent="0.3">
      <c r="A327" t="s">
        <v>475</v>
      </c>
      <c r="B327" s="1">
        <v>45148</v>
      </c>
      <c r="C327" t="s">
        <v>143</v>
      </c>
      <c r="D327" t="s">
        <v>144</v>
      </c>
      <c r="E327" t="s">
        <v>37</v>
      </c>
      <c r="F327" t="s">
        <v>141</v>
      </c>
      <c r="G327" t="s">
        <v>97</v>
      </c>
      <c r="H327" t="s">
        <v>154</v>
      </c>
      <c r="I327">
        <v>1</v>
      </c>
      <c r="J327" s="8">
        <v>54400</v>
      </c>
      <c r="K327">
        <v>5</v>
      </c>
      <c r="L327" t="s">
        <v>19</v>
      </c>
      <c r="M327" s="5">
        <f>Cleaned_Data[[#This Row],[Quantity]]*Cleaned_Data[[#This Row],[Unit_Price]]</f>
        <v>54400</v>
      </c>
      <c r="N327" s="7">
        <f>Cleaned_Data[[#This Row],[Total_sales]]*(Cleaned_Data[[#This Row],[Discount_Percent]]/100)</f>
        <v>2720</v>
      </c>
      <c r="O327" s="7">
        <f>Cleaned_Data[[#This Row],[Total_sales]]-Cleaned_Data[[#This Row],[Discount_Amount]]</f>
        <v>51680</v>
      </c>
      <c r="P327" t="str">
        <f>TEXT(Cleaned_Data[[#This Row],[Order_Date]],"MMM-YYYY")</f>
        <v>Aug-2023</v>
      </c>
      <c r="Q327" t="str">
        <f>"Q"&amp;ROUNDUP(MONTH(Cleaned_Data[[#This Row],[Order_Date]])/3,0)&amp;"-2023"</f>
        <v>Q3-2023</v>
      </c>
      <c r="R327" t="str">
        <f>TEXT(Cleaned_Data[[#This Row],[Order_Date]],"DDD")</f>
        <v>Thu</v>
      </c>
      <c r="S327" t="str">
        <f>IF(Cleaned_Data[[#This Row],[Net_Sales]]&gt;=100000,"High",IF(Cleaned_Data[[#This Row],[Net_Sales]]&gt;=50000,"Medium","Low"))</f>
        <v>Medium</v>
      </c>
    </row>
    <row r="328" spans="1:19" x14ac:dyDescent="0.3">
      <c r="A328" t="s">
        <v>476</v>
      </c>
      <c r="B328" s="1">
        <v>45148</v>
      </c>
      <c r="C328" t="s">
        <v>183</v>
      </c>
      <c r="D328" t="s">
        <v>27</v>
      </c>
      <c r="E328" t="s">
        <v>15</v>
      </c>
      <c r="F328" t="s">
        <v>16</v>
      </c>
      <c r="G328" t="s">
        <v>45</v>
      </c>
      <c r="H328" t="s">
        <v>52</v>
      </c>
      <c r="I328">
        <v>1</v>
      </c>
      <c r="J328" s="8">
        <v>20000</v>
      </c>
      <c r="K328">
        <v>5</v>
      </c>
      <c r="L328" t="s">
        <v>47</v>
      </c>
      <c r="M328" s="5">
        <f>Cleaned_Data[[#This Row],[Quantity]]*Cleaned_Data[[#This Row],[Unit_Price]]</f>
        <v>20000</v>
      </c>
      <c r="N328" s="7">
        <f>Cleaned_Data[[#This Row],[Total_sales]]*(Cleaned_Data[[#This Row],[Discount_Percent]]/100)</f>
        <v>1000</v>
      </c>
      <c r="O328" s="7">
        <f>Cleaned_Data[[#This Row],[Total_sales]]-Cleaned_Data[[#This Row],[Discount_Amount]]</f>
        <v>19000</v>
      </c>
      <c r="P328" t="str">
        <f>TEXT(Cleaned_Data[[#This Row],[Order_Date]],"MMM-YYYY")</f>
        <v>Aug-2023</v>
      </c>
      <c r="Q328" t="str">
        <f>"Q"&amp;ROUNDUP(MONTH(Cleaned_Data[[#This Row],[Order_Date]])/3,0)&amp;"-2023"</f>
        <v>Q3-2023</v>
      </c>
      <c r="R328" t="str">
        <f>TEXT(Cleaned_Data[[#This Row],[Order_Date]],"DDD")</f>
        <v>Thu</v>
      </c>
      <c r="S328" t="str">
        <f>IF(Cleaned_Data[[#This Row],[Net_Sales]]&gt;=100000,"High",IF(Cleaned_Data[[#This Row],[Net_Sales]]&gt;=50000,"Medium","Low"))</f>
        <v>Low</v>
      </c>
    </row>
    <row r="329" spans="1:19" x14ac:dyDescent="0.3">
      <c r="A329" t="s">
        <v>477</v>
      </c>
      <c r="B329" s="1">
        <v>45209</v>
      </c>
      <c r="C329" t="s">
        <v>75</v>
      </c>
      <c r="D329" t="s">
        <v>76</v>
      </c>
      <c r="E329" t="s">
        <v>23</v>
      </c>
      <c r="F329" t="s">
        <v>51</v>
      </c>
      <c r="G329" t="s">
        <v>39</v>
      </c>
      <c r="H329" t="s">
        <v>102</v>
      </c>
      <c r="I329">
        <v>1</v>
      </c>
      <c r="J329" s="8">
        <v>15300</v>
      </c>
      <c r="K329">
        <v>5</v>
      </c>
      <c r="L329" t="s">
        <v>33</v>
      </c>
      <c r="M329" s="5">
        <f>Cleaned_Data[[#This Row],[Quantity]]*Cleaned_Data[[#This Row],[Unit_Price]]</f>
        <v>15300</v>
      </c>
      <c r="N329" s="7">
        <f>Cleaned_Data[[#This Row],[Total_sales]]*(Cleaned_Data[[#This Row],[Discount_Percent]]/100)</f>
        <v>765</v>
      </c>
      <c r="O329" s="7">
        <f>Cleaned_Data[[#This Row],[Total_sales]]-Cleaned_Data[[#This Row],[Discount_Amount]]</f>
        <v>14535</v>
      </c>
      <c r="P329" t="str">
        <f>TEXT(Cleaned_Data[[#This Row],[Order_Date]],"MMM-YYYY")</f>
        <v>Oct-2023</v>
      </c>
      <c r="Q329" t="str">
        <f>"Q"&amp;ROUNDUP(MONTH(Cleaned_Data[[#This Row],[Order_Date]])/3,0)&amp;"-2023"</f>
        <v>Q4-2023</v>
      </c>
      <c r="R329" t="str">
        <f>TEXT(Cleaned_Data[[#This Row],[Order_Date]],"DDD")</f>
        <v>Tue</v>
      </c>
      <c r="S329" t="str">
        <f>IF(Cleaned_Data[[#This Row],[Net_Sales]]&gt;=100000,"High",IF(Cleaned_Data[[#This Row],[Net_Sales]]&gt;=50000,"Medium","Low"))</f>
        <v>Low</v>
      </c>
    </row>
    <row r="330" spans="1:19" x14ac:dyDescent="0.3">
      <c r="A330" t="s">
        <v>478</v>
      </c>
      <c r="B330" s="1">
        <v>45209</v>
      </c>
      <c r="C330" t="s">
        <v>115</v>
      </c>
      <c r="D330" t="s">
        <v>116</v>
      </c>
      <c r="E330" t="s">
        <v>23</v>
      </c>
      <c r="F330" t="s">
        <v>24</v>
      </c>
      <c r="G330" t="s">
        <v>39</v>
      </c>
      <c r="H330" t="s">
        <v>102</v>
      </c>
      <c r="I330">
        <v>1</v>
      </c>
      <c r="J330" s="8">
        <v>20100</v>
      </c>
      <c r="K330">
        <v>20</v>
      </c>
      <c r="L330" t="s">
        <v>27</v>
      </c>
      <c r="M330" s="5">
        <f>Cleaned_Data[[#This Row],[Quantity]]*Cleaned_Data[[#This Row],[Unit_Price]]</f>
        <v>20100</v>
      </c>
      <c r="N330" s="7">
        <f>Cleaned_Data[[#This Row],[Total_sales]]*(Cleaned_Data[[#This Row],[Discount_Percent]]/100)</f>
        <v>4020</v>
      </c>
      <c r="O330" s="7">
        <f>Cleaned_Data[[#This Row],[Total_sales]]-Cleaned_Data[[#This Row],[Discount_Amount]]</f>
        <v>16080</v>
      </c>
      <c r="P330" t="str">
        <f>TEXT(Cleaned_Data[[#This Row],[Order_Date]],"MMM-YYYY")</f>
        <v>Oct-2023</v>
      </c>
      <c r="Q330" t="str">
        <f>"Q"&amp;ROUNDUP(MONTH(Cleaned_Data[[#This Row],[Order_Date]])/3,0)&amp;"-2023"</f>
        <v>Q4-2023</v>
      </c>
      <c r="R330" t="str">
        <f>TEXT(Cleaned_Data[[#This Row],[Order_Date]],"DDD")</f>
        <v>Tue</v>
      </c>
      <c r="S330" t="str">
        <f>IF(Cleaned_Data[[#This Row],[Net_Sales]]&gt;=100000,"High",IF(Cleaned_Data[[#This Row],[Net_Sales]]&gt;=50000,"Medium","Low"))</f>
        <v>Low</v>
      </c>
    </row>
    <row r="331" spans="1:19" x14ac:dyDescent="0.3">
      <c r="A331" t="s">
        <v>479</v>
      </c>
      <c r="B331" s="1">
        <v>45209</v>
      </c>
      <c r="C331" t="s">
        <v>90</v>
      </c>
      <c r="D331" t="s">
        <v>91</v>
      </c>
      <c r="E331" t="s">
        <v>37</v>
      </c>
      <c r="F331" t="s">
        <v>61</v>
      </c>
      <c r="G331" t="s">
        <v>39</v>
      </c>
      <c r="H331" t="s">
        <v>68</v>
      </c>
      <c r="I331">
        <v>1</v>
      </c>
      <c r="J331" s="8">
        <v>20600</v>
      </c>
      <c r="K331">
        <v>15</v>
      </c>
      <c r="L331" t="s">
        <v>27</v>
      </c>
      <c r="M331" s="5">
        <f>Cleaned_Data[[#This Row],[Quantity]]*Cleaned_Data[[#This Row],[Unit_Price]]</f>
        <v>20600</v>
      </c>
      <c r="N331" s="7">
        <f>Cleaned_Data[[#This Row],[Total_sales]]*(Cleaned_Data[[#This Row],[Discount_Percent]]/100)</f>
        <v>3090</v>
      </c>
      <c r="O331" s="7">
        <f>Cleaned_Data[[#This Row],[Total_sales]]-Cleaned_Data[[#This Row],[Discount_Amount]]</f>
        <v>17510</v>
      </c>
      <c r="P331" t="str">
        <f>TEXT(Cleaned_Data[[#This Row],[Order_Date]],"MMM-YYYY")</f>
        <v>Oct-2023</v>
      </c>
      <c r="Q331" t="str">
        <f>"Q"&amp;ROUNDUP(MONTH(Cleaned_Data[[#This Row],[Order_Date]])/3,0)&amp;"-2023"</f>
        <v>Q4-2023</v>
      </c>
      <c r="R331" t="str">
        <f>TEXT(Cleaned_Data[[#This Row],[Order_Date]],"DDD")</f>
        <v>Tue</v>
      </c>
      <c r="S331" t="str">
        <f>IF(Cleaned_Data[[#This Row],[Net_Sales]]&gt;=100000,"High",IF(Cleaned_Data[[#This Row],[Net_Sales]]&gt;=50000,"Medium","Low"))</f>
        <v>Low</v>
      </c>
    </row>
    <row r="332" spans="1:19" x14ac:dyDescent="0.3">
      <c r="A332" t="s">
        <v>480</v>
      </c>
      <c r="B332" s="1">
        <v>45209</v>
      </c>
      <c r="C332" t="s">
        <v>64</v>
      </c>
      <c r="D332" t="s">
        <v>65</v>
      </c>
      <c r="E332" t="s">
        <v>15</v>
      </c>
      <c r="F332" t="s">
        <v>128</v>
      </c>
      <c r="G332" t="s">
        <v>17</v>
      </c>
      <c r="H332" t="s">
        <v>77</v>
      </c>
      <c r="I332">
        <v>1</v>
      </c>
      <c r="J332" s="8">
        <v>39900</v>
      </c>
      <c r="K332">
        <v>20</v>
      </c>
      <c r="L332" t="s">
        <v>19</v>
      </c>
      <c r="M332" s="5">
        <f>Cleaned_Data[[#This Row],[Quantity]]*Cleaned_Data[[#This Row],[Unit_Price]]</f>
        <v>39900</v>
      </c>
      <c r="N332" s="7">
        <f>Cleaned_Data[[#This Row],[Total_sales]]*(Cleaned_Data[[#This Row],[Discount_Percent]]/100)</f>
        <v>7980</v>
      </c>
      <c r="O332" s="7">
        <f>Cleaned_Data[[#This Row],[Total_sales]]-Cleaned_Data[[#This Row],[Discount_Amount]]</f>
        <v>31920</v>
      </c>
      <c r="P332" t="str">
        <f>TEXT(Cleaned_Data[[#This Row],[Order_Date]],"MMM-YYYY")</f>
        <v>Oct-2023</v>
      </c>
      <c r="Q332" t="str">
        <f>"Q"&amp;ROUNDUP(MONTH(Cleaned_Data[[#This Row],[Order_Date]])/3,0)&amp;"-2023"</f>
        <v>Q4-2023</v>
      </c>
      <c r="R332" t="str">
        <f>TEXT(Cleaned_Data[[#This Row],[Order_Date]],"DDD")</f>
        <v>Tue</v>
      </c>
      <c r="S332" t="str">
        <f>IF(Cleaned_Data[[#This Row],[Net_Sales]]&gt;=100000,"High",IF(Cleaned_Data[[#This Row],[Net_Sales]]&gt;=50000,"Medium","Low"))</f>
        <v>Low</v>
      </c>
    </row>
    <row r="333" spans="1:19" x14ac:dyDescent="0.3">
      <c r="A333" t="s">
        <v>481</v>
      </c>
      <c r="B333" s="1">
        <v>45240</v>
      </c>
      <c r="C333" t="s">
        <v>244</v>
      </c>
      <c r="D333" t="s">
        <v>245</v>
      </c>
      <c r="E333" t="s">
        <v>23</v>
      </c>
      <c r="F333" t="s">
        <v>31</v>
      </c>
      <c r="G333" t="s">
        <v>45</v>
      </c>
      <c r="H333" t="s">
        <v>156</v>
      </c>
      <c r="I333">
        <v>1</v>
      </c>
      <c r="J333" s="8">
        <v>32800</v>
      </c>
      <c r="K333">
        <v>0</v>
      </c>
      <c r="L333" t="s">
        <v>33</v>
      </c>
      <c r="M333" s="5">
        <f>Cleaned_Data[[#This Row],[Quantity]]*Cleaned_Data[[#This Row],[Unit_Price]]</f>
        <v>32800</v>
      </c>
      <c r="N333" s="7">
        <f>Cleaned_Data[[#This Row],[Total_sales]]*(Cleaned_Data[[#This Row],[Discount_Percent]]/100)</f>
        <v>0</v>
      </c>
      <c r="O333" s="7">
        <f>Cleaned_Data[[#This Row],[Total_sales]]-Cleaned_Data[[#This Row],[Discount_Amount]]</f>
        <v>32800</v>
      </c>
      <c r="P333" t="str">
        <f>TEXT(Cleaned_Data[[#This Row],[Order_Date]],"MMM-YYYY")</f>
        <v>Nov-2023</v>
      </c>
      <c r="Q333" t="str">
        <f>"Q"&amp;ROUNDUP(MONTH(Cleaned_Data[[#This Row],[Order_Date]])/3,0)&amp;"-2023"</f>
        <v>Q4-2023</v>
      </c>
      <c r="R333" t="str">
        <f>TEXT(Cleaned_Data[[#This Row],[Order_Date]],"DDD")</f>
        <v>Fri</v>
      </c>
      <c r="S333" t="str">
        <f>IF(Cleaned_Data[[#This Row],[Net_Sales]]&gt;=100000,"High",IF(Cleaned_Data[[#This Row],[Net_Sales]]&gt;=50000,"Medium","Low"))</f>
        <v>Low</v>
      </c>
    </row>
    <row r="334" spans="1:19" x14ac:dyDescent="0.3">
      <c r="A334" t="s">
        <v>482</v>
      </c>
      <c r="B334" s="1">
        <v>45240</v>
      </c>
      <c r="C334" t="s">
        <v>84</v>
      </c>
      <c r="D334" t="s">
        <v>85</v>
      </c>
      <c r="E334" t="s">
        <v>23</v>
      </c>
      <c r="F334" t="s">
        <v>24</v>
      </c>
      <c r="G334" t="s">
        <v>39</v>
      </c>
      <c r="H334" t="s">
        <v>102</v>
      </c>
      <c r="I334">
        <v>1</v>
      </c>
      <c r="J334" s="8">
        <v>25000</v>
      </c>
      <c r="K334">
        <v>15</v>
      </c>
      <c r="L334" t="s">
        <v>47</v>
      </c>
      <c r="M334" s="5">
        <f>Cleaned_Data[[#This Row],[Quantity]]*Cleaned_Data[[#This Row],[Unit_Price]]</f>
        <v>25000</v>
      </c>
      <c r="N334" s="7">
        <f>Cleaned_Data[[#This Row],[Total_sales]]*(Cleaned_Data[[#This Row],[Discount_Percent]]/100)</f>
        <v>3750</v>
      </c>
      <c r="O334" s="7">
        <f>Cleaned_Data[[#This Row],[Total_sales]]-Cleaned_Data[[#This Row],[Discount_Amount]]</f>
        <v>21250</v>
      </c>
      <c r="P334" t="str">
        <f>TEXT(Cleaned_Data[[#This Row],[Order_Date]],"MMM-YYYY")</f>
        <v>Nov-2023</v>
      </c>
      <c r="Q334" t="str">
        <f>"Q"&amp;ROUNDUP(MONTH(Cleaned_Data[[#This Row],[Order_Date]])/3,0)&amp;"-2023"</f>
        <v>Q4-2023</v>
      </c>
      <c r="R334" t="str">
        <f>TEXT(Cleaned_Data[[#This Row],[Order_Date]],"DDD")</f>
        <v>Fri</v>
      </c>
      <c r="S334" t="str">
        <f>IF(Cleaned_Data[[#This Row],[Net_Sales]]&gt;=100000,"High",IF(Cleaned_Data[[#This Row],[Net_Sales]]&gt;=50000,"Medium","Low"))</f>
        <v>Low</v>
      </c>
    </row>
    <row r="335" spans="1:19" x14ac:dyDescent="0.3">
      <c r="A335" t="s">
        <v>483</v>
      </c>
      <c r="B335" s="1">
        <v>45270</v>
      </c>
      <c r="C335" t="s">
        <v>183</v>
      </c>
      <c r="D335" t="s">
        <v>27</v>
      </c>
      <c r="E335" t="s">
        <v>15</v>
      </c>
      <c r="F335" t="s">
        <v>119</v>
      </c>
      <c r="G335" t="s">
        <v>39</v>
      </c>
      <c r="H335" t="s">
        <v>57</v>
      </c>
      <c r="I335">
        <v>2</v>
      </c>
      <c r="J335" s="8">
        <v>10300</v>
      </c>
      <c r="K335">
        <v>10</v>
      </c>
      <c r="L335" t="s">
        <v>73</v>
      </c>
      <c r="M335" s="5">
        <f>Cleaned_Data[[#This Row],[Quantity]]*Cleaned_Data[[#This Row],[Unit_Price]]</f>
        <v>20600</v>
      </c>
      <c r="N335" s="7">
        <f>Cleaned_Data[[#This Row],[Total_sales]]*(Cleaned_Data[[#This Row],[Discount_Percent]]/100)</f>
        <v>2060</v>
      </c>
      <c r="O335" s="7">
        <f>Cleaned_Data[[#This Row],[Total_sales]]-Cleaned_Data[[#This Row],[Discount_Amount]]</f>
        <v>18540</v>
      </c>
      <c r="P335" t="str">
        <f>TEXT(Cleaned_Data[[#This Row],[Order_Date]],"MMM-YYYY")</f>
        <v>Dec-2023</v>
      </c>
      <c r="Q335" t="str">
        <f>"Q"&amp;ROUNDUP(MONTH(Cleaned_Data[[#This Row],[Order_Date]])/3,0)&amp;"-2023"</f>
        <v>Q4-2023</v>
      </c>
      <c r="R335" t="str">
        <f>TEXT(Cleaned_Data[[#This Row],[Order_Date]],"DDD")</f>
        <v>Sun</v>
      </c>
      <c r="S335" t="str">
        <f>IF(Cleaned_Data[[#This Row],[Net_Sales]]&gt;=100000,"High",IF(Cleaned_Data[[#This Row],[Net_Sales]]&gt;=50000,"Medium","Low"))</f>
        <v>Low</v>
      </c>
    </row>
    <row r="336" spans="1:19" x14ac:dyDescent="0.3">
      <c r="A336" t="s">
        <v>484</v>
      </c>
      <c r="B336" s="1">
        <v>45270</v>
      </c>
      <c r="C336" t="s">
        <v>143</v>
      </c>
      <c r="D336" t="s">
        <v>144</v>
      </c>
      <c r="E336" t="s">
        <v>81</v>
      </c>
      <c r="F336" t="s">
        <v>110</v>
      </c>
      <c r="G336" t="s">
        <v>39</v>
      </c>
      <c r="H336" t="s">
        <v>68</v>
      </c>
      <c r="I336">
        <v>1</v>
      </c>
      <c r="J336" s="8">
        <v>18000</v>
      </c>
      <c r="K336">
        <v>0</v>
      </c>
      <c r="L336" t="s">
        <v>33</v>
      </c>
      <c r="M336" s="5">
        <f>Cleaned_Data[[#This Row],[Quantity]]*Cleaned_Data[[#This Row],[Unit_Price]]</f>
        <v>18000</v>
      </c>
      <c r="N336" s="7">
        <f>Cleaned_Data[[#This Row],[Total_sales]]*(Cleaned_Data[[#This Row],[Discount_Percent]]/100)</f>
        <v>0</v>
      </c>
      <c r="O336" s="7">
        <f>Cleaned_Data[[#This Row],[Total_sales]]-Cleaned_Data[[#This Row],[Discount_Amount]]</f>
        <v>18000</v>
      </c>
      <c r="P336" t="str">
        <f>TEXT(Cleaned_Data[[#This Row],[Order_Date]],"MMM-YYYY")</f>
        <v>Dec-2023</v>
      </c>
      <c r="Q336" t="str">
        <f>"Q"&amp;ROUNDUP(MONTH(Cleaned_Data[[#This Row],[Order_Date]])/3,0)&amp;"-2023"</f>
        <v>Q4-2023</v>
      </c>
      <c r="R336" t="str">
        <f>TEXT(Cleaned_Data[[#This Row],[Order_Date]],"DDD")</f>
        <v>Sun</v>
      </c>
      <c r="S336" t="str">
        <f>IF(Cleaned_Data[[#This Row],[Net_Sales]]&gt;=100000,"High",IF(Cleaned_Data[[#This Row],[Net_Sales]]&gt;=50000,"Medium","Low"))</f>
        <v>Low</v>
      </c>
    </row>
    <row r="337" spans="1:19" x14ac:dyDescent="0.3">
      <c r="A337" t="s">
        <v>485</v>
      </c>
      <c r="B337" s="1">
        <v>44937</v>
      </c>
      <c r="C337" t="s">
        <v>79</v>
      </c>
      <c r="D337" t="s">
        <v>80</v>
      </c>
      <c r="E337" t="s">
        <v>66</v>
      </c>
      <c r="F337" t="s">
        <v>87</v>
      </c>
      <c r="G337" t="s">
        <v>17</v>
      </c>
      <c r="H337" t="s">
        <v>168</v>
      </c>
      <c r="I337">
        <v>1</v>
      </c>
      <c r="J337" s="8">
        <v>27600</v>
      </c>
      <c r="K337">
        <v>25</v>
      </c>
      <c r="L337" t="s">
        <v>103</v>
      </c>
      <c r="M337" s="5">
        <f>Cleaned_Data[[#This Row],[Quantity]]*Cleaned_Data[[#This Row],[Unit_Price]]</f>
        <v>27600</v>
      </c>
      <c r="N337" s="7">
        <f>Cleaned_Data[[#This Row],[Total_sales]]*(Cleaned_Data[[#This Row],[Discount_Percent]]/100)</f>
        <v>6900</v>
      </c>
      <c r="O337" s="7">
        <f>Cleaned_Data[[#This Row],[Total_sales]]-Cleaned_Data[[#This Row],[Discount_Amount]]</f>
        <v>20700</v>
      </c>
      <c r="P337" t="str">
        <f>TEXT(Cleaned_Data[[#This Row],[Order_Date]],"MMM-YYYY")</f>
        <v>Jan-2023</v>
      </c>
      <c r="Q337" t="str">
        <f>"Q"&amp;ROUNDUP(MONTH(Cleaned_Data[[#This Row],[Order_Date]])/3,0)&amp;"-2023"</f>
        <v>Q1-2023</v>
      </c>
      <c r="R337" t="str">
        <f>TEXT(Cleaned_Data[[#This Row],[Order_Date]],"DDD")</f>
        <v>Wed</v>
      </c>
      <c r="S337" t="str">
        <f>IF(Cleaned_Data[[#This Row],[Net_Sales]]&gt;=100000,"High",IF(Cleaned_Data[[#This Row],[Net_Sales]]&gt;=50000,"Medium","Low"))</f>
        <v>Low</v>
      </c>
    </row>
    <row r="338" spans="1:19" x14ac:dyDescent="0.3">
      <c r="A338" t="s">
        <v>486</v>
      </c>
      <c r="B338" s="1">
        <v>44937</v>
      </c>
      <c r="C338" t="s">
        <v>185</v>
      </c>
      <c r="D338" t="s">
        <v>186</v>
      </c>
      <c r="E338" t="s">
        <v>81</v>
      </c>
      <c r="F338" t="s">
        <v>160</v>
      </c>
      <c r="G338" t="s">
        <v>97</v>
      </c>
      <c r="H338" t="s">
        <v>174</v>
      </c>
      <c r="I338">
        <v>1</v>
      </c>
      <c r="J338" s="8">
        <v>69200</v>
      </c>
      <c r="K338">
        <v>10</v>
      </c>
      <c r="L338" t="s">
        <v>27</v>
      </c>
      <c r="M338" s="5">
        <f>Cleaned_Data[[#This Row],[Quantity]]*Cleaned_Data[[#This Row],[Unit_Price]]</f>
        <v>69200</v>
      </c>
      <c r="N338" s="7">
        <f>Cleaned_Data[[#This Row],[Total_sales]]*(Cleaned_Data[[#This Row],[Discount_Percent]]/100)</f>
        <v>6920</v>
      </c>
      <c r="O338" s="7">
        <f>Cleaned_Data[[#This Row],[Total_sales]]-Cleaned_Data[[#This Row],[Discount_Amount]]</f>
        <v>62280</v>
      </c>
      <c r="P338" t="str">
        <f>TEXT(Cleaned_Data[[#This Row],[Order_Date]],"MMM-YYYY")</f>
        <v>Jan-2023</v>
      </c>
      <c r="Q338" t="str">
        <f>"Q"&amp;ROUNDUP(MONTH(Cleaned_Data[[#This Row],[Order_Date]])/3,0)&amp;"-2023"</f>
        <v>Q1-2023</v>
      </c>
      <c r="R338" t="str">
        <f>TEXT(Cleaned_Data[[#This Row],[Order_Date]],"DDD")</f>
        <v>Wed</v>
      </c>
      <c r="S338" t="str">
        <f>IF(Cleaned_Data[[#This Row],[Net_Sales]]&gt;=100000,"High",IF(Cleaned_Data[[#This Row],[Net_Sales]]&gt;=50000,"Medium","Low"))</f>
        <v>Medium</v>
      </c>
    </row>
    <row r="339" spans="1:19" x14ac:dyDescent="0.3">
      <c r="A339" t="s">
        <v>487</v>
      </c>
      <c r="B339" s="1">
        <v>44937</v>
      </c>
      <c r="C339" t="s">
        <v>105</v>
      </c>
      <c r="D339" t="s">
        <v>106</v>
      </c>
      <c r="E339" t="s">
        <v>15</v>
      </c>
      <c r="F339" t="s">
        <v>16</v>
      </c>
      <c r="G339" t="s">
        <v>97</v>
      </c>
      <c r="H339" t="s">
        <v>133</v>
      </c>
      <c r="I339">
        <v>1</v>
      </c>
      <c r="J339" s="8">
        <v>45900</v>
      </c>
      <c r="K339">
        <v>10</v>
      </c>
      <c r="L339" t="s">
        <v>27</v>
      </c>
      <c r="M339" s="5">
        <f>Cleaned_Data[[#This Row],[Quantity]]*Cleaned_Data[[#This Row],[Unit_Price]]</f>
        <v>45900</v>
      </c>
      <c r="N339" s="7">
        <f>Cleaned_Data[[#This Row],[Total_sales]]*(Cleaned_Data[[#This Row],[Discount_Percent]]/100)</f>
        <v>4590</v>
      </c>
      <c r="O339" s="7">
        <f>Cleaned_Data[[#This Row],[Total_sales]]-Cleaned_Data[[#This Row],[Discount_Amount]]</f>
        <v>41310</v>
      </c>
      <c r="P339" t="str">
        <f>TEXT(Cleaned_Data[[#This Row],[Order_Date]],"MMM-YYYY")</f>
        <v>Jan-2023</v>
      </c>
      <c r="Q339" t="str">
        <f>"Q"&amp;ROUNDUP(MONTH(Cleaned_Data[[#This Row],[Order_Date]])/3,0)&amp;"-2023"</f>
        <v>Q1-2023</v>
      </c>
      <c r="R339" t="str">
        <f>TEXT(Cleaned_Data[[#This Row],[Order_Date]],"DDD")</f>
        <v>Wed</v>
      </c>
      <c r="S339" t="str">
        <f>IF(Cleaned_Data[[#This Row],[Net_Sales]]&gt;=100000,"High",IF(Cleaned_Data[[#This Row],[Net_Sales]]&gt;=50000,"Medium","Low"))</f>
        <v>Low</v>
      </c>
    </row>
    <row r="340" spans="1:19" x14ac:dyDescent="0.3">
      <c r="A340" t="s">
        <v>488</v>
      </c>
      <c r="B340" s="1">
        <v>44968</v>
      </c>
      <c r="C340" t="s">
        <v>75</v>
      </c>
      <c r="D340" t="s">
        <v>76</v>
      </c>
      <c r="E340" t="s">
        <v>15</v>
      </c>
      <c r="F340" t="s">
        <v>128</v>
      </c>
      <c r="G340" t="s">
        <v>45</v>
      </c>
      <c r="H340" t="s">
        <v>52</v>
      </c>
      <c r="I340">
        <v>2</v>
      </c>
      <c r="J340" s="8">
        <v>28900</v>
      </c>
      <c r="K340">
        <v>10</v>
      </c>
      <c r="L340" t="s">
        <v>19</v>
      </c>
      <c r="M340" s="5">
        <f>Cleaned_Data[[#This Row],[Quantity]]*Cleaned_Data[[#This Row],[Unit_Price]]</f>
        <v>57800</v>
      </c>
      <c r="N340" s="7">
        <f>Cleaned_Data[[#This Row],[Total_sales]]*(Cleaned_Data[[#This Row],[Discount_Percent]]/100)</f>
        <v>5780</v>
      </c>
      <c r="O340" s="7">
        <f>Cleaned_Data[[#This Row],[Total_sales]]-Cleaned_Data[[#This Row],[Discount_Amount]]</f>
        <v>52020</v>
      </c>
      <c r="P340" t="str">
        <f>TEXT(Cleaned_Data[[#This Row],[Order_Date]],"MMM-YYYY")</f>
        <v>Feb-2023</v>
      </c>
      <c r="Q340" t="str">
        <f>"Q"&amp;ROUNDUP(MONTH(Cleaned_Data[[#This Row],[Order_Date]])/3,0)&amp;"-2023"</f>
        <v>Q1-2023</v>
      </c>
      <c r="R340" t="str">
        <f>TEXT(Cleaned_Data[[#This Row],[Order_Date]],"DDD")</f>
        <v>Sat</v>
      </c>
      <c r="S340" t="str">
        <f>IF(Cleaned_Data[[#This Row],[Net_Sales]]&gt;=100000,"High",IF(Cleaned_Data[[#This Row],[Net_Sales]]&gt;=50000,"Medium","Low"))</f>
        <v>Medium</v>
      </c>
    </row>
    <row r="341" spans="1:19" x14ac:dyDescent="0.3">
      <c r="A341" t="s">
        <v>489</v>
      </c>
      <c r="B341" s="1">
        <v>44968</v>
      </c>
      <c r="C341" t="s">
        <v>176</v>
      </c>
      <c r="D341" t="s">
        <v>177</v>
      </c>
      <c r="E341" t="s">
        <v>66</v>
      </c>
      <c r="F341" t="s">
        <v>92</v>
      </c>
      <c r="G341" t="s">
        <v>17</v>
      </c>
      <c r="H341" t="s">
        <v>196</v>
      </c>
      <c r="I341">
        <v>1</v>
      </c>
      <c r="J341" s="8">
        <v>30000</v>
      </c>
      <c r="K341">
        <v>20</v>
      </c>
      <c r="L341" t="s">
        <v>27</v>
      </c>
      <c r="M341" s="5">
        <f>Cleaned_Data[[#This Row],[Quantity]]*Cleaned_Data[[#This Row],[Unit_Price]]</f>
        <v>30000</v>
      </c>
      <c r="N341" s="7">
        <f>Cleaned_Data[[#This Row],[Total_sales]]*(Cleaned_Data[[#This Row],[Discount_Percent]]/100)</f>
        <v>6000</v>
      </c>
      <c r="O341" s="7">
        <f>Cleaned_Data[[#This Row],[Total_sales]]-Cleaned_Data[[#This Row],[Discount_Amount]]</f>
        <v>24000</v>
      </c>
      <c r="P341" t="str">
        <f>TEXT(Cleaned_Data[[#This Row],[Order_Date]],"MMM-YYYY")</f>
        <v>Feb-2023</v>
      </c>
      <c r="Q341" t="str">
        <f>"Q"&amp;ROUNDUP(MONTH(Cleaned_Data[[#This Row],[Order_Date]])/3,0)&amp;"-2023"</f>
        <v>Q1-2023</v>
      </c>
      <c r="R341" t="str">
        <f>TEXT(Cleaned_Data[[#This Row],[Order_Date]],"DDD")</f>
        <v>Sat</v>
      </c>
      <c r="S341" t="str">
        <f>IF(Cleaned_Data[[#This Row],[Net_Sales]]&gt;=100000,"High",IF(Cleaned_Data[[#This Row],[Net_Sales]]&gt;=50000,"Medium","Low"))</f>
        <v>Low</v>
      </c>
    </row>
    <row r="342" spans="1:19" x14ac:dyDescent="0.3">
      <c r="A342" t="s">
        <v>490</v>
      </c>
      <c r="B342" s="1">
        <v>44968</v>
      </c>
      <c r="C342" t="s">
        <v>165</v>
      </c>
      <c r="D342" t="s">
        <v>166</v>
      </c>
      <c r="E342" t="s">
        <v>66</v>
      </c>
      <c r="F342" t="s">
        <v>72</v>
      </c>
      <c r="G342" t="s">
        <v>25</v>
      </c>
      <c r="H342" t="s">
        <v>124</v>
      </c>
      <c r="I342">
        <v>2</v>
      </c>
      <c r="J342" s="8">
        <v>1300</v>
      </c>
      <c r="K342">
        <v>25</v>
      </c>
      <c r="L342" t="s">
        <v>53</v>
      </c>
      <c r="M342" s="5">
        <f>Cleaned_Data[[#This Row],[Quantity]]*Cleaned_Data[[#This Row],[Unit_Price]]</f>
        <v>2600</v>
      </c>
      <c r="N342" s="7">
        <f>Cleaned_Data[[#This Row],[Total_sales]]*(Cleaned_Data[[#This Row],[Discount_Percent]]/100)</f>
        <v>650</v>
      </c>
      <c r="O342" s="7">
        <f>Cleaned_Data[[#This Row],[Total_sales]]-Cleaned_Data[[#This Row],[Discount_Amount]]</f>
        <v>1950</v>
      </c>
      <c r="P342" t="str">
        <f>TEXT(Cleaned_Data[[#This Row],[Order_Date]],"MMM-YYYY")</f>
        <v>Feb-2023</v>
      </c>
      <c r="Q342" t="str">
        <f>"Q"&amp;ROUNDUP(MONTH(Cleaned_Data[[#This Row],[Order_Date]])/3,0)&amp;"-2023"</f>
        <v>Q1-2023</v>
      </c>
      <c r="R342" t="str">
        <f>TEXT(Cleaned_Data[[#This Row],[Order_Date]],"DDD")</f>
        <v>Sat</v>
      </c>
      <c r="S342" t="str">
        <f>IF(Cleaned_Data[[#This Row],[Net_Sales]]&gt;=100000,"High",IF(Cleaned_Data[[#This Row],[Net_Sales]]&gt;=50000,"Medium","Low"))</f>
        <v>Low</v>
      </c>
    </row>
    <row r="343" spans="1:19" x14ac:dyDescent="0.3">
      <c r="A343" t="s">
        <v>491</v>
      </c>
      <c r="B343" s="1">
        <v>44996</v>
      </c>
      <c r="C343" t="s">
        <v>165</v>
      </c>
      <c r="D343" t="s">
        <v>166</v>
      </c>
      <c r="E343" t="s">
        <v>66</v>
      </c>
      <c r="F343" t="s">
        <v>92</v>
      </c>
      <c r="G343" t="s">
        <v>17</v>
      </c>
      <c r="H343" t="s">
        <v>168</v>
      </c>
      <c r="I343">
        <v>1</v>
      </c>
      <c r="J343" s="8">
        <v>25800</v>
      </c>
      <c r="K343">
        <v>10</v>
      </c>
      <c r="L343" t="s">
        <v>62</v>
      </c>
      <c r="M343" s="5">
        <f>Cleaned_Data[[#This Row],[Quantity]]*Cleaned_Data[[#This Row],[Unit_Price]]</f>
        <v>25800</v>
      </c>
      <c r="N343" s="7">
        <f>Cleaned_Data[[#This Row],[Total_sales]]*(Cleaned_Data[[#This Row],[Discount_Percent]]/100)</f>
        <v>2580</v>
      </c>
      <c r="O343" s="7">
        <f>Cleaned_Data[[#This Row],[Total_sales]]-Cleaned_Data[[#This Row],[Discount_Amount]]</f>
        <v>23220</v>
      </c>
      <c r="P343" t="str">
        <f>TEXT(Cleaned_Data[[#This Row],[Order_Date]],"MMM-YYYY")</f>
        <v>Mar-2023</v>
      </c>
      <c r="Q343" t="str">
        <f>"Q"&amp;ROUNDUP(MONTH(Cleaned_Data[[#This Row],[Order_Date]])/3,0)&amp;"-2023"</f>
        <v>Q1-2023</v>
      </c>
      <c r="R343" t="str">
        <f>TEXT(Cleaned_Data[[#This Row],[Order_Date]],"DDD")</f>
        <v>Sat</v>
      </c>
      <c r="S343" t="str">
        <f>IF(Cleaned_Data[[#This Row],[Net_Sales]]&gt;=100000,"High",IF(Cleaned_Data[[#This Row],[Net_Sales]]&gt;=50000,"Medium","Low"))</f>
        <v>Low</v>
      </c>
    </row>
    <row r="344" spans="1:19" x14ac:dyDescent="0.3">
      <c r="A344" t="s">
        <v>492</v>
      </c>
      <c r="B344" s="1">
        <v>45057</v>
      </c>
      <c r="C344" t="s">
        <v>188</v>
      </c>
      <c r="D344" t="s">
        <v>189</v>
      </c>
      <c r="E344" t="s">
        <v>66</v>
      </c>
      <c r="F344" t="s">
        <v>67</v>
      </c>
      <c r="G344" t="s">
        <v>25</v>
      </c>
      <c r="H344" t="s">
        <v>124</v>
      </c>
      <c r="I344">
        <v>2</v>
      </c>
      <c r="J344" s="8">
        <v>1000</v>
      </c>
      <c r="K344">
        <v>5</v>
      </c>
      <c r="L344" t="s">
        <v>53</v>
      </c>
      <c r="M344" s="5">
        <f>Cleaned_Data[[#This Row],[Quantity]]*Cleaned_Data[[#This Row],[Unit_Price]]</f>
        <v>2000</v>
      </c>
      <c r="N344" s="7">
        <f>Cleaned_Data[[#This Row],[Total_sales]]*(Cleaned_Data[[#This Row],[Discount_Percent]]/100)</f>
        <v>100</v>
      </c>
      <c r="O344" s="7">
        <f>Cleaned_Data[[#This Row],[Total_sales]]-Cleaned_Data[[#This Row],[Discount_Amount]]</f>
        <v>1900</v>
      </c>
      <c r="P344" t="str">
        <f>TEXT(Cleaned_Data[[#This Row],[Order_Date]],"MMM-YYYY")</f>
        <v>May-2023</v>
      </c>
      <c r="Q344" t="str">
        <f>"Q"&amp;ROUNDUP(MONTH(Cleaned_Data[[#This Row],[Order_Date]])/3,0)&amp;"-2023"</f>
        <v>Q2-2023</v>
      </c>
      <c r="R344" t="str">
        <f>TEXT(Cleaned_Data[[#This Row],[Order_Date]],"DDD")</f>
        <v>Thu</v>
      </c>
      <c r="S344" t="str">
        <f>IF(Cleaned_Data[[#This Row],[Net_Sales]]&gt;=100000,"High",IF(Cleaned_Data[[#This Row],[Net_Sales]]&gt;=50000,"Medium","Low"))</f>
        <v>Low</v>
      </c>
    </row>
    <row r="345" spans="1:19" x14ac:dyDescent="0.3">
      <c r="A345" t="s">
        <v>493</v>
      </c>
      <c r="B345" s="1">
        <v>45057</v>
      </c>
      <c r="C345" t="s">
        <v>49</v>
      </c>
      <c r="D345" t="s">
        <v>50</v>
      </c>
      <c r="E345" t="s">
        <v>15</v>
      </c>
      <c r="F345" t="s">
        <v>128</v>
      </c>
      <c r="G345" t="s">
        <v>17</v>
      </c>
      <c r="H345" t="s">
        <v>88</v>
      </c>
      <c r="I345">
        <v>1</v>
      </c>
      <c r="J345" s="8">
        <v>49300</v>
      </c>
      <c r="K345">
        <v>10</v>
      </c>
      <c r="L345" t="s">
        <v>73</v>
      </c>
      <c r="M345" s="5">
        <f>Cleaned_Data[[#This Row],[Quantity]]*Cleaned_Data[[#This Row],[Unit_Price]]</f>
        <v>49300</v>
      </c>
      <c r="N345" s="7">
        <f>Cleaned_Data[[#This Row],[Total_sales]]*(Cleaned_Data[[#This Row],[Discount_Percent]]/100)</f>
        <v>4930</v>
      </c>
      <c r="O345" s="7">
        <f>Cleaned_Data[[#This Row],[Total_sales]]-Cleaned_Data[[#This Row],[Discount_Amount]]</f>
        <v>44370</v>
      </c>
      <c r="P345" t="str">
        <f>TEXT(Cleaned_Data[[#This Row],[Order_Date]],"MMM-YYYY")</f>
        <v>May-2023</v>
      </c>
      <c r="Q345" t="str">
        <f>"Q"&amp;ROUNDUP(MONTH(Cleaned_Data[[#This Row],[Order_Date]])/3,0)&amp;"-2023"</f>
        <v>Q2-2023</v>
      </c>
      <c r="R345" t="str">
        <f>TEXT(Cleaned_Data[[#This Row],[Order_Date]],"DDD")</f>
        <v>Thu</v>
      </c>
      <c r="S345" t="str">
        <f>IF(Cleaned_Data[[#This Row],[Net_Sales]]&gt;=100000,"High",IF(Cleaned_Data[[#This Row],[Net_Sales]]&gt;=50000,"Medium","Low"))</f>
        <v>Low</v>
      </c>
    </row>
    <row r="346" spans="1:19" x14ac:dyDescent="0.3">
      <c r="A346" t="s">
        <v>494</v>
      </c>
      <c r="B346" s="1">
        <v>45057</v>
      </c>
      <c r="C346" t="s">
        <v>163</v>
      </c>
      <c r="D346" t="s">
        <v>73</v>
      </c>
      <c r="E346" t="s">
        <v>23</v>
      </c>
      <c r="F346" t="s">
        <v>31</v>
      </c>
      <c r="G346" t="s">
        <v>45</v>
      </c>
      <c r="H346" t="s">
        <v>52</v>
      </c>
      <c r="I346">
        <v>1</v>
      </c>
      <c r="J346" s="8">
        <v>38100</v>
      </c>
      <c r="K346">
        <v>0</v>
      </c>
      <c r="L346" t="s">
        <v>53</v>
      </c>
      <c r="M346" s="5">
        <f>Cleaned_Data[[#This Row],[Quantity]]*Cleaned_Data[[#This Row],[Unit_Price]]</f>
        <v>38100</v>
      </c>
      <c r="N346" s="7">
        <f>Cleaned_Data[[#This Row],[Total_sales]]*(Cleaned_Data[[#This Row],[Discount_Percent]]/100)</f>
        <v>0</v>
      </c>
      <c r="O346" s="7">
        <f>Cleaned_Data[[#This Row],[Total_sales]]-Cleaned_Data[[#This Row],[Discount_Amount]]</f>
        <v>38100</v>
      </c>
      <c r="P346" t="str">
        <f>TEXT(Cleaned_Data[[#This Row],[Order_Date]],"MMM-YYYY")</f>
        <v>May-2023</v>
      </c>
      <c r="Q346" t="str">
        <f>"Q"&amp;ROUNDUP(MONTH(Cleaned_Data[[#This Row],[Order_Date]])/3,0)&amp;"-2023"</f>
        <v>Q2-2023</v>
      </c>
      <c r="R346" t="str">
        <f>TEXT(Cleaned_Data[[#This Row],[Order_Date]],"DDD")</f>
        <v>Thu</v>
      </c>
      <c r="S346" t="str">
        <f>IF(Cleaned_Data[[#This Row],[Net_Sales]]&gt;=100000,"High",IF(Cleaned_Data[[#This Row],[Net_Sales]]&gt;=50000,"Medium","Low"))</f>
        <v>Low</v>
      </c>
    </row>
    <row r="347" spans="1:19" x14ac:dyDescent="0.3">
      <c r="A347" t="s">
        <v>495</v>
      </c>
      <c r="B347" s="1">
        <v>45088</v>
      </c>
      <c r="C347" t="s">
        <v>70</v>
      </c>
      <c r="D347" t="s">
        <v>71</v>
      </c>
      <c r="E347" t="s">
        <v>37</v>
      </c>
      <c r="F347" t="s">
        <v>101</v>
      </c>
      <c r="G347" t="s">
        <v>25</v>
      </c>
      <c r="H347" t="s">
        <v>124</v>
      </c>
      <c r="I347">
        <v>2</v>
      </c>
      <c r="J347" s="8">
        <v>900</v>
      </c>
      <c r="K347">
        <v>0</v>
      </c>
      <c r="L347" t="s">
        <v>103</v>
      </c>
      <c r="M347" s="5">
        <f>Cleaned_Data[[#This Row],[Quantity]]*Cleaned_Data[[#This Row],[Unit_Price]]</f>
        <v>1800</v>
      </c>
      <c r="N347" s="7">
        <f>Cleaned_Data[[#This Row],[Total_sales]]*(Cleaned_Data[[#This Row],[Discount_Percent]]/100)</f>
        <v>0</v>
      </c>
      <c r="O347" s="7">
        <f>Cleaned_Data[[#This Row],[Total_sales]]-Cleaned_Data[[#This Row],[Discount_Amount]]</f>
        <v>1800</v>
      </c>
      <c r="P347" t="str">
        <f>TEXT(Cleaned_Data[[#This Row],[Order_Date]],"MMM-YYYY")</f>
        <v>Jun-2023</v>
      </c>
      <c r="Q347" t="str">
        <f>"Q"&amp;ROUNDUP(MONTH(Cleaned_Data[[#This Row],[Order_Date]])/3,0)&amp;"-2023"</f>
        <v>Q2-2023</v>
      </c>
      <c r="R347" t="str">
        <f>TEXT(Cleaned_Data[[#This Row],[Order_Date]],"DDD")</f>
        <v>Sun</v>
      </c>
      <c r="S347" t="str">
        <f>IF(Cleaned_Data[[#This Row],[Net_Sales]]&gt;=100000,"High",IF(Cleaned_Data[[#This Row],[Net_Sales]]&gt;=50000,"Medium","Low"))</f>
        <v>Low</v>
      </c>
    </row>
    <row r="348" spans="1:19" x14ac:dyDescent="0.3">
      <c r="A348" t="s">
        <v>496</v>
      </c>
      <c r="B348" s="1">
        <v>45118</v>
      </c>
      <c r="C348" t="s">
        <v>284</v>
      </c>
      <c r="D348" t="s">
        <v>285</v>
      </c>
      <c r="E348" t="s">
        <v>66</v>
      </c>
      <c r="F348" t="s">
        <v>72</v>
      </c>
      <c r="G348" t="s">
        <v>25</v>
      </c>
      <c r="H348" t="s">
        <v>212</v>
      </c>
      <c r="I348">
        <v>2</v>
      </c>
      <c r="J348" s="8">
        <v>2800</v>
      </c>
      <c r="K348">
        <v>0</v>
      </c>
      <c r="L348" t="s">
        <v>62</v>
      </c>
      <c r="M348" s="5">
        <f>Cleaned_Data[[#This Row],[Quantity]]*Cleaned_Data[[#This Row],[Unit_Price]]</f>
        <v>5600</v>
      </c>
      <c r="N348" s="7">
        <f>Cleaned_Data[[#This Row],[Total_sales]]*(Cleaned_Data[[#This Row],[Discount_Percent]]/100)</f>
        <v>0</v>
      </c>
      <c r="O348" s="7">
        <f>Cleaned_Data[[#This Row],[Total_sales]]-Cleaned_Data[[#This Row],[Discount_Amount]]</f>
        <v>5600</v>
      </c>
      <c r="P348" t="str">
        <f>TEXT(Cleaned_Data[[#This Row],[Order_Date]],"MMM-YYYY")</f>
        <v>Jul-2023</v>
      </c>
      <c r="Q348" t="str">
        <f>"Q"&amp;ROUNDUP(MONTH(Cleaned_Data[[#This Row],[Order_Date]])/3,0)&amp;"-2023"</f>
        <v>Q3-2023</v>
      </c>
      <c r="R348" t="str">
        <f>TEXT(Cleaned_Data[[#This Row],[Order_Date]],"DDD")</f>
        <v>Tue</v>
      </c>
      <c r="S348" t="str">
        <f>IF(Cleaned_Data[[#This Row],[Net_Sales]]&gt;=100000,"High",IF(Cleaned_Data[[#This Row],[Net_Sales]]&gt;=50000,"Medium","Low"))</f>
        <v>Low</v>
      </c>
    </row>
    <row r="349" spans="1:19" x14ac:dyDescent="0.3">
      <c r="A349" t="s">
        <v>497</v>
      </c>
      <c r="B349" s="1">
        <v>45118</v>
      </c>
      <c r="C349" t="s">
        <v>64</v>
      </c>
      <c r="D349" t="s">
        <v>65</v>
      </c>
      <c r="E349" t="s">
        <v>15</v>
      </c>
      <c r="F349" t="s">
        <v>131</v>
      </c>
      <c r="G349" t="s">
        <v>45</v>
      </c>
      <c r="H349" t="s">
        <v>46</v>
      </c>
      <c r="I349">
        <v>1</v>
      </c>
      <c r="J349" s="8">
        <v>28700</v>
      </c>
      <c r="K349">
        <v>25</v>
      </c>
      <c r="L349" t="s">
        <v>62</v>
      </c>
      <c r="M349" s="5">
        <f>Cleaned_Data[[#This Row],[Quantity]]*Cleaned_Data[[#This Row],[Unit_Price]]</f>
        <v>28700</v>
      </c>
      <c r="N349" s="7">
        <f>Cleaned_Data[[#This Row],[Total_sales]]*(Cleaned_Data[[#This Row],[Discount_Percent]]/100)</f>
        <v>7175</v>
      </c>
      <c r="O349" s="7">
        <f>Cleaned_Data[[#This Row],[Total_sales]]-Cleaned_Data[[#This Row],[Discount_Amount]]</f>
        <v>21525</v>
      </c>
      <c r="P349" t="str">
        <f>TEXT(Cleaned_Data[[#This Row],[Order_Date]],"MMM-YYYY")</f>
        <v>Jul-2023</v>
      </c>
      <c r="Q349" t="str">
        <f>"Q"&amp;ROUNDUP(MONTH(Cleaned_Data[[#This Row],[Order_Date]])/3,0)&amp;"-2023"</f>
        <v>Q3-2023</v>
      </c>
      <c r="R349" t="str">
        <f>TEXT(Cleaned_Data[[#This Row],[Order_Date]],"DDD")</f>
        <v>Tue</v>
      </c>
      <c r="S349" t="str">
        <f>IF(Cleaned_Data[[#This Row],[Net_Sales]]&gt;=100000,"High",IF(Cleaned_Data[[#This Row],[Net_Sales]]&gt;=50000,"Medium","Low"))</f>
        <v>Low</v>
      </c>
    </row>
    <row r="350" spans="1:19" x14ac:dyDescent="0.3">
      <c r="A350" t="s">
        <v>498</v>
      </c>
      <c r="B350" s="1">
        <v>45118</v>
      </c>
      <c r="C350" t="s">
        <v>135</v>
      </c>
      <c r="D350" t="s">
        <v>136</v>
      </c>
      <c r="E350" t="s">
        <v>23</v>
      </c>
      <c r="F350" t="s">
        <v>51</v>
      </c>
      <c r="G350" t="s">
        <v>97</v>
      </c>
      <c r="H350" t="s">
        <v>133</v>
      </c>
      <c r="I350">
        <v>1</v>
      </c>
      <c r="J350" s="8">
        <v>59600</v>
      </c>
      <c r="K350">
        <v>20</v>
      </c>
      <c r="L350" t="s">
        <v>73</v>
      </c>
      <c r="M350" s="5">
        <f>Cleaned_Data[[#This Row],[Quantity]]*Cleaned_Data[[#This Row],[Unit_Price]]</f>
        <v>59600</v>
      </c>
      <c r="N350" s="7">
        <f>Cleaned_Data[[#This Row],[Total_sales]]*(Cleaned_Data[[#This Row],[Discount_Percent]]/100)</f>
        <v>11920</v>
      </c>
      <c r="O350" s="7">
        <f>Cleaned_Data[[#This Row],[Total_sales]]-Cleaned_Data[[#This Row],[Discount_Amount]]</f>
        <v>47680</v>
      </c>
      <c r="P350" t="str">
        <f>TEXT(Cleaned_Data[[#This Row],[Order_Date]],"MMM-YYYY")</f>
        <v>Jul-2023</v>
      </c>
      <c r="Q350" t="str">
        <f>"Q"&amp;ROUNDUP(MONTH(Cleaned_Data[[#This Row],[Order_Date]])/3,0)&amp;"-2023"</f>
        <v>Q3-2023</v>
      </c>
      <c r="R350" t="str">
        <f>TEXT(Cleaned_Data[[#This Row],[Order_Date]],"DDD")</f>
        <v>Tue</v>
      </c>
      <c r="S350" t="str">
        <f>IF(Cleaned_Data[[#This Row],[Net_Sales]]&gt;=100000,"High",IF(Cleaned_Data[[#This Row],[Net_Sales]]&gt;=50000,"Medium","Low"))</f>
        <v>Low</v>
      </c>
    </row>
    <row r="351" spans="1:19" x14ac:dyDescent="0.3">
      <c r="A351" t="s">
        <v>499</v>
      </c>
      <c r="B351" s="1">
        <v>45149</v>
      </c>
      <c r="C351" t="s">
        <v>183</v>
      </c>
      <c r="D351" t="s">
        <v>27</v>
      </c>
      <c r="E351" t="s">
        <v>81</v>
      </c>
      <c r="F351" t="s">
        <v>160</v>
      </c>
      <c r="G351" t="s">
        <v>39</v>
      </c>
      <c r="H351" t="s">
        <v>68</v>
      </c>
      <c r="I351">
        <v>1</v>
      </c>
      <c r="J351" s="8">
        <v>18700</v>
      </c>
      <c r="K351">
        <v>0</v>
      </c>
      <c r="L351" t="s">
        <v>103</v>
      </c>
      <c r="M351" s="5">
        <f>Cleaned_Data[[#This Row],[Quantity]]*Cleaned_Data[[#This Row],[Unit_Price]]</f>
        <v>18700</v>
      </c>
      <c r="N351" s="7">
        <f>Cleaned_Data[[#This Row],[Total_sales]]*(Cleaned_Data[[#This Row],[Discount_Percent]]/100)</f>
        <v>0</v>
      </c>
      <c r="O351" s="7">
        <f>Cleaned_Data[[#This Row],[Total_sales]]-Cleaned_Data[[#This Row],[Discount_Amount]]</f>
        <v>18700</v>
      </c>
      <c r="P351" t="str">
        <f>TEXT(Cleaned_Data[[#This Row],[Order_Date]],"MMM-YYYY")</f>
        <v>Aug-2023</v>
      </c>
      <c r="Q351" t="str">
        <f>"Q"&amp;ROUNDUP(MONTH(Cleaned_Data[[#This Row],[Order_Date]])/3,0)&amp;"-2023"</f>
        <v>Q3-2023</v>
      </c>
      <c r="R351" t="str">
        <f>TEXT(Cleaned_Data[[#This Row],[Order_Date]],"DDD")</f>
        <v>Fri</v>
      </c>
      <c r="S351" t="str">
        <f>IF(Cleaned_Data[[#This Row],[Net_Sales]]&gt;=100000,"High",IF(Cleaned_Data[[#This Row],[Net_Sales]]&gt;=50000,"Medium","Low"))</f>
        <v>Low</v>
      </c>
    </row>
    <row r="352" spans="1:19" x14ac:dyDescent="0.3">
      <c r="A352" t="s">
        <v>500</v>
      </c>
      <c r="B352" s="1">
        <v>45149</v>
      </c>
      <c r="C352" t="s">
        <v>49</v>
      </c>
      <c r="D352" t="s">
        <v>50</v>
      </c>
      <c r="E352" t="s">
        <v>81</v>
      </c>
      <c r="F352" t="s">
        <v>82</v>
      </c>
      <c r="G352" t="s">
        <v>39</v>
      </c>
      <c r="H352" t="s">
        <v>102</v>
      </c>
      <c r="I352">
        <v>1</v>
      </c>
      <c r="J352" s="8">
        <v>19800</v>
      </c>
      <c r="K352">
        <v>5</v>
      </c>
      <c r="L352" t="s">
        <v>73</v>
      </c>
      <c r="M352" s="5">
        <f>Cleaned_Data[[#This Row],[Quantity]]*Cleaned_Data[[#This Row],[Unit_Price]]</f>
        <v>19800</v>
      </c>
      <c r="N352" s="7">
        <f>Cleaned_Data[[#This Row],[Total_sales]]*(Cleaned_Data[[#This Row],[Discount_Percent]]/100)</f>
        <v>990</v>
      </c>
      <c r="O352" s="7">
        <f>Cleaned_Data[[#This Row],[Total_sales]]-Cleaned_Data[[#This Row],[Discount_Amount]]</f>
        <v>18810</v>
      </c>
      <c r="P352" t="str">
        <f>TEXT(Cleaned_Data[[#This Row],[Order_Date]],"MMM-YYYY")</f>
        <v>Aug-2023</v>
      </c>
      <c r="Q352" t="str">
        <f>"Q"&amp;ROUNDUP(MONTH(Cleaned_Data[[#This Row],[Order_Date]])/3,0)&amp;"-2023"</f>
        <v>Q3-2023</v>
      </c>
      <c r="R352" t="str">
        <f>TEXT(Cleaned_Data[[#This Row],[Order_Date]],"DDD")</f>
        <v>Fri</v>
      </c>
      <c r="S352" t="str">
        <f>IF(Cleaned_Data[[#This Row],[Net_Sales]]&gt;=100000,"High",IF(Cleaned_Data[[#This Row],[Net_Sales]]&gt;=50000,"Medium","Low"))</f>
        <v>Low</v>
      </c>
    </row>
    <row r="353" spans="1:19" x14ac:dyDescent="0.3">
      <c r="A353" t="s">
        <v>501</v>
      </c>
      <c r="B353" s="1">
        <v>45149</v>
      </c>
      <c r="C353" t="s">
        <v>165</v>
      </c>
      <c r="D353" t="s">
        <v>166</v>
      </c>
      <c r="E353" t="s">
        <v>15</v>
      </c>
      <c r="F353" t="s">
        <v>131</v>
      </c>
      <c r="G353" t="s">
        <v>97</v>
      </c>
      <c r="H353" t="s">
        <v>133</v>
      </c>
      <c r="I353">
        <v>1</v>
      </c>
      <c r="J353" s="8">
        <v>63300</v>
      </c>
      <c r="K353">
        <v>0</v>
      </c>
      <c r="L353" t="s">
        <v>62</v>
      </c>
      <c r="M353" s="5">
        <f>Cleaned_Data[[#This Row],[Quantity]]*Cleaned_Data[[#This Row],[Unit_Price]]</f>
        <v>63300</v>
      </c>
      <c r="N353" s="7">
        <f>Cleaned_Data[[#This Row],[Total_sales]]*(Cleaned_Data[[#This Row],[Discount_Percent]]/100)</f>
        <v>0</v>
      </c>
      <c r="O353" s="7">
        <f>Cleaned_Data[[#This Row],[Total_sales]]-Cleaned_Data[[#This Row],[Discount_Amount]]</f>
        <v>63300</v>
      </c>
      <c r="P353" t="str">
        <f>TEXT(Cleaned_Data[[#This Row],[Order_Date]],"MMM-YYYY")</f>
        <v>Aug-2023</v>
      </c>
      <c r="Q353" t="str">
        <f>"Q"&amp;ROUNDUP(MONTH(Cleaned_Data[[#This Row],[Order_Date]])/3,0)&amp;"-2023"</f>
        <v>Q3-2023</v>
      </c>
      <c r="R353" t="str">
        <f>TEXT(Cleaned_Data[[#This Row],[Order_Date]],"DDD")</f>
        <v>Fri</v>
      </c>
      <c r="S353" t="str">
        <f>IF(Cleaned_Data[[#This Row],[Net_Sales]]&gt;=100000,"High",IF(Cleaned_Data[[#This Row],[Net_Sales]]&gt;=50000,"Medium","Low"))</f>
        <v>Medium</v>
      </c>
    </row>
    <row r="354" spans="1:19" x14ac:dyDescent="0.3">
      <c r="A354" t="s">
        <v>502</v>
      </c>
      <c r="B354" s="1">
        <v>45149</v>
      </c>
      <c r="C354" t="s">
        <v>42</v>
      </c>
      <c r="D354" t="s">
        <v>43</v>
      </c>
      <c r="E354" t="s">
        <v>81</v>
      </c>
      <c r="F354" t="s">
        <v>82</v>
      </c>
      <c r="G354" t="s">
        <v>39</v>
      </c>
      <c r="H354" t="s">
        <v>102</v>
      </c>
      <c r="I354">
        <v>1</v>
      </c>
      <c r="J354" s="8">
        <v>33600</v>
      </c>
      <c r="K354">
        <v>25</v>
      </c>
      <c r="L354" t="s">
        <v>27</v>
      </c>
      <c r="M354" s="5">
        <f>Cleaned_Data[[#This Row],[Quantity]]*Cleaned_Data[[#This Row],[Unit_Price]]</f>
        <v>33600</v>
      </c>
      <c r="N354" s="7">
        <f>Cleaned_Data[[#This Row],[Total_sales]]*(Cleaned_Data[[#This Row],[Discount_Percent]]/100)</f>
        <v>8400</v>
      </c>
      <c r="O354" s="7">
        <f>Cleaned_Data[[#This Row],[Total_sales]]-Cleaned_Data[[#This Row],[Discount_Amount]]</f>
        <v>25200</v>
      </c>
      <c r="P354" t="str">
        <f>TEXT(Cleaned_Data[[#This Row],[Order_Date]],"MMM-YYYY")</f>
        <v>Aug-2023</v>
      </c>
      <c r="Q354" t="str">
        <f>"Q"&amp;ROUNDUP(MONTH(Cleaned_Data[[#This Row],[Order_Date]])/3,0)&amp;"-2023"</f>
        <v>Q3-2023</v>
      </c>
      <c r="R354" t="str">
        <f>TEXT(Cleaned_Data[[#This Row],[Order_Date]],"DDD")</f>
        <v>Fri</v>
      </c>
      <c r="S354" t="str">
        <f>IF(Cleaned_Data[[#This Row],[Net_Sales]]&gt;=100000,"High",IF(Cleaned_Data[[#This Row],[Net_Sales]]&gt;=50000,"Medium","Low"))</f>
        <v>Low</v>
      </c>
    </row>
    <row r="355" spans="1:19" x14ac:dyDescent="0.3">
      <c r="A355" t="s">
        <v>503</v>
      </c>
      <c r="B355" s="1">
        <v>45180</v>
      </c>
      <c r="C355" t="s">
        <v>180</v>
      </c>
      <c r="D355" t="s">
        <v>181</v>
      </c>
      <c r="E355" t="s">
        <v>23</v>
      </c>
      <c r="F355" t="s">
        <v>44</v>
      </c>
      <c r="G355" t="s">
        <v>45</v>
      </c>
      <c r="H355" t="s">
        <v>156</v>
      </c>
      <c r="I355">
        <v>1</v>
      </c>
      <c r="J355" s="8">
        <v>32400</v>
      </c>
      <c r="K355">
        <v>15</v>
      </c>
      <c r="L355" t="s">
        <v>19</v>
      </c>
      <c r="M355" s="5">
        <f>Cleaned_Data[[#This Row],[Quantity]]*Cleaned_Data[[#This Row],[Unit_Price]]</f>
        <v>32400</v>
      </c>
      <c r="N355" s="7">
        <f>Cleaned_Data[[#This Row],[Total_sales]]*(Cleaned_Data[[#This Row],[Discount_Percent]]/100)</f>
        <v>4860</v>
      </c>
      <c r="O355" s="7">
        <f>Cleaned_Data[[#This Row],[Total_sales]]-Cleaned_Data[[#This Row],[Discount_Amount]]</f>
        <v>27540</v>
      </c>
      <c r="P355" t="str">
        <f>TEXT(Cleaned_Data[[#This Row],[Order_Date]],"MMM-YYYY")</f>
        <v>Sep-2023</v>
      </c>
      <c r="Q355" t="str">
        <f>"Q"&amp;ROUNDUP(MONTH(Cleaned_Data[[#This Row],[Order_Date]])/3,0)&amp;"-2023"</f>
        <v>Q3-2023</v>
      </c>
      <c r="R355" t="str">
        <f>TEXT(Cleaned_Data[[#This Row],[Order_Date]],"DDD")</f>
        <v>Mon</v>
      </c>
      <c r="S355" t="str">
        <f>IF(Cleaned_Data[[#This Row],[Net_Sales]]&gt;=100000,"High",IF(Cleaned_Data[[#This Row],[Net_Sales]]&gt;=50000,"Medium","Low"))</f>
        <v>Low</v>
      </c>
    </row>
    <row r="356" spans="1:19" x14ac:dyDescent="0.3">
      <c r="A356" t="s">
        <v>504</v>
      </c>
      <c r="B356" s="1">
        <v>45180</v>
      </c>
      <c r="C356" t="s">
        <v>158</v>
      </c>
      <c r="D356" t="s">
        <v>159</v>
      </c>
      <c r="E356" t="s">
        <v>23</v>
      </c>
      <c r="F356" t="s">
        <v>51</v>
      </c>
      <c r="G356" t="s">
        <v>39</v>
      </c>
      <c r="H356" t="s">
        <v>40</v>
      </c>
      <c r="I356">
        <v>1</v>
      </c>
      <c r="J356" s="8">
        <v>21800</v>
      </c>
      <c r="K356">
        <v>0</v>
      </c>
      <c r="L356" t="s">
        <v>19</v>
      </c>
      <c r="M356" s="5">
        <f>Cleaned_Data[[#This Row],[Quantity]]*Cleaned_Data[[#This Row],[Unit_Price]]</f>
        <v>21800</v>
      </c>
      <c r="N356" s="7">
        <f>Cleaned_Data[[#This Row],[Total_sales]]*(Cleaned_Data[[#This Row],[Discount_Percent]]/100)</f>
        <v>0</v>
      </c>
      <c r="O356" s="7">
        <f>Cleaned_Data[[#This Row],[Total_sales]]-Cleaned_Data[[#This Row],[Discount_Amount]]</f>
        <v>21800</v>
      </c>
      <c r="P356" t="str">
        <f>TEXT(Cleaned_Data[[#This Row],[Order_Date]],"MMM-YYYY")</f>
        <v>Sep-2023</v>
      </c>
      <c r="Q356" t="str">
        <f>"Q"&amp;ROUNDUP(MONTH(Cleaned_Data[[#This Row],[Order_Date]])/3,0)&amp;"-2023"</f>
        <v>Q3-2023</v>
      </c>
      <c r="R356" t="str">
        <f>TEXT(Cleaned_Data[[#This Row],[Order_Date]],"DDD")</f>
        <v>Mon</v>
      </c>
      <c r="S356" t="str">
        <f>IF(Cleaned_Data[[#This Row],[Net_Sales]]&gt;=100000,"High",IF(Cleaned_Data[[#This Row],[Net_Sales]]&gt;=50000,"Medium","Low"))</f>
        <v>Low</v>
      </c>
    </row>
    <row r="357" spans="1:19" x14ac:dyDescent="0.3">
      <c r="A357" t="s">
        <v>505</v>
      </c>
      <c r="B357" s="1">
        <v>45180</v>
      </c>
      <c r="C357" t="s">
        <v>95</v>
      </c>
      <c r="D357" t="s">
        <v>96</v>
      </c>
      <c r="E357" t="s">
        <v>37</v>
      </c>
      <c r="F357" t="s">
        <v>101</v>
      </c>
      <c r="G357" t="s">
        <v>25</v>
      </c>
      <c r="H357" t="s">
        <v>124</v>
      </c>
      <c r="I357">
        <v>2</v>
      </c>
      <c r="J357" s="8">
        <v>3000</v>
      </c>
      <c r="K357">
        <v>5</v>
      </c>
      <c r="L357" t="s">
        <v>47</v>
      </c>
      <c r="M357" s="5">
        <f>Cleaned_Data[[#This Row],[Quantity]]*Cleaned_Data[[#This Row],[Unit_Price]]</f>
        <v>6000</v>
      </c>
      <c r="N357" s="7">
        <f>Cleaned_Data[[#This Row],[Total_sales]]*(Cleaned_Data[[#This Row],[Discount_Percent]]/100)</f>
        <v>300</v>
      </c>
      <c r="O357" s="7">
        <f>Cleaned_Data[[#This Row],[Total_sales]]-Cleaned_Data[[#This Row],[Discount_Amount]]</f>
        <v>5700</v>
      </c>
      <c r="P357" t="str">
        <f>TEXT(Cleaned_Data[[#This Row],[Order_Date]],"MMM-YYYY")</f>
        <v>Sep-2023</v>
      </c>
      <c r="Q357" t="str">
        <f>"Q"&amp;ROUNDUP(MONTH(Cleaned_Data[[#This Row],[Order_Date]])/3,0)&amp;"-2023"</f>
        <v>Q3-2023</v>
      </c>
      <c r="R357" t="str">
        <f>TEXT(Cleaned_Data[[#This Row],[Order_Date]],"DDD")</f>
        <v>Mon</v>
      </c>
      <c r="S357" t="str">
        <f>IF(Cleaned_Data[[#This Row],[Net_Sales]]&gt;=100000,"High",IF(Cleaned_Data[[#This Row],[Net_Sales]]&gt;=50000,"Medium","Low"))</f>
        <v>Low</v>
      </c>
    </row>
    <row r="358" spans="1:19" x14ac:dyDescent="0.3">
      <c r="A358" t="s">
        <v>506</v>
      </c>
      <c r="B358" s="1">
        <v>45180</v>
      </c>
      <c r="C358" t="s">
        <v>105</v>
      </c>
      <c r="D358" t="s">
        <v>106</v>
      </c>
      <c r="E358" t="s">
        <v>81</v>
      </c>
      <c r="F358" t="s">
        <v>160</v>
      </c>
      <c r="G358" t="s">
        <v>45</v>
      </c>
      <c r="H358" t="s">
        <v>52</v>
      </c>
      <c r="I358">
        <v>1</v>
      </c>
      <c r="J358" s="8">
        <v>35200</v>
      </c>
      <c r="K358">
        <v>20</v>
      </c>
      <c r="L358" t="s">
        <v>62</v>
      </c>
      <c r="M358" s="5">
        <f>Cleaned_Data[[#This Row],[Quantity]]*Cleaned_Data[[#This Row],[Unit_Price]]</f>
        <v>35200</v>
      </c>
      <c r="N358" s="7">
        <f>Cleaned_Data[[#This Row],[Total_sales]]*(Cleaned_Data[[#This Row],[Discount_Percent]]/100)</f>
        <v>7040</v>
      </c>
      <c r="O358" s="7">
        <f>Cleaned_Data[[#This Row],[Total_sales]]-Cleaned_Data[[#This Row],[Discount_Amount]]</f>
        <v>28160</v>
      </c>
      <c r="P358" t="str">
        <f>TEXT(Cleaned_Data[[#This Row],[Order_Date]],"MMM-YYYY")</f>
        <v>Sep-2023</v>
      </c>
      <c r="Q358" t="str">
        <f>"Q"&amp;ROUNDUP(MONTH(Cleaned_Data[[#This Row],[Order_Date]])/3,0)&amp;"-2023"</f>
        <v>Q3-2023</v>
      </c>
      <c r="R358" t="str">
        <f>TEXT(Cleaned_Data[[#This Row],[Order_Date]],"DDD")</f>
        <v>Mon</v>
      </c>
      <c r="S358" t="str">
        <f>IF(Cleaned_Data[[#This Row],[Net_Sales]]&gt;=100000,"High",IF(Cleaned_Data[[#This Row],[Net_Sales]]&gt;=50000,"Medium","Low"))</f>
        <v>Low</v>
      </c>
    </row>
    <row r="359" spans="1:19" x14ac:dyDescent="0.3">
      <c r="A359" t="s">
        <v>507</v>
      </c>
      <c r="B359" s="1">
        <v>45210</v>
      </c>
      <c r="C359" t="s">
        <v>105</v>
      </c>
      <c r="D359" t="s">
        <v>106</v>
      </c>
      <c r="E359" t="s">
        <v>81</v>
      </c>
      <c r="F359" t="s">
        <v>117</v>
      </c>
      <c r="G359" t="s">
        <v>25</v>
      </c>
      <c r="H359" t="s">
        <v>26</v>
      </c>
      <c r="I359">
        <v>2</v>
      </c>
      <c r="J359" s="8">
        <v>1700</v>
      </c>
      <c r="K359">
        <v>0</v>
      </c>
      <c r="L359" t="s">
        <v>47</v>
      </c>
      <c r="M359" s="5">
        <f>Cleaned_Data[[#This Row],[Quantity]]*Cleaned_Data[[#This Row],[Unit_Price]]</f>
        <v>3400</v>
      </c>
      <c r="N359" s="7">
        <f>Cleaned_Data[[#This Row],[Total_sales]]*(Cleaned_Data[[#This Row],[Discount_Percent]]/100)</f>
        <v>0</v>
      </c>
      <c r="O359" s="7">
        <f>Cleaned_Data[[#This Row],[Total_sales]]-Cleaned_Data[[#This Row],[Discount_Amount]]</f>
        <v>3400</v>
      </c>
      <c r="P359" t="str">
        <f>TEXT(Cleaned_Data[[#This Row],[Order_Date]],"MMM-YYYY")</f>
        <v>Oct-2023</v>
      </c>
      <c r="Q359" t="str">
        <f>"Q"&amp;ROUNDUP(MONTH(Cleaned_Data[[#This Row],[Order_Date]])/3,0)&amp;"-2023"</f>
        <v>Q4-2023</v>
      </c>
      <c r="R359" t="str">
        <f>TEXT(Cleaned_Data[[#This Row],[Order_Date]],"DDD")</f>
        <v>Wed</v>
      </c>
      <c r="S359" t="str">
        <f>IF(Cleaned_Data[[#This Row],[Net_Sales]]&gt;=100000,"High",IF(Cleaned_Data[[#This Row],[Net_Sales]]&gt;=50000,"Medium","Low"))</f>
        <v>Low</v>
      </c>
    </row>
    <row r="360" spans="1:19" x14ac:dyDescent="0.3">
      <c r="A360" t="s">
        <v>508</v>
      </c>
      <c r="B360" s="1">
        <v>45241</v>
      </c>
      <c r="C360" t="s">
        <v>244</v>
      </c>
      <c r="D360" t="s">
        <v>245</v>
      </c>
      <c r="E360" t="s">
        <v>15</v>
      </c>
      <c r="F360" t="s">
        <v>128</v>
      </c>
      <c r="G360" t="s">
        <v>45</v>
      </c>
      <c r="H360" t="s">
        <v>156</v>
      </c>
      <c r="I360">
        <v>1</v>
      </c>
      <c r="J360" s="8">
        <v>40100</v>
      </c>
      <c r="K360">
        <v>10</v>
      </c>
      <c r="L360" t="s">
        <v>73</v>
      </c>
      <c r="M360" s="5">
        <f>Cleaned_Data[[#This Row],[Quantity]]*Cleaned_Data[[#This Row],[Unit_Price]]</f>
        <v>40100</v>
      </c>
      <c r="N360" s="7">
        <f>Cleaned_Data[[#This Row],[Total_sales]]*(Cleaned_Data[[#This Row],[Discount_Percent]]/100)</f>
        <v>4010</v>
      </c>
      <c r="O360" s="7">
        <f>Cleaned_Data[[#This Row],[Total_sales]]-Cleaned_Data[[#This Row],[Discount_Amount]]</f>
        <v>36090</v>
      </c>
      <c r="P360" t="str">
        <f>TEXT(Cleaned_Data[[#This Row],[Order_Date]],"MMM-YYYY")</f>
        <v>Nov-2023</v>
      </c>
      <c r="Q360" t="str">
        <f>"Q"&amp;ROUNDUP(MONTH(Cleaned_Data[[#This Row],[Order_Date]])/3,0)&amp;"-2023"</f>
        <v>Q4-2023</v>
      </c>
      <c r="R360" t="str">
        <f>TEXT(Cleaned_Data[[#This Row],[Order_Date]],"DDD")</f>
        <v>Sat</v>
      </c>
      <c r="S360" t="str">
        <f>IF(Cleaned_Data[[#This Row],[Net_Sales]]&gt;=100000,"High",IF(Cleaned_Data[[#This Row],[Net_Sales]]&gt;=50000,"Medium","Low"))</f>
        <v>Low</v>
      </c>
    </row>
    <row r="361" spans="1:19" x14ac:dyDescent="0.3">
      <c r="A361" t="s">
        <v>509</v>
      </c>
      <c r="B361" s="1">
        <v>45241</v>
      </c>
      <c r="C361" t="s">
        <v>185</v>
      </c>
      <c r="D361" t="s">
        <v>186</v>
      </c>
      <c r="E361" t="s">
        <v>37</v>
      </c>
      <c r="F361" t="s">
        <v>101</v>
      </c>
      <c r="G361" t="s">
        <v>45</v>
      </c>
      <c r="H361" t="s">
        <v>46</v>
      </c>
      <c r="I361">
        <v>1</v>
      </c>
      <c r="J361" s="8">
        <v>39100</v>
      </c>
      <c r="K361">
        <v>0</v>
      </c>
      <c r="L361" t="s">
        <v>19</v>
      </c>
      <c r="M361" s="5">
        <f>Cleaned_Data[[#This Row],[Quantity]]*Cleaned_Data[[#This Row],[Unit_Price]]</f>
        <v>39100</v>
      </c>
      <c r="N361" s="7">
        <f>Cleaned_Data[[#This Row],[Total_sales]]*(Cleaned_Data[[#This Row],[Discount_Percent]]/100)</f>
        <v>0</v>
      </c>
      <c r="O361" s="7">
        <f>Cleaned_Data[[#This Row],[Total_sales]]-Cleaned_Data[[#This Row],[Discount_Amount]]</f>
        <v>39100</v>
      </c>
      <c r="P361" t="str">
        <f>TEXT(Cleaned_Data[[#This Row],[Order_Date]],"MMM-YYYY")</f>
        <v>Nov-2023</v>
      </c>
      <c r="Q361" t="str">
        <f>"Q"&amp;ROUNDUP(MONTH(Cleaned_Data[[#This Row],[Order_Date]])/3,0)&amp;"-2023"</f>
        <v>Q4-2023</v>
      </c>
      <c r="R361" t="str">
        <f>TEXT(Cleaned_Data[[#This Row],[Order_Date]],"DDD")</f>
        <v>Sat</v>
      </c>
      <c r="S361" t="str">
        <f>IF(Cleaned_Data[[#This Row],[Net_Sales]]&gt;=100000,"High",IF(Cleaned_Data[[#This Row],[Net_Sales]]&gt;=50000,"Medium","Low"))</f>
        <v>Low</v>
      </c>
    </row>
    <row r="362" spans="1:19" x14ac:dyDescent="0.3">
      <c r="A362" t="s">
        <v>510</v>
      </c>
      <c r="B362" s="1">
        <v>45241</v>
      </c>
      <c r="C362" t="s">
        <v>105</v>
      </c>
      <c r="D362" t="s">
        <v>106</v>
      </c>
      <c r="E362" t="s">
        <v>37</v>
      </c>
      <c r="F362" t="s">
        <v>38</v>
      </c>
      <c r="G362" t="s">
        <v>25</v>
      </c>
      <c r="H362" t="s">
        <v>32</v>
      </c>
      <c r="I362">
        <v>2</v>
      </c>
      <c r="J362" s="8">
        <v>2400</v>
      </c>
      <c r="K362">
        <v>0</v>
      </c>
      <c r="L362" t="s">
        <v>62</v>
      </c>
      <c r="M362" s="5">
        <f>Cleaned_Data[[#This Row],[Quantity]]*Cleaned_Data[[#This Row],[Unit_Price]]</f>
        <v>4800</v>
      </c>
      <c r="N362" s="7">
        <f>Cleaned_Data[[#This Row],[Total_sales]]*(Cleaned_Data[[#This Row],[Discount_Percent]]/100)</f>
        <v>0</v>
      </c>
      <c r="O362" s="7">
        <f>Cleaned_Data[[#This Row],[Total_sales]]-Cleaned_Data[[#This Row],[Discount_Amount]]</f>
        <v>4800</v>
      </c>
      <c r="P362" t="str">
        <f>TEXT(Cleaned_Data[[#This Row],[Order_Date]],"MMM-YYYY")</f>
        <v>Nov-2023</v>
      </c>
      <c r="Q362" t="str">
        <f>"Q"&amp;ROUNDUP(MONTH(Cleaned_Data[[#This Row],[Order_Date]])/3,0)&amp;"-2023"</f>
        <v>Q4-2023</v>
      </c>
      <c r="R362" t="str">
        <f>TEXT(Cleaned_Data[[#This Row],[Order_Date]],"DDD")</f>
        <v>Sat</v>
      </c>
      <c r="S362" t="str">
        <f>IF(Cleaned_Data[[#This Row],[Net_Sales]]&gt;=100000,"High",IF(Cleaned_Data[[#This Row],[Net_Sales]]&gt;=50000,"Medium","Low"))</f>
        <v>Low</v>
      </c>
    </row>
    <row r="363" spans="1:19" x14ac:dyDescent="0.3">
      <c r="A363" t="s">
        <v>511</v>
      </c>
      <c r="B363" s="1">
        <v>45271</v>
      </c>
      <c r="C363" t="s">
        <v>158</v>
      </c>
      <c r="D363" t="s">
        <v>159</v>
      </c>
      <c r="E363" t="s">
        <v>81</v>
      </c>
      <c r="F363" t="s">
        <v>82</v>
      </c>
      <c r="G363" t="s">
        <v>17</v>
      </c>
      <c r="H363" t="s">
        <v>77</v>
      </c>
      <c r="I363">
        <v>1</v>
      </c>
      <c r="J363" s="8">
        <v>44800</v>
      </c>
      <c r="K363">
        <v>20</v>
      </c>
      <c r="L363" t="s">
        <v>47</v>
      </c>
      <c r="M363" s="5">
        <f>Cleaned_Data[[#This Row],[Quantity]]*Cleaned_Data[[#This Row],[Unit_Price]]</f>
        <v>44800</v>
      </c>
      <c r="N363" s="7">
        <f>Cleaned_Data[[#This Row],[Total_sales]]*(Cleaned_Data[[#This Row],[Discount_Percent]]/100)</f>
        <v>8960</v>
      </c>
      <c r="O363" s="7">
        <f>Cleaned_Data[[#This Row],[Total_sales]]-Cleaned_Data[[#This Row],[Discount_Amount]]</f>
        <v>35840</v>
      </c>
      <c r="P363" t="str">
        <f>TEXT(Cleaned_Data[[#This Row],[Order_Date]],"MMM-YYYY")</f>
        <v>Dec-2023</v>
      </c>
      <c r="Q363" t="str">
        <f>"Q"&amp;ROUNDUP(MONTH(Cleaned_Data[[#This Row],[Order_Date]])/3,0)&amp;"-2023"</f>
        <v>Q4-2023</v>
      </c>
      <c r="R363" t="str">
        <f>TEXT(Cleaned_Data[[#This Row],[Order_Date]],"DDD")</f>
        <v>Mon</v>
      </c>
      <c r="S363" t="str">
        <f>IF(Cleaned_Data[[#This Row],[Net_Sales]]&gt;=100000,"High",IF(Cleaned_Data[[#This Row],[Net_Sales]]&gt;=50000,"Medium","Low"))</f>
        <v>Low</v>
      </c>
    </row>
    <row r="364" spans="1:19" x14ac:dyDescent="0.3">
      <c r="A364" t="s">
        <v>512</v>
      </c>
      <c r="B364" s="1">
        <v>45271</v>
      </c>
      <c r="C364" t="s">
        <v>70</v>
      </c>
      <c r="D364" t="s">
        <v>71</v>
      </c>
      <c r="E364" t="s">
        <v>81</v>
      </c>
      <c r="F364" t="s">
        <v>82</v>
      </c>
      <c r="G364" t="s">
        <v>39</v>
      </c>
      <c r="H364" t="s">
        <v>57</v>
      </c>
      <c r="I364">
        <v>1</v>
      </c>
      <c r="J364" s="8">
        <v>30300</v>
      </c>
      <c r="K364">
        <v>15</v>
      </c>
      <c r="L364" t="s">
        <v>53</v>
      </c>
      <c r="M364" s="5">
        <f>Cleaned_Data[[#This Row],[Quantity]]*Cleaned_Data[[#This Row],[Unit_Price]]</f>
        <v>30300</v>
      </c>
      <c r="N364" s="7">
        <f>Cleaned_Data[[#This Row],[Total_sales]]*(Cleaned_Data[[#This Row],[Discount_Percent]]/100)</f>
        <v>4545</v>
      </c>
      <c r="O364" s="7">
        <f>Cleaned_Data[[#This Row],[Total_sales]]-Cleaned_Data[[#This Row],[Discount_Amount]]</f>
        <v>25755</v>
      </c>
      <c r="P364" t="str">
        <f>TEXT(Cleaned_Data[[#This Row],[Order_Date]],"MMM-YYYY")</f>
        <v>Dec-2023</v>
      </c>
      <c r="Q364" t="str">
        <f>"Q"&amp;ROUNDUP(MONTH(Cleaned_Data[[#This Row],[Order_Date]])/3,0)&amp;"-2023"</f>
        <v>Q4-2023</v>
      </c>
      <c r="R364" t="str">
        <f>TEXT(Cleaned_Data[[#This Row],[Order_Date]],"DDD")</f>
        <v>Mon</v>
      </c>
      <c r="S364" t="str">
        <f>IF(Cleaned_Data[[#This Row],[Net_Sales]]&gt;=100000,"High",IF(Cleaned_Data[[#This Row],[Net_Sales]]&gt;=50000,"Medium","Low"))</f>
        <v>Low</v>
      </c>
    </row>
    <row r="365" spans="1:19" x14ac:dyDescent="0.3">
      <c r="A365" t="s">
        <v>513</v>
      </c>
      <c r="B365" s="1">
        <v>45271</v>
      </c>
      <c r="C365" t="s">
        <v>143</v>
      </c>
      <c r="D365" t="s">
        <v>144</v>
      </c>
      <c r="E365" t="s">
        <v>81</v>
      </c>
      <c r="F365" t="s">
        <v>82</v>
      </c>
      <c r="G365" t="s">
        <v>17</v>
      </c>
      <c r="H365" t="s">
        <v>168</v>
      </c>
      <c r="I365">
        <v>1</v>
      </c>
      <c r="J365" s="8">
        <v>57200</v>
      </c>
      <c r="K365">
        <v>0</v>
      </c>
      <c r="L365" t="s">
        <v>47</v>
      </c>
      <c r="M365" s="5">
        <f>Cleaned_Data[[#This Row],[Quantity]]*Cleaned_Data[[#This Row],[Unit_Price]]</f>
        <v>57200</v>
      </c>
      <c r="N365" s="7">
        <f>Cleaned_Data[[#This Row],[Total_sales]]*(Cleaned_Data[[#This Row],[Discount_Percent]]/100)</f>
        <v>0</v>
      </c>
      <c r="O365" s="7">
        <f>Cleaned_Data[[#This Row],[Total_sales]]-Cleaned_Data[[#This Row],[Discount_Amount]]</f>
        <v>57200</v>
      </c>
      <c r="P365" t="str">
        <f>TEXT(Cleaned_Data[[#This Row],[Order_Date]],"MMM-YYYY")</f>
        <v>Dec-2023</v>
      </c>
      <c r="Q365" t="str">
        <f>"Q"&amp;ROUNDUP(MONTH(Cleaned_Data[[#This Row],[Order_Date]])/3,0)&amp;"-2023"</f>
        <v>Q4-2023</v>
      </c>
      <c r="R365" t="str">
        <f>TEXT(Cleaned_Data[[#This Row],[Order_Date]],"DDD")</f>
        <v>Mon</v>
      </c>
      <c r="S365" t="str">
        <f>IF(Cleaned_Data[[#This Row],[Net_Sales]]&gt;=100000,"High",IF(Cleaned_Data[[#This Row],[Net_Sales]]&gt;=50000,"Medium","Low"))</f>
        <v>Medium</v>
      </c>
    </row>
    <row r="366" spans="1:19" x14ac:dyDescent="0.3">
      <c r="A366" t="s">
        <v>514</v>
      </c>
      <c r="B366" s="1">
        <v>45271</v>
      </c>
      <c r="C366" t="s">
        <v>21</v>
      </c>
      <c r="D366" t="s">
        <v>22</v>
      </c>
      <c r="E366" t="s">
        <v>15</v>
      </c>
      <c r="F366" t="s">
        <v>119</v>
      </c>
      <c r="G366" t="s">
        <v>25</v>
      </c>
      <c r="H366" t="s">
        <v>26</v>
      </c>
      <c r="I366">
        <v>2</v>
      </c>
      <c r="J366" s="8">
        <v>2300</v>
      </c>
      <c r="K366">
        <v>10</v>
      </c>
      <c r="L366" t="s">
        <v>47</v>
      </c>
      <c r="M366" s="5">
        <f>Cleaned_Data[[#This Row],[Quantity]]*Cleaned_Data[[#This Row],[Unit_Price]]</f>
        <v>4600</v>
      </c>
      <c r="N366" s="7">
        <f>Cleaned_Data[[#This Row],[Total_sales]]*(Cleaned_Data[[#This Row],[Discount_Percent]]/100)</f>
        <v>460</v>
      </c>
      <c r="O366" s="7">
        <f>Cleaned_Data[[#This Row],[Total_sales]]-Cleaned_Data[[#This Row],[Discount_Amount]]</f>
        <v>4140</v>
      </c>
      <c r="P366" t="str">
        <f>TEXT(Cleaned_Data[[#This Row],[Order_Date]],"MMM-YYYY")</f>
        <v>Dec-2023</v>
      </c>
      <c r="Q366" t="str">
        <f>"Q"&amp;ROUNDUP(MONTH(Cleaned_Data[[#This Row],[Order_Date]])/3,0)&amp;"-2023"</f>
        <v>Q4-2023</v>
      </c>
      <c r="R366" t="str">
        <f>TEXT(Cleaned_Data[[#This Row],[Order_Date]],"DDD")</f>
        <v>Mon</v>
      </c>
      <c r="S366" t="str">
        <f>IF(Cleaned_Data[[#This Row],[Net_Sales]]&gt;=100000,"High",IF(Cleaned_Data[[#This Row],[Net_Sales]]&gt;=50000,"Medium","Low"))</f>
        <v>Low</v>
      </c>
    </row>
    <row r="367" spans="1:19" x14ac:dyDescent="0.3">
      <c r="A367" t="s">
        <v>515</v>
      </c>
      <c r="B367" s="1">
        <v>45271</v>
      </c>
      <c r="C367" t="s">
        <v>176</v>
      </c>
      <c r="D367" t="s">
        <v>177</v>
      </c>
      <c r="E367" t="s">
        <v>23</v>
      </c>
      <c r="F367" t="s">
        <v>24</v>
      </c>
      <c r="G367" t="s">
        <v>39</v>
      </c>
      <c r="H367" t="s">
        <v>102</v>
      </c>
      <c r="I367">
        <v>1</v>
      </c>
      <c r="J367" s="8">
        <v>24700</v>
      </c>
      <c r="K367">
        <v>25</v>
      </c>
      <c r="L367" t="s">
        <v>19</v>
      </c>
      <c r="M367" s="5">
        <f>Cleaned_Data[[#This Row],[Quantity]]*Cleaned_Data[[#This Row],[Unit_Price]]</f>
        <v>24700</v>
      </c>
      <c r="N367" s="7">
        <f>Cleaned_Data[[#This Row],[Total_sales]]*(Cleaned_Data[[#This Row],[Discount_Percent]]/100)</f>
        <v>6175</v>
      </c>
      <c r="O367" s="7">
        <f>Cleaned_Data[[#This Row],[Total_sales]]-Cleaned_Data[[#This Row],[Discount_Amount]]</f>
        <v>18525</v>
      </c>
      <c r="P367" t="str">
        <f>TEXT(Cleaned_Data[[#This Row],[Order_Date]],"MMM-YYYY")</f>
        <v>Dec-2023</v>
      </c>
      <c r="Q367" t="str">
        <f>"Q"&amp;ROUNDUP(MONTH(Cleaned_Data[[#This Row],[Order_Date]])/3,0)&amp;"-2023"</f>
        <v>Q4-2023</v>
      </c>
      <c r="R367" t="str">
        <f>TEXT(Cleaned_Data[[#This Row],[Order_Date]],"DDD")</f>
        <v>Mon</v>
      </c>
      <c r="S367" t="str">
        <f>IF(Cleaned_Data[[#This Row],[Net_Sales]]&gt;=100000,"High",IF(Cleaned_Data[[#This Row],[Net_Sales]]&gt;=50000,"Medium","Low"))</f>
        <v>Low</v>
      </c>
    </row>
    <row r="368" spans="1:19" x14ac:dyDescent="0.3">
      <c r="A368" t="s">
        <v>516</v>
      </c>
      <c r="B368" s="1">
        <v>44938</v>
      </c>
      <c r="C368" t="s">
        <v>70</v>
      </c>
      <c r="D368" t="s">
        <v>71</v>
      </c>
      <c r="E368" t="s">
        <v>37</v>
      </c>
      <c r="F368" t="s">
        <v>61</v>
      </c>
      <c r="G368" t="s">
        <v>25</v>
      </c>
      <c r="H368" t="s">
        <v>108</v>
      </c>
      <c r="I368">
        <v>2</v>
      </c>
      <c r="J368" s="8">
        <v>1900</v>
      </c>
      <c r="K368">
        <v>10</v>
      </c>
      <c r="L368" t="s">
        <v>73</v>
      </c>
      <c r="M368" s="5">
        <f>Cleaned_Data[[#This Row],[Quantity]]*Cleaned_Data[[#This Row],[Unit_Price]]</f>
        <v>3800</v>
      </c>
      <c r="N368" s="7">
        <f>Cleaned_Data[[#This Row],[Total_sales]]*(Cleaned_Data[[#This Row],[Discount_Percent]]/100)</f>
        <v>380</v>
      </c>
      <c r="O368" s="7">
        <f>Cleaned_Data[[#This Row],[Total_sales]]-Cleaned_Data[[#This Row],[Discount_Amount]]</f>
        <v>3420</v>
      </c>
      <c r="P368" t="str">
        <f>TEXT(Cleaned_Data[[#This Row],[Order_Date]],"MMM-YYYY")</f>
        <v>Jan-2023</v>
      </c>
      <c r="Q368" t="str">
        <f>"Q"&amp;ROUNDUP(MONTH(Cleaned_Data[[#This Row],[Order_Date]])/3,0)&amp;"-2023"</f>
        <v>Q1-2023</v>
      </c>
      <c r="R368" t="str">
        <f>TEXT(Cleaned_Data[[#This Row],[Order_Date]],"DDD")</f>
        <v>Thu</v>
      </c>
      <c r="S368" t="str">
        <f>IF(Cleaned_Data[[#This Row],[Net_Sales]]&gt;=100000,"High",IF(Cleaned_Data[[#This Row],[Net_Sales]]&gt;=50000,"Medium","Low"))</f>
        <v>Low</v>
      </c>
    </row>
    <row r="369" spans="1:19" x14ac:dyDescent="0.3">
      <c r="A369" t="s">
        <v>517</v>
      </c>
      <c r="B369" s="1">
        <v>44938</v>
      </c>
      <c r="C369" t="s">
        <v>236</v>
      </c>
      <c r="D369" t="s">
        <v>237</v>
      </c>
      <c r="E369" t="s">
        <v>15</v>
      </c>
      <c r="F369" t="s">
        <v>128</v>
      </c>
      <c r="G369" t="s">
        <v>97</v>
      </c>
      <c r="H369" t="s">
        <v>98</v>
      </c>
      <c r="I369">
        <v>1</v>
      </c>
      <c r="J369" s="8">
        <v>44500</v>
      </c>
      <c r="K369">
        <v>0</v>
      </c>
      <c r="L369" t="s">
        <v>47</v>
      </c>
      <c r="M369" s="5">
        <f>Cleaned_Data[[#This Row],[Quantity]]*Cleaned_Data[[#This Row],[Unit_Price]]</f>
        <v>44500</v>
      </c>
      <c r="N369" s="7">
        <f>Cleaned_Data[[#This Row],[Total_sales]]*(Cleaned_Data[[#This Row],[Discount_Percent]]/100)</f>
        <v>0</v>
      </c>
      <c r="O369" s="7">
        <f>Cleaned_Data[[#This Row],[Total_sales]]-Cleaned_Data[[#This Row],[Discount_Amount]]</f>
        <v>44500</v>
      </c>
      <c r="P369" t="str">
        <f>TEXT(Cleaned_Data[[#This Row],[Order_Date]],"MMM-YYYY")</f>
        <v>Jan-2023</v>
      </c>
      <c r="Q369" t="str">
        <f>"Q"&amp;ROUNDUP(MONTH(Cleaned_Data[[#This Row],[Order_Date]])/3,0)&amp;"-2023"</f>
        <v>Q1-2023</v>
      </c>
      <c r="R369" t="str">
        <f>TEXT(Cleaned_Data[[#This Row],[Order_Date]],"DDD")</f>
        <v>Thu</v>
      </c>
      <c r="S369" t="str">
        <f>IF(Cleaned_Data[[#This Row],[Net_Sales]]&gt;=100000,"High",IF(Cleaned_Data[[#This Row],[Net_Sales]]&gt;=50000,"Medium","Low"))</f>
        <v>Low</v>
      </c>
    </row>
    <row r="370" spans="1:19" x14ac:dyDescent="0.3">
      <c r="A370" t="s">
        <v>518</v>
      </c>
      <c r="B370" s="1">
        <v>44969</v>
      </c>
      <c r="C370" t="s">
        <v>70</v>
      </c>
      <c r="D370" t="s">
        <v>71</v>
      </c>
      <c r="E370" t="s">
        <v>81</v>
      </c>
      <c r="F370" t="s">
        <v>117</v>
      </c>
      <c r="G370" t="s">
        <v>25</v>
      </c>
      <c r="H370" t="s">
        <v>32</v>
      </c>
      <c r="I370">
        <v>1</v>
      </c>
      <c r="J370" s="8">
        <v>1700</v>
      </c>
      <c r="K370">
        <v>10</v>
      </c>
      <c r="L370" t="s">
        <v>53</v>
      </c>
      <c r="M370" s="5">
        <f>Cleaned_Data[[#This Row],[Quantity]]*Cleaned_Data[[#This Row],[Unit_Price]]</f>
        <v>1700</v>
      </c>
      <c r="N370" s="7">
        <f>Cleaned_Data[[#This Row],[Total_sales]]*(Cleaned_Data[[#This Row],[Discount_Percent]]/100)</f>
        <v>170</v>
      </c>
      <c r="O370" s="7">
        <f>Cleaned_Data[[#This Row],[Total_sales]]-Cleaned_Data[[#This Row],[Discount_Amount]]</f>
        <v>1530</v>
      </c>
      <c r="P370" t="str">
        <f>TEXT(Cleaned_Data[[#This Row],[Order_Date]],"MMM-YYYY")</f>
        <v>Feb-2023</v>
      </c>
      <c r="Q370" t="str">
        <f>"Q"&amp;ROUNDUP(MONTH(Cleaned_Data[[#This Row],[Order_Date]])/3,0)&amp;"-2023"</f>
        <v>Q1-2023</v>
      </c>
      <c r="R370" t="str">
        <f>TEXT(Cleaned_Data[[#This Row],[Order_Date]],"DDD")</f>
        <v>Sun</v>
      </c>
      <c r="S370" t="str">
        <f>IF(Cleaned_Data[[#This Row],[Net_Sales]]&gt;=100000,"High",IF(Cleaned_Data[[#This Row],[Net_Sales]]&gt;=50000,"Medium","Low"))</f>
        <v>Low</v>
      </c>
    </row>
    <row r="371" spans="1:19" x14ac:dyDescent="0.3">
      <c r="A371" t="s">
        <v>519</v>
      </c>
      <c r="B371" s="1">
        <v>44969</v>
      </c>
      <c r="C371" t="s">
        <v>115</v>
      </c>
      <c r="D371" t="s">
        <v>116</v>
      </c>
      <c r="E371" t="s">
        <v>37</v>
      </c>
      <c r="F371" t="s">
        <v>61</v>
      </c>
      <c r="G371" t="s">
        <v>25</v>
      </c>
      <c r="H371" t="s">
        <v>108</v>
      </c>
      <c r="I371">
        <v>2</v>
      </c>
      <c r="J371" s="8">
        <v>2500</v>
      </c>
      <c r="K371">
        <v>0</v>
      </c>
      <c r="L371" t="s">
        <v>19</v>
      </c>
      <c r="M371" s="5">
        <f>Cleaned_Data[[#This Row],[Quantity]]*Cleaned_Data[[#This Row],[Unit_Price]]</f>
        <v>5000</v>
      </c>
      <c r="N371" s="7">
        <f>Cleaned_Data[[#This Row],[Total_sales]]*(Cleaned_Data[[#This Row],[Discount_Percent]]/100)</f>
        <v>0</v>
      </c>
      <c r="O371" s="7">
        <f>Cleaned_Data[[#This Row],[Total_sales]]-Cleaned_Data[[#This Row],[Discount_Amount]]</f>
        <v>5000</v>
      </c>
      <c r="P371" t="str">
        <f>TEXT(Cleaned_Data[[#This Row],[Order_Date]],"MMM-YYYY")</f>
        <v>Feb-2023</v>
      </c>
      <c r="Q371" t="str">
        <f>"Q"&amp;ROUNDUP(MONTH(Cleaned_Data[[#This Row],[Order_Date]])/3,0)&amp;"-2023"</f>
        <v>Q1-2023</v>
      </c>
      <c r="R371" t="str">
        <f>TEXT(Cleaned_Data[[#This Row],[Order_Date]],"DDD")</f>
        <v>Sun</v>
      </c>
      <c r="S371" t="str">
        <f>IF(Cleaned_Data[[#This Row],[Net_Sales]]&gt;=100000,"High",IF(Cleaned_Data[[#This Row],[Net_Sales]]&gt;=50000,"Medium","Low"))</f>
        <v>Low</v>
      </c>
    </row>
    <row r="372" spans="1:19" x14ac:dyDescent="0.3">
      <c r="A372" t="s">
        <v>520</v>
      </c>
      <c r="B372" s="1">
        <v>44969</v>
      </c>
      <c r="C372" t="s">
        <v>55</v>
      </c>
      <c r="D372" t="s">
        <v>56</v>
      </c>
      <c r="E372" t="s">
        <v>81</v>
      </c>
      <c r="F372" t="s">
        <v>110</v>
      </c>
      <c r="G372" t="s">
        <v>97</v>
      </c>
      <c r="H372" t="s">
        <v>133</v>
      </c>
      <c r="I372">
        <v>1</v>
      </c>
      <c r="J372" s="8">
        <v>39700</v>
      </c>
      <c r="K372">
        <v>5</v>
      </c>
      <c r="L372" t="s">
        <v>47</v>
      </c>
      <c r="M372" s="5">
        <f>Cleaned_Data[[#This Row],[Quantity]]*Cleaned_Data[[#This Row],[Unit_Price]]</f>
        <v>39700</v>
      </c>
      <c r="N372" s="7">
        <f>Cleaned_Data[[#This Row],[Total_sales]]*(Cleaned_Data[[#This Row],[Discount_Percent]]/100)</f>
        <v>1985</v>
      </c>
      <c r="O372" s="7">
        <f>Cleaned_Data[[#This Row],[Total_sales]]-Cleaned_Data[[#This Row],[Discount_Amount]]</f>
        <v>37715</v>
      </c>
      <c r="P372" t="str">
        <f>TEXT(Cleaned_Data[[#This Row],[Order_Date]],"MMM-YYYY")</f>
        <v>Feb-2023</v>
      </c>
      <c r="Q372" t="str">
        <f>"Q"&amp;ROUNDUP(MONTH(Cleaned_Data[[#This Row],[Order_Date]])/3,0)&amp;"-2023"</f>
        <v>Q1-2023</v>
      </c>
      <c r="R372" t="str">
        <f>TEXT(Cleaned_Data[[#This Row],[Order_Date]],"DDD")</f>
        <v>Sun</v>
      </c>
      <c r="S372" t="str">
        <f>IF(Cleaned_Data[[#This Row],[Net_Sales]]&gt;=100000,"High",IF(Cleaned_Data[[#This Row],[Net_Sales]]&gt;=50000,"Medium","Low"))</f>
        <v>Low</v>
      </c>
    </row>
    <row r="373" spans="1:19" x14ac:dyDescent="0.3">
      <c r="A373" t="s">
        <v>521</v>
      </c>
      <c r="B373" s="1">
        <v>44969</v>
      </c>
      <c r="C373" t="s">
        <v>284</v>
      </c>
      <c r="D373" t="s">
        <v>285</v>
      </c>
      <c r="E373" t="s">
        <v>66</v>
      </c>
      <c r="F373" t="s">
        <v>67</v>
      </c>
      <c r="G373" t="s">
        <v>25</v>
      </c>
      <c r="H373" t="s">
        <v>108</v>
      </c>
      <c r="I373">
        <v>2</v>
      </c>
      <c r="J373" s="8">
        <v>2200</v>
      </c>
      <c r="K373">
        <v>0</v>
      </c>
      <c r="L373" t="s">
        <v>47</v>
      </c>
      <c r="M373" s="5">
        <f>Cleaned_Data[[#This Row],[Quantity]]*Cleaned_Data[[#This Row],[Unit_Price]]</f>
        <v>4400</v>
      </c>
      <c r="N373" s="7">
        <f>Cleaned_Data[[#This Row],[Total_sales]]*(Cleaned_Data[[#This Row],[Discount_Percent]]/100)</f>
        <v>0</v>
      </c>
      <c r="O373" s="7">
        <f>Cleaned_Data[[#This Row],[Total_sales]]-Cleaned_Data[[#This Row],[Discount_Amount]]</f>
        <v>4400</v>
      </c>
      <c r="P373" t="str">
        <f>TEXT(Cleaned_Data[[#This Row],[Order_Date]],"MMM-YYYY")</f>
        <v>Feb-2023</v>
      </c>
      <c r="Q373" t="str">
        <f>"Q"&amp;ROUNDUP(MONTH(Cleaned_Data[[#This Row],[Order_Date]])/3,0)&amp;"-2023"</f>
        <v>Q1-2023</v>
      </c>
      <c r="R373" t="str">
        <f>TEXT(Cleaned_Data[[#This Row],[Order_Date]],"DDD")</f>
        <v>Sun</v>
      </c>
      <c r="S373" t="str">
        <f>IF(Cleaned_Data[[#This Row],[Net_Sales]]&gt;=100000,"High",IF(Cleaned_Data[[#This Row],[Net_Sales]]&gt;=50000,"Medium","Low"))</f>
        <v>Low</v>
      </c>
    </row>
    <row r="374" spans="1:19" x14ac:dyDescent="0.3">
      <c r="A374" t="s">
        <v>522</v>
      </c>
      <c r="B374" s="1">
        <v>44997</v>
      </c>
      <c r="C374" t="s">
        <v>49</v>
      </c>
      <c r="D374" t="s">
        <v>50</v>
      </c>
      <c r="E374" t="s">
        <v>23</v>
      </c>
      <c r="F374" t="s">
        <v>51</v>
      </c>
      <c r="G374" t="s">
        <v>25</v>
      </c>
      <c r="H374" t="s">
        <v>32</v>
      </c>
      <c r="I374">
        <v>2</v>
      </c>
      <c r="J374" s="8">
        <v>2300</v>
      </c>
      <c r="K374">
        <v>0</v>
      </c>
      <c r="L374" t="s">
        <v>27</v>
      </c>
      <c r="M374" s="5">
        <f>Cleaned_Data[[#This Row],[Quantity]]*Cleaned_Data[[#This Row],[Unit_Price]]</f>
        <v>4600</v>
      </c>
      <c r="N374" s="7">
        <f>Cleaned_Data[[#This Row],[Total_sales]]*(Cleaned_Data[[#This Row],[Discount_Percent]]/100)</f>
        <v>0</v>
      </c>
      <c r="O374" s="7">
        <f>Cleaned_Data[[#This Row],[Total_sales]]-Cleaned_Data[[#This Row],[Discount_Amount]]</f>
        <v>4600</v>
      </c>
      <c r="P374" t="str">
        <f>TEXT(Cleaned_Data[[#This Row],[Order_Date]],"MMM-YYYY")</f>
        <v>Mar-2023</v>
      </c>
      <c r="Q374" t="str">
        <f>"Q"&amp;ROUNDUP(MONTH(Cleaned_Data[[#This Row],[Order_Date]])/3,0)&amp;"-2023"</f>
        <v>Q1-2023</v>
      </c>
      <c r="R374" t="str">
        <f>TEXT(Cleaned_Data[[#This Row],[Order_Date]],"DDD")</f>
        <v>Sun</v>
      </c>
      <c r="S374" t="str">
        <f>IF(Cleaned_Data[[#This Row],[Net_Sales]]&gt;=100000,"High",IF(Cleaned_Data[[#This Row],[Net_Sales]]&gt;=50000,"Medium","Low"))</f>
        <v>Low</v>
      </c>
    </row>
    <row r="375" spans="1:19" x14ac:dyDescent="0.3">
      <c r="A375" t="s">
        <v>523</v>
      </c>
      <c r="B375" s="1">
        <v>44997</v>
      </c>
      <c r="C375" t="s">
        <v>165</v>
      </c>
      <c r="D375" t="s">
        <v>166</v>
      </c>
      <c r="E375" t="s">
        <v>37</v>
      </c>
      <c r="F375" t="s">
        <v>38</v>
      </c>
      <c r="G375" t="s">
        <v>17</v>
      </c>
      <c r="H375" t="s">
        <v>88</v>
      </c>
      <c r="I375">
        <v>1</v>
      </c>
      <c r="J375" s="8">
        <v>28100</v>
      </c>
      <c r="K375">
        <v>10</v>
      </c>
      <c r="L375" t="s">
        <v>47</v>
      </c>
      <c r="M375" s="5">
        <f>Cleaned_Data[[#This Row],[Quantity]]*Cleaned_Data[[#This Row],[Unit_Price]]</f>
        <v>28100</v>
      </c>
      <c r="N375" s="7">
        <f>Cleaned_Data[[#This Row],[Total_sales]]*(Cleaned_Data[[#This Row],[Discount_Percent]]/100)</f>
        <v>2810</v>
      </c>
      <c r="O375" s="7">
        <f>Cleaned_Data[[#This Row],[Total_sales]]-Cleaned_Data[[#This Row],[Discount_Amount]]</f>
        <v>25290</v>
      </c>
      <c r="P375" t="str">
        <f>TEXT(Cleaned_Data[[#This Row],[Order_Date]],"MMM-YYYY")</f>
        <v>Mar-2023</v>
      </c>
      <c r="Q375" t="str">
        <f>"Q"&amp;ROUNDUP(MONTH(Cleaned_Data[[#This Row],[Order_Date]])/3,0)&amp;"-2023"</f>
        <v>Q1-2023</v>
      </c>
      <c r="R375" t="str">
        <f>TEXT(Cleaned_Data[[#This Row],[Order_Date]],"DDD")</f>
        <v>Sun</v>
      </c>
      <c r="S375" t="str">
        <f>IF(Cleaned_Data[[#This Row],[Net_Sales]]&gt;=100000,"High",IF(Cleaned_Data[[#This Row],[Net_Sales]]&gt;=50000,"Medium","Low"))</f>
        <v>Low</v>
      </c>
    </row>
    <row r="376" spans="1:19" x14ac:dyDescent="0.3">
      <c r="A376" t="s">
        <v>524</v>
      </c>
      <c r="B376" s="1">
        <v>44997</v>
      </c>
      <c r="C376" t="s">
        <v>250</v>
      </c>
      <c r="D376" t="s">
        <v>251</v>
      </c>
      <c r="E376" t="s">
        <v>37</v>
      </c>
      <c r="F376" t="s">
        <v>38</v>
      </c>
      <c r="G376" t="s">
        <v>25</v>
      </c>
      <c r="H376" t="s">
        <v>32</v>
      </c>
      <c r="I376">
        <v>2</v>
      </c>
      <c r="J376" s="8">
        <v>2700</v>
      </c>
      <c r="K376">
        <v>5</v>
      </c>
      <c r="L376" t="s">
        <v>27</v>
      </c>
      <c r="M376" s="5">
        <f>Cleaned_Data[[#This Row],[Quantity]]*Cleaned_Data[[#This Row],[Unit_Price]]</f>
        <v>5400</v>
      </c>
      <c r="N376" s="7">
        <f>Cleaned_Data[[#This Row],[Total_sales]]*(Cleaned_Data[[#This Row],[Discount_Percent]]/100)</f>
        <v>270</v>
      </c>
      <c r="O376" s="7">
        <f>Cleaned_Data[[#This Row],[Total_sales]]-Cleaned_Data[[#This Row],[Discount_Amount]]</f>
        <v>5130</v>
      </c>
      <c r="P376" t="str">
        <f>TEXT(Cleaned_Data[[#This Row],[Order_Date]],"MMM-YYYY")</f>
        <v>Mar-2023</v>
      </c>
      <c r="Q376" t="str">
        <f>"Q"&amp;ROUNDUP(MONTH(Cleaned_Data[[#This Row],[Order_Date]])/3,0)&amp;"-2023"</f>
        <v>Q1-2023</v>
      </c>
      <c r="R376" t="str">
        <f>TEXT(Cleaned_Data[[#This Row],[Order_Date]],"DDD")</f>
        <v>Sun</v>
      </c>
      <c r="S376" t="str">
        <f>IF(Cleaned_Data[[#This Row],[Net_Sales]]&gt;=100000,"High",IF(Cleaned_Data[[#This Row],[Net_Sales]]&gt;=50000,"Medium","Low"))</f>
        <v>Low</v>
      </c>
    </row>
    <row r="377" spans="1:19" x14ac:dyDescent="0.3">
      <c r="A377" t="s">
        <v>525</v>
      </c>
      <c r="B377" s="1">
        <v>45058</v>
      </c>
      <c r="C377" t="s">
        <v>163</v>
      </c>
      <c r="D377" t="s">
        <v>73</v>
      </c>
      <c r="E377" t="s">
        <v>37</v>
      </c>
      <c r="F377" t="s">
        <v>101</v>
      </c>
      <c r="G377" t="s">
        <v>97</v>
      </c>
      <c r="H377" t="s">
        <v>154</v>
      </c>
      <c r="I377">
        <v>1</v>
      </c>
      <c r="J377" s="8">
        <v>54300</v>
      </c>
      <c r="K377">
        <v>20</v>
      </c>
      <c r="L377" t="s">
        <v>103</v>
      </c>
      <c r="M377" s="5">
        <f>Cleaned_Data[[#This Row],[Quantity]]*Cleaned_Data[[#This Row],[Unit_Price]]</f>
        <v>54300</v>
      </c>
      <c r="N377" s="7">
        <f>Cleaned_Data[[#This Row],[Total_sales]]*(Cleaned_Data[[#This Row],[Discount_Percent]]/100)</f>
        <v>10860</v>
      </c>
      <c r="O377" s="7">
        <f>Cleaned_Data[[#This Row],[Total_sales]]-Cleaned_Data[[#This Row],[Discount_Amount]]</f>
        <v>43440</v>
      </c>
      <c r="P377" t="str">
        <f>TEXT(Cleaned_Data[[#This Row],[Order_Date]],"MMM-YYYY")</f>
        <v>May-2023</v>
      </c>
      <c r="Q377" t="str">
        <f>"Q"&amp;ROUNDUP(MONTH(Cleaned_Data[[#This Row],[Order_Date]])/3,0)&amp;"-2023"</f>
        <v>Q2-2023</v>
      </c>
      <c r="R377" t="str">
        <f>TEXT(Cleaned_Data[[#This Row],[Order_Date]],"DDD")</f>
        <v>Fri</v>
      </c>
      <c r="S377" t="str">
        <f>IF(Cleaned_Data[[#This Row],[Net_Sales]]&gt;=100000,"High",IF(Cleaned_Data[[#This Row],[Net_Sales]]&gt;=50000,"Medium","Low"))</f>
        <v>Low</v>
      </c>
    </row>
    <row r="378" spans="1:19" x14ac:dyDescent="0.3">
      <c r="A378" t="s">
        <v>526</v>
      </c>
      <c r="B378" s="1">
        <v>45119</v>
      </c>
      <c r="C378" t="s">
        <v>112</v>
      </c>
      <c r="D378" t="s">
        <v>113</v>
      </c>
      <c r="E378" t="s">
        <v>37</v>
      </c>
      <c r="F378" t="s">
        <v>61</v>
      </c>
      <c r="G378" t="s">
        <v>25</v>
      </c>
      <c r="H378" t="s">
        <v>124</v>
      </c>
      <c r="I378">
        <v>1</v>
      </c>
      <c r="J378" s="8">
        <v>1700</v>
      </c>
      <c r="K378">
        <v>0</v>
      </c>
      <c r="L378" t="s">
        <v>27</v>
      </c>
      <c r="M378" s="5">
        <f>Cleaned_Data[[#This Row],[Quantity]]*Cleaned_Data[[#This Row],[Unit_Price]]</f>
        <v>1700</v>
      </c>
      <c r="N378" s="7">
        <f>Cleaned_Data[[#This Row],[Total_sales]]*(Cleaned_Data[[#This Row],[Discount_Percent]]/100)</f>
        <v>0</v>
      </c>
      <c r="O378" s="7">
        <f>Cleaned_Data[[#This Row],[Total_sales]]-Cleaned_Data[[#This Row],[Discount_Amount]]</f>
        <v>1700</v>
      </c>
      <c r="P378" t="str">
        <f>TEXT(Cleaned_Data[[#This Row],[Order_Date]],"MMM-YYYY")</f>
        <v>Jul-2023</v>
      </c>
      <c r="Q378" t="str">
        <f>"Q"&amp;ROUNDUP(MONTH(Cleaned_Data[[#This Row],[Order_Date]])/3,0)&amp;"-2023"</f>
        <v>Q3-2023</v>
      </c>
      <c r="R378" t="str">
        <f>TEXT(Cleaned_Data[[#This Row],[Order_Date]],"DDD")</f>
        <v>Wed</v>
      </c>
      <c r="S378" t="str">
        <f>IF(Cleaned_Data[[#This Row],[Net_Sales]]&gt;=100000,"High",IF(Cleaned_Data[[#This Row],[Net_Sales]]&gt;=50000,"Medium","Low"))</f>
        <v>Low</v>
      </c>
    </row>
    <row r="379" spans="1:19" x14ac:dyDescent="0.3">
      <c r="A379" t="s">
        <v>527</v>
      </c>
      <c r="B379" s="1">
        <v>45119</v>
      </c>
      <c r="C379" t="s">
        <v>79</v>
      </c>
      <c r="D379" t="s">
        <v>80</v>
      </c>
      <c r="E379" t="s">
        <v>15</v>
      </c>
      <c r="F379" t="s">
        <v>16</v>
      </c>
      <c r="G379" t="s">
        <v>45</v>
      </c>
      <c r="H379" t="s">
        <v>156</v>
      </c>
      <c r="I379">
        <v>1</v>
      </c>
      <c r="J379" s="8">
        <v>33300</v>
      </c>
      <c r="K379">
        <v>15</v>
      </c>
      <c r="L379" t="s">
        <v>103</v>
      </c>
      <c r="M379" s="5">
        <f>Cleaned_Data[[#This Row],[Quantity]]*Cleaned_Data[[#This Row],[Unit_Price]]</f>
        <v>33300</v>
      </c>
      <c r="N379" s="7">
        <f>Cleaned_Data[[#This Row],[Total_sales]]*(Cleaned_Data[[#This Row],[Discount_Percent]]/100)</f>
        <v>4995</v>
      </c>
      <c r="O379" s="7">
        <f>Cleaned_Data[[#This Row],[Total_sales]]-Cleaned_Data[[#This Row],[Discount_Amount]]</f>
        <v>28305</v>
      </c>
      <c r="P379" t="str">
        <f>TEXT(Cleaned_Data[[#This Row],[Order_Date]],"MMM-YYYY")</f>
        <v>Jul-2023</v>
      </c>
      <c r="Q379" t="str">
        <f>"Q"&amp;ROUNDUP(MONTH(Cleaned_Data[[#This Row],[Order_Date]])/3,0)&amp;"-2023"</f>
        <v>Q3-2023</v>
      </c>
      <c r="R379" t="str">
        <f>TEXT(Cleaned_Data[[#This Row],[Order_Date]],"DDD")</f>
        <v>Wed</v>
      </c>
      <c r="S379" t="str">
        <f>IF(Cleaned_Data[[#This Row],[Net_Sales]]&gt;=100000,"High",IF(Cleaned_Data[[#This Row],[Net_Sales]]&gt;=50000,"Medium","Low"))</f>
        <v>Low</v>
      </c>
    </row>
    <row r="380" spans="1:19" x14ac:dyDescent="0.3">
      <c r="A380" t="s">
        <v>528</v>
      </c>
      <c r="B380" s="1">
        <v>45150</v>
      </c>
      <c r="C380" t="s">
        <v>112</v>
      </c>
      <c r="D380" t="s">
        <v>113</v>
      </c>
      <c r="E380" t="s">
        <v>15</v>
      </c>
      <c r="F380" t="s">
        <v>128</v>
      </c>
      <c r="G380" t="s">
        <v>97</v>
      </c>
      <c r="H380" t="s">
        <v>98</v>
      </c>
      <c r="I380">
        <v>2</v>
      </c>
      <c r="J380" s="8">
        <v>65500</v>
      </c>
      <c r="K380">
        <v>15</v>
      </c>
      <c r="L380" t="s">
        <v>73</v>
      </c>
      <c r="M380" s="5">
        <f>Cleaned_Data[[#This Row],[Quantity]]*Cleaned_Data[[#This Row],[Unit_Price]]</f>
        <v>131000</v>
      </c>
      <c r="N380" s="7">
        <f>Cleaned_Data[[#This Row],[Total_sales]]*(Cleaned_Data[[#This Row],[Discount_Percent]]/100)</f>
        <v>19650</v>
      </c>
      <c r="O380" s="7">
        <f>Cleaned_Data[[#This Row],[Total_sales]]-Cleaned_Data[[#This Row],[Discount_Amount]]</f>
        <v>111350</v>
      </c>
      <c r="P380" t="str">
        <f>TEXT(Cleaned_Data[[#This Row],[Order_Date]],"MMM-YYYY")</f>
        <v>Aug-2023</v>
      </c>
      <c r="Q380" t="str">
        <f>"Q"&amp;ROUNDUP(MONTH(Cleaned_Data[[#This Row],[Order_Date]])/3,0)&amp;"-2023"</f>
        <v>Q3-2023</v>
      </c>
      <c r="R380" t="str">
        <f>TEXT(Cleaned_Data[[#This Row],[Order_Date]],"DDD")</f>
        <v>Sat</v>
      </c>
      <c r="S380" t="str">
        <f>IF(Cleaned_Data[[#This Row],[Net_Sales]]&gt;=100000,"High",IF(Cleaned_Data[[#This Row],[Net_Sales]]&gt;=50000,"Medium","Low"))</f>
        <v>High</v>
      </c>
    </row>
    <row r="381" spans="1:19" x14ac:dyDescent="0.3">
      <c r="A381" t="s">
        <v>529</v>
      </c>
      <c r="B381" s="1">
        <v>45150</v>
      </c>
      <c r="C381" t="s">
        <v>115</v>
      </c>
      <c r="D381" t="s">
        <v>116</v>
      </c>
      <c r="E381" t="s">
        <v>23</v>
      </c>
      <c r="F381" t="s">
        <v>44</v>
      </c>
      <c r="G381" t="s">
        <v>97</v>
      </c>
      <c r="H381" t="s">
        <v>98</v>
      </c>
      <c r="I381">
        <v>1</v>
      </c>
      <c r="J381" s="8">
        <v>41700</v>
      </c>
      <c r="K381">
        <v>25</v>
      </c>
      <c r="L381" t="s">
        <v>27</v>
      </c>
      <c r="M381" s="5">
        <f>Cleaned_Data[[#This Row],[Quantity]]*Cleaned_Data[[#This Row],[Unit_Price]]</f>
        <v>41700</v>
      </c>
      <c r="N381" s="7">
        <f>Cleaned_Data[[#This Row],[Total_sales]]*(Cleaned_Data[[#This Row],[Discount_Percent]]/100)</f>
        <v>10425</v>
      </c>
      <c r="O381" s="7">
        <f>Cleaned_Data[[#This Row],[Total_sales]]-Cleaned_Data[[#This Row],[Discount_Amount]]</f>
        <v>31275</v>
      </c>
      <c r="P381" t="str">
        <f>TEXT(Cleaned_Data[[#This Row],[Order_Date]],"MMM-YYYY")</f>
        <v>Aug-2023</v>
      </c>
      <c r="Q381" t="str">
        <f>"Q"&amp;ROUNDUP(MONTH(Cleaned_Data[[#This Row],[Order_Date]])/3,0)&amp;"-2023"</f>
        <v>Q3-2023</v>
      </c>
      <c r="R381" t="str">
        <f>TEXT(Cleaned_Data[[#This Row],[Order_Date]],"DDD")</f>
        <v>Sat</v>
      </c>
      <c r="S381" t="str">
        <f>IF(Cleaned_Data[[#This Row],[Net_Sales]]&gt;=100000,"High",IF(Cleaned_Data[[#This Row],[Net_Sales]]&gt;=50000,"Medium","Low"))</f>
        <v>Low</v>
      </c>
    </row>
    <row r="382" spans="1:19" x14ac:dyDescent="0.3">
      <c r="A382" t="s">
        <v>530</v>
      </c>
      <c r="B382" s="1">
        <v>45181</v>
      </c>
      <c r="C382" t="s">
        <v>244</v>
      </c>
      <c r="D382" t="s">
        <v>245</v>
      </c>
      <c r="E382" t="s">
        <v>23</v>
      </c>
      <c r="F382" t="s">
        <v>24</v>
      </c>
      <c r="G382" t="s">
        <v>25</v>
      </c>
      <c r="H382" t="s">
        <v>212</v>
      </c>
      <c r="I382">
        <v>2</v>
      </c>
      <c r="J382" s="8">
        <v>1100</v>
      </c>
      <c r="K382">
        <v>0</v>
      </c>
      <c r="L382" t="s">
        <v>103</v>
      </c>
      <c r="M382" s="5">
        <f>Cleaned_Data[[#This Row],[Quantity]]*Cleaned_Data[[#This Row],[Unit_Price]]</f>
        <v>2200</v>
      </c>
      <c r="N382" s="7">
        <f>Cleaned_Data[[#This Row],[Total_sales]]*(Cleaned_Data[[#This Row],[Discount_Percent]]/100)</f>
        <v>0</v>
      </c>
      <c r="O382" s="7">
        <f>Cleaned_Data[[#This Row],[Total_sales]]-Cleaned_Data[[#This Row],[Discount_Amount]]</f>
        <v>2200</v>
      </c>
      <c r="P382" t="str">
        <f>TEXT(Cleaned_Data[[#This Row],[Order_Date]],"MMM-YYYY")</f>
        <v>Sep-2023</v>
      </c>
      <c r="Q382" t="str">
        <f>"Q"&amp;ROUNDUP(MONTH(Cleaned_Data[[#This Row],[Order_Date]])/3,0)&amp;"-2023"</f>
        <v>Q3-2023</v>
      </c>
      <c r="R382" t="str">
        <f>TEXT(Cleaned_Data[[#This Row],[Order_Date]],"DDD")</f>
        <v>Tue</v>
      </c>
      <c r="S382" t="str">
        <f>IF(Cleaned_Data[[#This Row],[Net_Sales]]&gt;=100000,"High",IF(Cleaned_Data[[#This Row],[Net_Sales]]&gt;=50000,"Medium","Low"))</f>
        <v>Low</v>
      </c>
    </row>
    <row r="383" spans="1:19" x14ac:dyDescent="0.3">
      <c r="A383" t="s">
        <v>531</v>
      </c>
      <c r="B383" s="1">
        <v>45181</v>
      </c>
      <c r="C383" t="s">
        <v>185</v>
      </c>
      <c r="D383" t="s">
        <v>186</v>
      </c>
      <c r="E383" t="s">
        <v>66</v>
      </c>
      <c r="F383" t="s">
        <v>92</v>
      </c>
      <c r="G383" t="s">
        <v>97</v>
      </c>
      <c r="H383" t="s">
        <v>133</v>
      </c>
      <c r="I383">
        <v>1</v>
      </c>
      <c r="J383" s="8">
        <v>59800</v>
      </c>
      <c r="K383">
        <v>25</v>
      </c>
      <c r="L383" t="s">
        <v>53</v>
      </c>
      <c r="M383" s="5">
        <f>Cleaned_Data[[#This Row],[Quantity]]*Cleaned_Data[[#This Row],[Unit_Price]]</f>
        <v>59800</v>
      </c>
      <c r="N383" s="7">
        <f>Cleaned_Data[[#This Row],[Total_sales]]*(Cleaned_Data[[#This Row],[Discount_Percent]]/100)</f>
        <v>14950</v>
      </c>
      <c r="O383" s="7">
        <f>Cleaned_Data[[#This Row],[Total_sales]]-Cleaned_Data[[#This Row],[Discount_Amount]]</f>
        <v>44850</v>
      </c>
      <c r="P383" t="str">
        <f>TEXT(Cleaned_Data[[#This Row],[Order_Date]],"MMM-YYYY")</f>
        <v>Sep-2023</v>
      </c>
      <c r="Q383" t="str">
        <f>"Q"&amp;ROUNDUP(MONTH(Cleaned_Data[[#This Row],[Order_Date]])/3,0)&amp;"-2023"</f>
        <v>Q3-2023</v>
      </c>
      <c r="R383" t="str">
        <f>TEXT(Cleaned_Data[[#This Row],[Order_Date]],"DDD")</f>
        <v>Tue</v>
      </c>
      <c r="S383" t="str">
        <f>IF(Cleaned_Data[[#This Row],[Net_Sales]]&gt;=100000,"High",IF(Cleaned_Data[[#This Row],[Net_Sales]]&gt;=50000,"Medium","Low"))</f>
        <v>Low</v>
      </c>
    </row>
    <row r="384" spans="1:19" x14ac:dyDescent="0.3">
      <c r="A384" t="s">
        <v>532</v>
      </c>
      <c r="B384" s="1">
        <v>45181</v>
      </c>
      <c r="C384" t="s">
        <v>122</v>
      </c>
      <c r="D384" t="s">
        <v>123</v>
      </c>
      <c r="E384" t="s">
        <v>23</v>
      </c>
      <c r="F384" t="s">
        <v>51</v>
      </c>
      <c r="G384" t="s">
        <v>45</v>
      </c>
      <c r="H384" t="s">
        <v>52</v>
      </c>
      <c r="I384">
        <v>1</v>
      </c>
      <c r="J384" s="8">
        <v>41900</v>
      </c>
      <c r="K384">
        <v>0</v>
      </c>
      <c r="L384" t="s">
        <v>27</v>
      </c>
      <c r="M384" s="5">
        <f>Cleaned_Data[[#This Row],[Quantity]]*Cleaned_Data[[#This Row],[Unit_Price]]</f>
        <v>41900</v>
      </c>
      <c r="N384" s="7">
        <f>Cleaned_Data[[#This Row],[Total_sales]]*(Cleaned_Data[[#This Row],[Discount_Percent]]/100)</f>
        <v>0</v>
      </c>
      <c r="O384" s="7">
        <f>Cleaned_Data[[#This Row],[Total_sales]]-Cleaned_Data[[#This Row],[Discount_Amount]]</f>
        <v>41900</v>
      </c>
      <c r="P384" t="str">
        <f>TEXT(Cleaned_Data[[#This Row],[Order_Date]],"MMM-YYYY")</f>
        <v>Sep-2023</v>
      </c>
      <c r="Q384" t="str">
        <f>"Q"&amp;ROUNDUP(MONTH(Cleaned_Data[[#This Row],[Order_Date]])/3,0)&amp;"-2023"</f>
        <v>Q3-2023</v>
      </c>
      <c r="R384" t="str">
        <f>TEXT(Cleaned_Data[[#This Row],[Order_Date]],"DDD")</f>
        <v>Tue</v>
      </c>
      <c r="S384" t="str">
        <f>IF(Cleaned_Data[[#This Row],[Net_Sales]]&gt;=100000,"High",IF(Cleaned_Data[[#This Row],[Net_Sales]]&gt;=50000,"Medium","Low"))</f>
        <v>Low</v>
      </c>
    </row>
    <row r="385" spans="1:19" x14ac:dyDescent="0.3">
      <c r="A385" t="s">
        <v>533</v>
      </c>
      <c r="B385" s="1">
        <v>45181</v>
      </c>
      <c r="C385" t="s">
        <v>49</v>
      </c>
      <c r="D385" t="s">
        <v>50</v>
      </c>
      <c r="E385" t="s">
        <v>66</v>
      </c>
      <c r="F385" t="s">
        <v>67</v>
      </c>
      <c r="G385" t="s">
        <v>39</v>
      </c>
      <c r="H385" t="s">
        <v>68</v>
      </c>
      <c r="I385">
        <v>1</v>
      </c>
      <c r="J385" s="8">
        <v>33100</v>
      </c>
      <c r="K385">
        <v>5</v>
      </c>
      <c r="L385" t="s">
        <v>73</v>
      </c>
      <c r="M385" s="5">
        <f>Cleaned_Data[[#This Row],[Quantity]]*Cleaned_Data[[#This Row],[Unit_Price]]</f>
        <v>33100</v>
      </c>
      <c r="N385" s="7">
        <f>Cleaned_Data[[#This Row],[Total_sales]]*(Cleaned_Data[[#This Row],[Discount_Percent]]/100)</f>
        <v>1655</v>
      </c>
      <c r="O385" s="7">
        <f>Cleaned_Data[[#This Row],[Total_sales]]-Cleaned_Data[[#This Row],[Discount_Amount]]</f>
        <v>31445</v>
      </c>
      <c r="P385" t="str">
        <f>TEXT(Cleaned_Data[[#This Row],[Order_Date]],"MMM-YYYY")</f>
        <v>Sep-2023</v>
      </c>
      <c r="Q385" t="str">
        <f>"Q"&amp;ROUNDUP(MONTH(Cleaned_Data[[#This Row],[Order_Date]])/3,0)&amp;"-2023"</f>
        <v>Q3-2023</v>
      </c>
      <c r="R385" t="str">
        <f>TEXT(Cleaned_Data[[#This Row],[Order_Date]],"DDD")</f>
        <v>Tue</v>
      </c>
      <c r="S385" t="str">
        <f>IF(Cleaned_Data[[#This Row],[Net_Sales]]&gt;=100000,"High",IF(Cleaned_Data[[#This Row],[Net_Sales]]&gt;=50000,"Medium","Low"))</f>
        <v>Low</v>
      </c>
    </row>
    <row r="386" spans="1:19" x14ac:dyDescent="0.3">
      <c r="A386" t="s">
        <v>534</v>
      </c>
      <c r="B386" s="1">
        <v>45181</v>
      </c>
      <c r="C386" t="s">
        <v>95</v>
      </c>
      <c r="D386" t="s">
        <v>96</v>
      </c>
      <c r="E386" t="s">
        <v>23</v>
      </c>
      <c r="F386" t="s">
        <v>51</v>
      </c>
      <c r="G386" t="s">
        <v>39</v>
      </c>
      <c r="H386" t="s">
        <v>102</v>
      </c>
      <c r="I386">
        <v>1</v>
      </c>
      <c r="J386" s="8">
        <v>32600</v>
      </c>
      <c r="K386">
        <v>10</v>
      </c>
      <c r="L386" t="s">
        <v>27</v>
      </c>
      <c r="M386" s="5">
        <f>Cleaned_Data[[#This Row],[Quantity]]*Cleaned_Data[[#This Row],[Unit_Price]]</f>
        <v>32600</v>
      </c>
      <c r="N386" s="7">
        <f>Cleaned_Data[[#This Row],[Total_sales]]*(Cleaned_Data[[#This Row],[Discount_Percent]]/100)</f>
        <v>3260</v>
      </c>
      <c r="O386" s="7">
        <f>Cleaned_Data[[#This Row],[Total_sales]]-Cleaned_Data[[#This Row],[Discount_Amount]]</f>
        <v>29340</v>
      </c>
      <c r="P386" t="str">
        <f>TEXT(Cleaned_Data[[#This Row],[Order_Date]],"MMM-YYYY")</f>
        <v>Sep-2023</v>
      </c>
      <c r="Q386" t="str">
        <f>"Q"&amp;ROUNDUP(MONTH(Cleaned_Data[[#This Row],[Order_Date]])/3,0)&amp;"-2023"</f>
        <v>Q3-2023</v>
      </c>
      <c r="R386" t="str">
        <f>TEXT(Cleaned_Data[[#This Row],[Order_Date]],"DDD")</f>
        <v>Tue</v>
      </c>
      <c r="S386" t="str">
        <f>IF(Cleaned_Data[[#This Row],[Net_Sales]]&gt;=100000,"High",IF(Cleaned_Data[[#This Row],[Net_Sales]]&gt;=50000,"Medium","Low"))</f>
        <v>Low</v>
      </c>
    </row>
    <row r="387" spans="1:19" x14ac:dyDescent="0.3">
      <c r="A387" t="s">
        <v>535</v>
      </c>
      <c r="B387" s="1">
        <v>45181</v>
      </c>
      <c r="C387" t="s">
        <v>59</v>
      </c>
      <c r="D387" t="s">
        <v>60</v>
      </c>
      <c r="E387" t="s">
        <v>37</v>
      </c>
      <c r="F387" t="s">
        <v>38</v>
      </c>
      <c r="G387" t="s">
        <v>39</v>
      </c>
      <c r="H387" t="s">
        <v>102</v>
      </c>
      <c r="I387">
        <v>1</v>
      </c>
      <c r="J387" s="8">
        <v>27800</v>
      </c>
      <c r="K387">
        <v>5</v>
      </c>
      <c r="L387" t="s">
        <v>62</v>
      </c>
      <c r="M387" s="5">
        <f>Cleaned_Data[[#This Row],[Quantity]]*Cleaned_Data[[#This Row],[Unit_Price]]</f>
        <v>27800</v>
      </c>
      <c r="N387" s="7">
        <f>Cleaned_Data[[#This Row],[Total_sales]]*(Cleaned_Data[[#This Row],[Discount_Percent]]/100)</f>
        <v>1390</v>
      </c>
      <c r="O387" s="7">
        <f>Cleaned_Data[[#This Row],[Total_sales]]-Cleaned_Data[[#This Row],[Discount_Amount]]</f>
        <v>26410</v>
      </c>
      <c r="P387" t="str">
        <f>TEXT(Cleaned_Data[[#This Row],[Order_Date]],"MMM-YYYY")</f>
        <v>Sep-2023</v>
      </c>
      <c r="Q387" t="str">
        <f>"Q"&amp;ROUNDUP(MONTH(Cleaned_Data[[#This Row],[Order_Date]])/3,0)&amp;"-2023"</f>
        <v>Q3-2023</v>
      </c>
      <c r="R387" t="str">
        <f>TEXT(Cleaned_Data[[#This Row],[Order_Date]],"DDD")</f>
        <v>Tue</v>
      </c>
      <c r="S387" t="str">
        <f>IF(Cleaned_Data[[#This Row],[Net_Sales]]&gt;=100000,"High",IF(Cleaned_Data[[#This Row],[Net_Sales]]&gt;=50000,"Medium","Low"))</f>
        <v>Low</v>
      </c>
    </row>
    <row r="388" spans="1:19" x14ac:dyDescent="0.3">
      <c r="A388" t="s">
        <v>536</v>
      </c>
      <c r="B388" s="1">
        <v>45181</v>
      </c>
      <c r="C388" t="s">
        <v>79</v>
      </c>
      <c r="D388" t="s">
        <v>80</v>
      </c>
      <c r="E388" t="s">
        <v>15</v>
      </c>
      <c r="F388" t="s">
        <v>16</v>
      </c>
      <c r="G388" t="s">
        <v>45</v>
      </c>
      <c r="H388" t="s">
        <v>156</v>
      </c>
      <c r="I388">
        <v>2</v>
      </c>
      <c r="J388" s="8">
        <v>33100</v>
      </c>
      <c r="K388">
        <v>5</v>
      </c>
      <c r="L388" t="s">
        <v>47</v>
      </c>
      <c r="M388" s="5">
        <f>Cleaned_Data[[#This Row],[Quantity]]*Cleaned_Data[[#This Row],[Unit_Price]]</f>
        <v>66200</v>
      </c>
      <c r="N388" s="7">
        <f>Cleaned_Data[[#This Row],[Total_sales]]*(Cleaned_Data[[#This Row],[Discount_Percent]]/100)</f>
        <v>3310</v>
      </c>
      <c r="O388" s="7">
        <f>Cleaned_Data[[#This Row],[Total_sales]]-Cleaned_Data[[#This Row],[Discount_Amount]]</f>
        <v>62890</v>
      </c>
      <c r="P388" t="str">
        <f>TEXT(Cleaned_Data[[#This Row],[Order_Date]],"MMM-YYYY")</f>
        <v>Sep-2023</v>
      </c>
      <c r="Q388" t="str">
        <f>"Q"&amp;ROUNDUP(MONTH(Cleaned_Data[[#This Row],[Order_Date]])/3,0)&amp;"-2023"</f>
        <v>Q3-2023</v>
      </c>
      <c r="R388" t="str">
        <f>TEXT(Cleaned_Data[[#This Row],[Order_Date]],"DDD")</f>
        <v>Tue</v>
      </c>
      <c r="S388" t="str">
        <f>IF(Cleaned_Data[[#This Row],[Net_Sales]]&gt;=100000,"High",IF(Cleaned_Data[[#This Row],[Net_Sales]]&gt;=50000,"Medium","Low"))</f>
        <v>Medium</v>
      </c>
    </row>
    <row r="389" spans="1:19" x14ac:dyDescent="0.3">
      <c r="A389" t="s">
        <v>537</v>
      </c>
      <c r="B389" s="1">
        <v>45181</v>
      </c>
      <c r="C389" t="s">
        <v>147</v>
      </c>
      <c r="D389" t="s">
        <v>148</v>
      </c>
      <c r="E389" t="s">
        <v>37</v>
      </c>
      <c r="F389" t="s">
        <v>38</v>
      </c>
      <c r="G389" t="s">
        <v>97</v>
      </c>
      <c r="H389" t="s">
        <v>174</v>
      </c>
      <c r="I389">
        <v>2</v>
      </c>
      <c r="J389" s="8">
        <v>56200</v>
      </c>
      <c r="K389">
        <v>10</v>
      </c>
      <c r="L389" t="s">
        <v>33</v>
      </c>
      <c r="M389" s="5">
        <f>Cleaned_Data[[#This Row],[Quantity]]*Cleaned_Data[[#This Row],[Unit_Price]]</f>
        <v>112400</v>
      </c>
      <c r="N389" s="7">
        <f>Cleaned_Data[[#This Row],[Total_sales]]*(Cleaned_Data[[#This Row],[Discount_Percent]]/100)</f>
        <v>11240</v>
      </c>
      <c r="O389" s="7">
        <f>Cleaned_Data[[#This Row],[Total_sales]]-Cleaned_Data[[#This Row],[Discount_Amount]]</f>
        <v>101160</v>
      </c>
      <c r="P389" t="str">
        <f>TEXT(Cleaned_Data[[#This Row],[Order_Date]],"MMM-YYYY")</f>
        <v>Sep-2023</v>
      </c>
      <c r="Q389" t="str">
        <f>"Q"&amp;ROUNDUP(MONTH(Cleaned_Data[[#This Row],[Order_Date]])/3,0)&amp;"-2023"</f>
        <v>Q3-2023</v>
      </c>
      <c r="R389" t="str">
        <f>TEXT(Cleaned_Data[[#This Row],[Order_Date]],"DDD")</f>
        <v>Tue</v>
      </c>
      <c r="S389" t="str">
        <f>IF(Cleaned_Data[[#This Row],[Net_Sales]]&gt;=100000,"High",IF(Cleaned_Data[[#This Row],[Net_Sales]]&gt;=50000,"Medium","Low"))</f>
        <v>High</v>
      </c>
    </row>
    <row r="390" spans="1:19" x14ac:dyDescent="0.3">
      <c r="A390" t="s">
        <v>538</v>
      </c>
      <c r="B390" s="1">
        <v>45211</v>
      </c>
      <c r="C390" t="s">
        <v>250</v>
      </c>
      <c r="D390" t="s">
        <v>251</v>
      </c>
      <c r="E390" t="s">
        <v>23</v>
      </c>
      <c r="F390" t="s">
        <v>44</v>
      </c>
      <c r="G390" t="s">
        <v>17</v>
      </c>
      <c r="H390" t="s">
        <v>168</v>
      </c>
      <c r="I390">
        <v>1</v>
      </c>
      <c r="J390" s="8">
        <v>35800</v>
      </c>
      <c r="K390">
        <v>10</v>
      </c>
      <c r="L390" t="s">
        <v>19</v>
      </c>
      <c r="M390" s="5">
        <f>Cleaned_Data[[#This Row],[Quantity]]*Cleaned_Data[[#This Row],[Unit_Price]]</f>
        <v>35800</v>
      </c>
      <c r="N390" s="7">
        <f>Cleaned_Data[[#This Row],[Total_sales]]*(Cleaned_Data[[#This Row],[Discount_Percent]]/100)</f>
        <v>3580</v>
      </c>
      <c r="O390" s="7">
        <f>Cleaned_Data[[#This Row],[Total_sales]]-Cleaned_Data[[#This Row],[Discount_Amount]]</f>
        <v>32220</v>
      </c>
      <c r="P390" t="str">
        <f>TEXT(Cleaned_Data[[#This Row],[Order_Date]],"MMM-YYYY")</f>
        <v>Oct-2023</v>
      </c>
      <c r="Q390" t="str">
        <f>"Q"&amp;ROUNDUP(MONTH(Cleaned_Data[[#This Row],[Order_Date]])/3,0)&amp;"-2023"</f>
        <v>Q4-2023</v>
      </c>
      <c r="R390" t="str">
        <f>TEXT(Cleaned_Data[[#This Row],[Order_Date]],"DDD")</f>
        <v>Thu</v>
      </c>
      <c r="S390" t="str">
        <f>IF(Cleaned_Data[[#This Row],[Net_Sales]]&gt;=100000,"High",IF(Cleaned_Data[[#This Row],[Net_Sales]]&gt;=50000,"Medium","Low"))</f>
        <v>Low</v>
      </c>
    </row>
    <row r="391" spans="1:19" x14ac:dyDescent="0.3">
      <c r="A391" t="s">
        <v>539</v>
      </c>
      <c r="B391" s="1">
        <v>45211</v>
      </c>
      <c r="C391" t="s">
        <v>203</v>
      </c>
      <c r="D391" t="s">
        <v>204</v>
      </c>
      <c r="E391" t="s">
        <v>66</v>
      </c>
      <c r="F391" t="s">
        <v>72</v>
      </c>
      <c r="G391" t="s">
        <v>17</v>
      </c>
      <c r="H391" t="s">
        <v>196</v>
      </c>
      <c r="I391">
        <v>1</v>
      </c>
      <c r="J391" s="8">
        <v>55800</v>
      </c>
      <c r="K391">
        <v>0</v>
      </c>
      <c r="L391" t="s">
        <v>103</v>
      </c>
      <c r="M391" s="5">
        <f>Cleaned_Data[[#This Row],[Quantity]]*Cleaned_Data[[#This Row],[Unit_Price]]</f>
        <v>55800</v>
      </c>
      <c r="N391" s="7">
        <f>Cleaned_Data[[#This Row],[Total_sales]]*(Cleaned_Data[[#This Row],[Discount_Percent]]/100)</f>
        <v>0</v>
      </c>
      <c r="O391" s="7">
        <f>Cleaned_Data[[#This Row],[Total_sales]]-Cleaned_Data[[#This Row],[Discount_Amount]]</f>
        <v>55800</v>
      </c>
      <c r="P391" t="str">
        <f>TEXT(Cleaned_Data[[#This Row],[Order_Date]],"MMM-YYYY")</f>
        <v>Oct-2023</v>
      </c>
      <c r="Q391" t="str">
        <f>"Q"&amp;ROUNDUP(MONTH(Cleaned_Data[[#This Row],[Order_Date]])/3,0)&amp;"-2023"</f>
        <v>Q4-2023</v>
      </c>
      <c r="R391" t="str">
        <f>TEXT(Cleaned_Data[[#This Row],[Order_Date]],"DDD")</f>
        <v>Thu</v>
      </c>
      <c r="S391" t="str">
        <f>IF(Cleaned_Data[[#This Row],[Net_Sales]]&gt;=100000,"High",IF(Cleaned_Data[[#This Row],[Net_Sales]]&gt;=50000,"Medium","Low"))</f>
        <v>Medium</v>
      </c>
    </row>
    <row r="392" spans="1:19" x14ac:dyDescent="0.3">
      <c r="A392" t="s">
        <v>540</v>
      </c>
      <c r="B392" s="1">
        <v>45211</v>
      </c>
      <c r="C392" t="s">
        <v>70</v>
      </c>
      <c r="D392" t="s">
        <v>71</v>
      </c>
      <c r="E392" t="s">
        <v>66</v>
      </c>
      <c r="F392" t="s">
        <v>67</v>
      </c>
      <c r="G392" t="s">
        <v>45</v>
      </c>
      <c r="H392" t="s">
        <v>156</v>
      </c>
      <c r="I392">
        <v>1</v>
      </c>
      <c r="J392" s="8">
        <v>28600</v>
      </c>
      <c r="K392">
        <v>20</v>
      </c>
      <c r="L392" t="s">
        <v>27</v>
      </c>
      <c r="M392" s="5">
        <f>Cleaned_Data[[#This Row],[Quantity]]*Cleaned_Data[[#This Row],[Unit_Price]]</f>
        <v>28600</v>
      </c>
      <c r="N392" s="7">
        <f>Cleaned_Data[[#This Row],[Total_sales]]*(Cleaned_Data[[#This Row],[Discount_Percent]]/100)</f>
        <v>5720</v>
      </c>
      <c r="O392" s="7">
        <f>Cleaned_Data[[#This Row],[Total_sales]]-Cleaned_Data[[#This Row],[Discount_Amount]]</f>
        <v>22880</v>
      </c>
      <c r="P392" t="str">
        <f>TEXT(Cleaned_Data[[#This Row],[Order_Date]],"MMM-YYYY")</f>
        <v>Oct-2023</v>
      </c>
      <c r="Q392" t="str">
        <f>"Q"&amp;ROUNDUP(MONTH(Cleaned_Data[[#This Row],[Order_Date]])/3,0)&amp;"-2023"</f>
        <v>Q4-2023</v>
      </c>
      <c r="R392" t="str">
        <f>TEXT(Cleaned_Data[[#This Row],[Order_Date]],"DDD")</f>
        <v>Thu</v>
      </c>
      <c r="S392" t="str">
        <f>IF(Cleaned_Data[[#This Row],[Net_Sales]]&gt;=100000,"High",IF(Cleaned_Data[[#This Row],[Net_Sales]]&gt;=50000,"Medium","Low"))</f>
        <v>Low</v>
      </c>
    </row>
    <row r="393" spans="1:19" x14ac:dyDescent="0.3">
      <c r="A393" t="s">
        <v>541</v>
      </c>
      <c r="B393" s="1">
        <v>45242</v>
      </c>
      <c r="C393" t="s">
        <v>29</v>
      </c>
      <c r="D393" t="s">
        <v>30</v>
      </c>
      <c r="E393" t="s">
        <v>66</v>
      </c>
      <c r="F393" t="s">
        <v>87</v>
      </c>
      <c r="G393" t="s">
        <v>25</v>
      </c>
      <c r="H393" t="s">
        <v>26</v>
      </c>
      <c r="I393">
        <v>2</v>
      </c>
      <c r="J393" s="8">
        <v>1400</v>
      </c>
      <c r="K393">
        <v>5</v>
      </c>
      <c r="L393" t="s">
        <v>53</v>
      </c>
      <c r="M393" s="5">
        <f>Cleaned_Data[[#This Row],[Quantity]]*Cleaned_Data[[#This Row],[Unit_Price]]</f>
        <v>2800</v>
      </c>
      <c r="N393" s="7">
        <f>Cleaned_Data[[#This Row],[Total_sales]]*(Cleaned_Data[[#This Row],[Discount_Percent]]/100)</f>
        <v>140</v>
      </c>
      <c r="O393" s="7">
        <f>Cleaned_Data[[#This Row],[Total_sales]]-Cleaned_Data[[#This Row],[Discount_Amount]]</f>
        <v>2660</v>
      </c>
      <c r="P393" t="str">
        <f>TEXT(Cleaned_Data[[#This Row],[Order_Date]],"MMM-YYYY")</f>
        <v>Nov-2023</v>
      </c>
      <c r="Q393" t="str">
        <f>"Q"&amp;ROUNDUP(MONTH(Cleaned_Data[[#This Row],[Order_Date]])/3,0)&amp;"-2023"</f>
        <v>Q4-2023</v>
      </c>
      <c r="R393" t="str">
        <f>TEXT(Cleaned_Data[[#This Row],[Order_Date]],"DDD")</f>
        <v>Sun</v>
      </c>
      <c r="S393" t="str">
        <f>IF(Cleaned_Data[[#This Row],[Net_Sales]]&gt;=100000,"High",IF(Cleaned_Data[[#This Row],[Net_Sales]]&gt;=50000,"Medium","Low"))</f>
        <v>Low</v>
      </c>
    </row>
    <row r="394" spans="1:19" x14ac:dyDescent="0.3">
      <c r="A394" t="s">
        <v>542</v>
      </c>
      <c r="B394" s="1">
        <v>45242</v>
      </c>
      <c r="C394" t="s">
        <v>158</v>
      </c>
      <c r="D394" t="s">
        <v>159</v>
      </c>
      <c r="E394" t="s">
        <v>66</v>
      </c>
      <c r="F394" t="s">
        <v>92</v>
      </c>
      <c r="G394" t="s">
        <v>97</v>
      </c>
      <c r="H394" t="s">
        <v>98</v>
      </c>
      <c r="I394">
        <v>1</v>
      </c>
      <c r="J394" s="8">
        <v>64100</v>
      </c>
      <c r="K394">
        <v>5</v>
      </c>
      <c r="L394" t="s">
        <v>73</v>
      </c>
      <c r="M394" s="5">
        <f>Cleaned_Data[[#This Row],[Quantity]]*Cleaned_Data[[#This Row],[Unit_Price]]</f>
        <v>64100</v>
      </c>
      <c r="N394" s="7">
        <f>Cleaned_Data[[#This Row],[Total_sales]]*(Cleaned_Data[[#This Row],[Discount_Percent]]/100)</f>
        <v>3205</v>
      </c>
      <c r="O394" s="7">
        <f>Cleaned_Data[[#This Row],[Total_sales]]-Cleaned_Data[[#This Row],[Discount_Amount]]</f>
        <v>60895</v>
      </c>
      <c r="P394" t="str">
        <f>TEXT(Cleaned_Data[[#This Row],[Order_Date]],"MMM-YYYY")</f>
        <v>Nov-2023</v>
      </c>
      <c r="Q394" t="str">
        <f>"Q"&amp;ROUNDUP(MONTH(Cleaned_Data[[#This Row],[Order_Date]])/3,0)&amp;"-2023"</f>
        <v>Q4-2023</v>
      </c>
      <c r="R394" t="str">
        <f>TEXT(Cleaned_Data[[#This Row],[Order_Date]],"DDD")</f>
        <v>Sun</v>
      </c>
      <c r="S394" t="str">
        <f>IF(Cleaned_Data[[#This Row],[Net_Sales]]&gt;=100000,"High",IF(Cleaned_Data[[#This Row],[Net_Sales]]&gt;=50000,"Medium","Low"))</f>
        <v>Medium</v>
      </c>
    </row>
    <row r="395" spans="1:19" x14ac:dyDescent="0.3">
      <c r="A395" t="s">
        <v>543</v>
      </c>
      <c r="B395" s="1">
        <v>45272</v>
      </c>
      <c r="C395" t="s">
        <v>183</v>
      </c>
      <c r="D395" t="s">
        <v>27</v>
      </c>
      <c r="E395" t="s">
        <v>15</v>
      </c>
      <c r="F395" t="s">
        <v>16</v>
      </c>
      <c r="G395" t="s">
        <v>25</v>
      </c>
      <c r="H395" t="s">
        <v>26</v>
      </c>
      <c r="I395">
        <v>2</v>
      </c>
      <c r="J395" s="8">
        <v>2500</v>
      </c>
      <c r="K395">
        <v>20</v>
      </c>
      <c r="L395" t="s">
        <v>103</v>
      </c>
      <c r="M395" s="5">
        <f>Cleaned_Data[[#This Row],[Quantity]]*Cleaned_Data[[#This Row],[Unit_Price]]</f>
        <v>5000</v>
      </c>
      <c r="N395" s="7">
        <f>Cleaned_Data[[#This Row],[Total_sales]]*(Cleaned_Data[[#This Row],[Discount_Percent]]/100)</f>
        <v>1000</v>
      </c>
      <c r="O395" s="7">
        <f>Cleaned_Data[[#This Row],[Total_sales]]-Cleaned_Data[[#This Row],[Discount_Amount]]</f>
        <v>4000</v>
      </c>
      <c r="P395" t="str">
        <f>TEXT(Cleaned_Data[[#This Row],[Order_Date]],"MMM-YYYY")</f>
        <v>Dec-2023</v>
      </c>
      <c r="Q395" t="str">
        <f>"Q"&amp;ROUNDUP(MONTH(Cleaned_Data[[#This Row],[Order_Date]])/3,0)&amp;"-2023"</f>
        <v>Q4-2023</v>
      </c>
      <c r="R395" t="str">
        <f>TEXT(Cleaned_Data[[#This Row],[Order_Date]],"DDD")</f>
        <v>Tue</v>
      </c>
      <c r="S395" t="str">
        <f>IF(Cleaned_Data[[#This Row],[Net_Sales]]&gt;=100000,"High",IF(Cleaned_Data[[#This Row],[Net_Sales]]&gt;=50000,"Medium","Low"))</f>
        <v>Low</v>
      </c>
    </row>
    <row r="396" spans="1:19" x14ac:dyDescent="0.3">
      <c r="A396" t="s">
        <v>544</v>
      </c>
      <c r="B396" s="1">
        <v>44939</v>
      </c>
      <c r="C396" t="s">
        <v>232</v>
      </c>
      <c r="D396" t="s">
        <v>233</v>
      </c>
      <c r="E396" t="s">
        <v>37</v>
      </c>
      <c r="F396" t="s">
        <v>141</v>
      </c>
      <c r="G396" t="s">
        <v>45</v>
      </c>
      <c r="H396" t="s">
        <v>52</v>
      </c>
      <c r="I396">
        <v>1</v>
      </c>
      <c r="J396" s="8">
        <v>31800</v>
      </c>
      <c r="K396">
        <v>0</v>
      </c>
      <c r="L396" t="s">
        <v>53</v>
      </c>
      <c r="M396" s="5">
        <f>Cleaned_Data[[#This Row],[Quantity]]*Cleaned_Data[[#This Row],[Unit_Price]]</f>
        <v>31800</v>
      </c>
      <c r="N396" s="7">
        <f>Cleaned_Data[[#This Row],[Total_sales]]*(Cleaned_Data[[#This Row],[Discount_Percent]]/100)</f>
        <v>0</v>
      </c>
      <c r="O396" s="7">
        <f>Cleaned_Data[[#This Row],[Total_sales]]-Cleaned_Data[[#This Row],[Discount_Amount]]</f>
        <v>31800</v>
      </c>
      <c r="P396" t="str">
        <f>TEXT(Cleaned_Data[[#This Row],[Order_Date]],"MMM-YYYY")</f>
        <v>Jan-2023</v>
      </c>
      <c r="Q396" t="str">
        <f>"Q"&amp;ROUNDUP(MONTH(Cleaned_Data[[#This Row],[Order_Date]])/3,0)&amp;"-2023"</f>
        <v>Q1-2023</v>
      </c>
      <c r="R396" t="str">
        <f>TEXT(Cleaned_Data[[#This Row],[Order_Date]],"DDD")</f>
        <v>Fri</v>
      </c>
      <c r="S396" t="str">
        <f>IF(Cleaned_Data[[#This Row],[Net_Sales]]&gt;=100000,"High",IF(Cleaned_Data[[#This Row],[Net_Sales]]&gt;=50000,"Medium","Low"))</f>
        <v>Low</v>
      </c>
    </row>
    <row r="397" spans="1:19" x14ac:dyDescent="0.3">
      <c r="A397" t="s">
        <v>545</v>
      </c>
      <c r="B397" s="1">
        <v>44939</v>
      </c>
      <c r="C397" t="s">
        <v>176</v>
      </c>
      <c r="D397" t="s">
        <v>177</v>
      </c>
      <c r="E397" t="s">
        <v>15</v>
      </c>
      <c r="F397" t="s">
        <v>16</v>
      </c>
      <c r="G397" t="s">
        <v>39</v>
      </c>
      <c r="H397" t="s">
        <v>68</v>
      </c>
      <c r="I397">
        <v>1</v>
      </c>
      <c r="J397" s="8">
        <v>24000</v>
      </c>
      <c r="K397">
        <v>15</v>
      </c>
      <c r="L397" t="s">
        <v>47</v>
      </c>
      <c r="M397" s="5">
        <f>Cleaned_Data[[#This Row],[Quantity]]*Cleaned_Data[[#This Row],[Unit_Price]]</f>
        <v>24000</v>
      </c>
      <c r="N397" s="7">
        <f>Cleaned_Data[[#This Row],[Total_sales]]*(Cleaned_Data[[#This Row],[Discount_Percent]]/100)</f>
        <v>3600</v>
      </c>
      <c r="O397" s="7">
        <f>Cleaned_Data[[#This Row],[Total_sales]]-Cleaned_Data[[#This Row],[Discount_Amount]]</f>
        <v>20400</v>
      </c>
      <c r="P397" t="str">
        <f>TEXT(Cleaned_Data[[#This Row],[Order_Date]],"MMM-YYYY")</f>
        <v>Jan-2023</v>
      </c>
      <c r="Q397" t="str">
        <f>"Q"&amp;ROUNDUP(MONTH(Cleaned_Data[[#This Row],[Order_Date]])/3,0)&amp;"-2023"</f>
        <v>Q1-2023</v>
      </c>
      <c r="R397" t="str">
        <f>TEXT(Cleaned_Data[[#This Row],[Order_Date]],"DDD")</f>
        <v>Fri</v>
      </c>
      <c r="S397" t="str">
        <f>IF(Cleaned_Data[[#This Row],[Net_Sales]]&gt;=100000,"High",IF(Cleaned_Data[[#This Row],[Net_Sales]]&gt;=50000,"Medium","Low"))</f>
        <v>Low</v>
      </c>
    </row>
    <row r="398" spans="1:19" x14ac:dyDescent="0.3">
      <c r="A398" t="s">
        <v>546</v>
      </c>
      <c r="B398" s="1">
        <v>44939</v>
      </c>
      <c r="C398" t="s">
        <v>163</v>
      </c>
      <c r="D398" t="s">
        <v>73</v>
      </c>
      <c r="E398" t="s">
        <v>66</v>
      </c>
      <c r="F398" t="s">
        <v>67</v>
      </c>
      <c r="G398" t="s">
        <v>45</v>
      </c>
      <c r="H398" t="s">
        <v>156</v>
      </c>
      <c r="I398">
        <v>1</v>
      </c>
      <c r="J398" s="8">
        <v>32200</v>
      </c>
      <c r="K398">
        <v>0</v>
      </c>
      <c r="L398" t="s">
        <v>62</v>
      </c>
      <c r="M398" s="5">
        <f>Cleaned_Data[[#This Row],[Quantity]]*Cleaned_Data[[#This Row],[Unit_Price]]</f>
        <v>32200</v>
      </c>
      <c r="N398" s="7">
        <f>Cleaned_Data[[#This Row],[Total_sales]]*(Cleaned_Data[[#This Row],[Discount_Percent]]/100)</f>
        <v>0</v>
      </c>
      <c r="O398" s="7">
        <f>Cleaned_Data[[#This Row],[Total_sales]]-Cleaned_Data[[#This Row],[Discount_Amount]]</f>
        <v>32200</v>
      </c>
      <c r="P398" t="str">
        <f>TEXT(Cleaned_Data[[#This Row],[Order_Date]],"MMM-YYYY")</f>
        <v>Jan-2023</v>
      </c>
      <c r="Q398" t="str">
        <f>"Q"&amp;ROUNDUP(MONTH(Cleaned_Data[[#This Row],[Order_Date]])/3,0)&amp;"-2023"</f>
        <v>Q1-2023</v>
      </c>
      <c r="R398" t="str">
        <f>TEXT(Cleaned_Data[[#This Row],[Order_Date]],"DDD")</f>
        <v>Fri</v>
      </c>
      <c r="S398" t="str">
        <f>IF(Cleaned_Data[[#This Row],[Net_Sales]]&gt;=100000,"High",IF(Cleaned_Data[[#This Row],[Net_Sales]]&gt;=50000,"Medium","Low"))</f>
        <v>Low</v>
      </c>
    </row>
    <row r="399" spans="1:19" x14ac:dyDescent="0.3">
      <c r="A399" t="s">
        <v>547</v>
      </c>
      <c r="B399" s="1">
        <v>44970</v>
      </c>
      <c r="C399" t="s">
        <v>203</v>
      </c>
      <c r="D399" t="s">
        <v>204</v>
      </c>
      <c r="E399" t="s">
        <v>37</v>
      </c>
      <c r="F399" t="s">
        <v>141</v>
      </c>
      <c r="G399" t="s">
        <v>25</v>
      </c>
      <c r="H399" t="s">
        <v>108</v>
      </c>
      <c r="I399">
        <v>2</v>
      </c>
      <c r="J399" s="8">
        <v>2000</v>
      </c>
      <c r="K399">
        <v>5</v>
      </c>
      <c r="L399" t="s">
        <v>73</v>
      </c>
      <c r="M399" s="5">
        <f>Cleaned_Data[[#This Row],[Quantity]]*Cleaned_Data[[#This Row],[Unit_Price]]</f>
        <v>4000</v>
      </c>
      <c r="N399" s="7">
        <f>Cleaned_Data[[#This Row],[Total_sales]]*(Cleaned_Data[[#This Row],[Discount_Percent]]/100)</f>
        <v>200</v>
      </c>
      <c r="O399" s="7">
        <f>Cleaned_Data[[#This Row],[Total_sales]]-Cleaned_Data[[#This Row],[Discount_Amount]]</f>
        <v>3800</v>
      </c>
      <c r="P399" t="str">
        <f>TEXT(Cleaned_Data[[#This Row],[Order_Date]],"MMM-YYYY")</f>
        <v>Feb-2023</v>
      </c>
      <c r="Q399" t="str">
        <f>"Q"&amp;ROUNDUP(MONTH(Cleaned_Data[[#This Row],[Order_Date]])/3,0)&amp;"-2023"</f>
        <v>Q1-2023</v>
      </c>
      <c r="R399" t="str">
        <f>TEXT(Cleaned_Data[[#This Row],[Order_Date]],"DDD")</f>
        <v>Mon</v>
      </c>
      <c r="S399" t="str">
        <f>IF(Cleaned_Data[[#This Row],[Net_Sales]]&gt;=100000,"High",IF(Cleaned_Data[[#This Row],[Net_Sales]]&gt;=50000,"Medium","Low"))</f>
        <v>Low</v>
      </c>
    </row>
    <row r="400" spans="1:19" x14ac:dyDescent="0.3">
      <c r="A400" t="s">
        <v>548</v>
      </c>
      <c r="B400" s="1">
        <v>44970</v>
      </c>
      <c r="C400" t="s">
        <v>244</v>
      </c>
      <c r="D400" t="s">
        <v>245</v>
      </c>
      <c r="E400" t="s">
        <v>15</v>
      </c>
      <c r="F400" t="s">
        <v>119</v>
      </c>
      <c r="G400" t="s">
        <v>39</v>
      </c>
      <c r="H400" t="s">
        <v>57</v>
      </c>
      <c r="I400">
        <v>1</v>
      </c>
      <c r="J400" s="8">
        <v>14400</v>
      </c>
      <c r="K400">
        <v>10</v>
      </c>
      <c r="L400" t="s">
        <v>27</v>
      </c>
      <c r="M400" s="5">
        <f>Cleaned_Data[[#This Row],[Quantity]]*Cleaned_Data[[#This Row],[Unit_Price]]</f>
        <v>14400</v>
      </c>
      <c r="N400" s="7">
        <f>Cleaned_Data[[#This Row],[Total_sales]]*(Cleaned_Data[[#This Row],[Discount_Percent]]/100)</f>
        <v>1440</v>
      </c>
      <c r="O400" s="7">
        <f>Cleaned_Data[[#This Row],[Total_sales]]-Cleaned_Data[[#This Row],[Discount_Amount]]</f>
        <v>12960</v>
      </c>
      <c r="P400" t="str">
        <f>TEXT(Cleaned_Data[[#This Row],[Order_Date]],"MMM-YYYY")</f>
        <v>Feb-2023</v>
      </c>
      <c r="Q400" t="str">
        <f>"Q"&amp;ROUNDUP(MONTH(Cleaned_Data[[#This Row],[Order_Date]])/3,0)&amp;"-2023"</f>
        <v>Q1-2023</v>
      </c>
      <c r="R400" t="str">
        <f>TEXT(Cleaned_Data[[#This Row],[Order_Date]],"DDD")</f>
        <v>Mon</v>
      </c>
      <c r="S400" t="str">
        <f>IF(Cleaned_Data[[#This Row],[Net_Sales]]&gt;=100000,"High",IF(Cleaned_Data[[#This Row],[Net_Sales]]&gt;=50000,"Medium","Low"))</f>
        <v>Low</v>
      </c>
    </row>
    <row r="401" spans="1:19" x14ac:dyDescent="0.3">
      <c r="A401" t="s">
        <v>549</v>
      </c>
      <c r="B401" s="1">
        <v>44998</v>
      </c>
      <c r="C401" t="s">
        <v>284</v>
      </c>
      <c r="D401" t="s">
        <v>285</v>
      </c>
      <c r="E401" t="s">
        <v>15</v>
      </c>
      <c r="F401" t="s">
        <v>131</v>
      </c>
      <c r="G401" t="s">
        <v>17</v>
      </c>
      <c r="H401" t="s">
        <v>196</v>
      </c>
      <c r="I401">
        <v>1</v>
      </c>
      <c r="J401" s="8">
        <v>31500</v>
      </c>
      <c r="K401">
        <v>15</v>
      </c>
      <c r="L401" t="s">
        <v>47</v>
      </c>
      <c r="M401" s="5">
        <f>Cleaned_Data[[#This Row],[Quantity]]*Cleaned_Data[[#This Row],[Unit_Price]]</f>
        <v>31500</v>
      </c>
      <c r="N401" s="7">
        <f>Cleaned_Data[[#This Row],[Total_sales]]*(Cleaned_Data[[#This Row],[Discount_Percent]]/100)</f>
        <v>4725</v>
      </c>
      <c r="O401" s="7">
        <f>Cleaned_Data[[#This Row],[Total_sales]]-Cleaned_Data[[#This Row],[Discount_Amount]]</f>
        <v>26775</v>
      </c>
      <c r="P401" t="str">
        <f>TEXT(Cleaned_Data[[#This Row],[Order_Date]],"MMM-YYYY")</f>
        <v>Mar-2023</v>
      </c>
      <c r="Q401" t="str">
        <f>"Q"&amp;ROUNDUP(MONTH(Cleaned_Data[[#This Row],[Order_Date]])/3,0)&amp;"-2023"</f>
        <v>Q1-2023</v>
      </c>
      <c r="R401" t="str">
        <f>TEXT(Cleaned_Data[[#This Row],[Order_Date]],"DDD")</f>
        <v>Mon</v>
      </c>
      <c r="S401" t="str">
        <f>IF(Cleaned_Data[[#This Row],[Net_Sales]]&gt;=100000,"High",IF(Cleaned_Data[[#This Row],[Net_Sales]]&gt;=50000,"Medium","Low"))</f>
        <v>Low</v>
      </c>
    </row>
    <row r="402" spans="1:19" x14ac:dyDescent="0.3">
      <c r="A402" t="s">
        <v>550</v>
      </c>
      <c r="B402" s="1">
        <v>44998</v>
      </c>
      <c r="C402" t="s">
        <v>210</v>
      </c>
      <c r="D402" t="s">
        <v>211</v>
      </c>
      <c r="E402" t="s">
        <v>37</v>
      </c>
      <c r="F402" t="s">
        <v>101</v>
      </c>
      <c r="G402" t="s">
        <v>39</v>
      </c>
      <c r="H402" t="s">
        <v>102</v>
      </c>
      <c r="I402">
        <v>1</v>
      </c>
      <c r="J402" s="8">
        <v>17500</v>
      </c>
      <c r="K402">
        <v>20</v>
      </c>
      <c r="L402" t="s">
        <v>47</v>
      </c>
      <c r="M402" s="5">
        <f>Cleaned_Data[[#This Row],[Quantity]]*Cleaned_Data[[#This Row],[Unit_Price]]</f>
        <v>17500</v>
      </c>
      <c r="N402" s="7">
        <f>Cleaned_Data[[#This Row],[Total_sales]]*(Cleaned_Data[[#This Row],[Discount_Percent]]/100)</f>
        <v>3500</v>
      </c>
      <c r="O402" s="7">
        <f>Cleaned_Data[[#This Row],[Total_sales]]-Cleaned_Data[[#This Row],[Discount_Amount]]</f>
        <v>14000</v>
      </c>
      <c r="P402" t="str">
        <f>TEXT(Cleaned_Data[[#This Row],[Order_Date]],"MMM-YYYY")</f>
        <v>Mar-2023</v>
      </c>
      <c r="Q402" t="str">
        <f>"Q"&amp;ROUNDUP(MONTH(Cleaned_Data[[#This Row],[Order_Date]])/3,0)&amp;"-2023"</f>
        <v>Q1-2023</v>
      </c>
      <c r="R402" t="str">
        <f>TEXT(Cleaned_Data[[#This Row],[Order_Date]],"DDD")</f>
        <v>Mon</v>
      </c>
      <c r="S402" t="str">
        <f>IF(Cleaned_Data[[#This Row],[Net_Sales]]&gt;=100000,"High",IF(Cleaned_Data[[#This Row],[Net_Sales]]&gt;=50000,"Medium","Low"))</f>
        <v>Low</v>
      </c>
    </row>
    <row r="403" spans="1:19" x14ac:dyDescent="0.3">
      <c r="A403" t="s">
        <v>551</v>
      </c>
      <c r="B403" s="1">
        <v>45029</v>
      </c>
      <c r="C403" t="s">
        <v>126</v>
      </c>
      <c r="D403" t="s">
        <v>127</v>
      </c>
      <c r="E403" t="s">
        <v>37</v>
      </c>
      <c r="F403" t="s">
        <v>61</v>
      </c>
      <c r="G403" t="s">
        <v>39</v>
      </c>
      <c r="H403" t="s">
        <v>40</v>
      </c>
      <c r="I403">
        <v>1</v>
      </c>
      <c r="J403" s="8">
        <v>13500</v>
      </c>
      <c r="K403">
        <v>0</v>
      </c>
      <c r="L403" t="s">
        <v>73</v>
      </c>
      <c r="M403" s="5">
        <f>Cleaned_Data[[#This Row],[Quantity]]*Cleaned_Data[[#This Row],[Unit_Price]]</f>
        <v>13500</v>
      </c>
      <c r="N403" s="7">
        <f>Cleaned_Data[[#This Row],[Total_sales]]*(Cleaned_Data[[#This Row],[Discount_Percent]]/100)</f>
        <v>0</v>
      </c>
      <c r="O403" s="7">
        <f>Cleaned_Data[[#This Row],[Total_sales]]-Cleaned_Data[[#This Row],[Discount_Amount]]</f>
        <v>13500</v>
      </c>
      <c r="P403" t="str">
        <f>TEXT(Cleaned_Data[[#This Row],[Order_Date]],"MMM-YYYY")</f>
        <v>Apr-2023</v>
      </c>
      <c r="Q403" t="str">
        <f>"Q"&amp;ROUNDUP(MONTH(Cleaned_Data[[#This Row],[Order_Date]])/3,0)&amp;"-2023"</f>
        <v>Q2-2023</v>
      </c>
      <c r="R403" t="str">
        <f>TEXT(Cleaned_Data[[#This Row],[Order_Date]],"DDD")</f>
        <v>Thu</v>
      </c>
      <c r="S403" t="str">
        <f>IF(Cleaned_Data[[#This Row],[Net_Sales]]&gt;=100000,"High",IF(Cleaned_Data[[#This Row],[Net_Sales]]&gt;=50000,"Medium","Low"))</f>
        <v>Low</v>
      </c>
    </row>
    <row r="404" spans="1:19" x14ac:dyDescent="0.3">
      <c r="A404" t="s">
        <v>552</v>
      </c>
      <c r="B404" s="1">
        <v>45029</v>
      </c>
      <c r="C404" t="s">
        <v>163</v>
      </c>
      <c r="D404" t="s">
        <v>73</v>
      </c>
      <c r="E404" t="s">
        <v>37</v>
      </c>
      <c r="F404" t="s">
        <v>61</v>
      </c>
      <c r="G404" t="s">
        <v>45</v>
      </c>
      <c r="H404" t="s">
        <v>52</v>
      </c>
      <c r="I404">
        <v>1</v>
      </c>
      <c r="J404" s="8">
        <v>35000</v>
      </c>
      <c r="K404">
        <v>15</v>
      </c>
      <c r="L404" t="s">
        <v>47</v>
      </c>
      <c r="M404" s="5">
        <f>Cleaned_Data[[#This Row],[Quantity]]*Cleaned_Data[[#This Row],[Unit_Price]]</f>
        <v>35000</v>
      </c>
      <c r="N404" s="7">
        <f>Cleaned_Data[[#This Row],[Total_sales]]*(Cleaned_Data[[#This Row],[Discount_Percent]]/100)</f>
        <v>5250</v>
      </c>
      <c r="O404" s="7">
        <f>Cleaned_Data[[#This Row],[Total_sales]]-Cleaned_Data[[#This Row],[Discount_Amount]]</f>
        <v>29750</v>
      </c>
      <c r="P404" t="str">
        <f>TEXT(Cleaned_Data[[#This Row],[Order_Date]],"MMM-YYYY")</f>
        <v>Apr-2023</v>
      </c>
      <c r="Q404" t="str">
        <f>"Q"&amp;ROUNDUP(MONTH(Cleaned_Data[[#This Row],[Order_Date]])/3,0)&amp;"-2023"</f>
        <v>Q2-2023</v>
      </c>
      <c r="R404" t="str">
        <f>TEXT(Cleaned_Data[[#This Row],[Order_Date]],"DDD")</f>
        <v>Thu</v>
      </c>
      <c r="S404" t="str">
        <f>IF(Cleaned_Data[[#This Row],[Net_Sales]]&gt;=100000,"High",IF(Cleaned_Data[[#This Row],[Net_Sales]]&gt;=50000,"Medium","Low"))</f>
        <v>Low</v>
      </c>
    </row>
    <row r="405" spans="1:19" x14ac:dyDescent="0.3">
      <c r="A405" t="s">
        <v>553</v>
      </c>
      <c r="B405" s="1">
        <v>45029</v>
      </c>
      <c r="C405" t="s">
        <v>185</v>
      </c>
      <c r="D405" t="s">
        <v>186</v>
      </c>
      <c r="E405" t="s">
        <v>81</v>
      </c>
      <c r="F405" t="s">
        <v>160</v>
      </c>
      <c r="G405" t="s">
        <v>39</v>
      </c>
      <c r="H405" t="s">
        <v>102</v>
      </c>
      <c r="I405">
        <v>1</v>
      </c>
      <c r="J405" s="8">
        <v>24800</v>
      </c>
      <c r="K405">
        <v>0</v>
      </c>
      <c r="L405" t="s">
        <v>33</v>
      </c>
      <c r="M405" s="5">
        <f>Cleaned_Data[[#This Row],[Quantity]]*Cleaned_Data[[#This Row],[Unit_Price]]</f>
        <v>24800</v>
      </c>
      <c r="N405" s="7">
        <f>Cleaned_Data[[#This Row],[Total_sales]]*(Cleaned_Data[[#This Row],[Discount_Percent]]/100)</f>
        <v>0</v>
      </c>
      <c r="O405" s="7">
        <f>Cleaned_Data[[#This Row],[Total_sales]]-Cleaned_Data[[#This Row],[Discount_Amount]]</f>
        <v>24800</v>
      </c>
      <c r="P405" t="str">
        <f>TEXT(Cleaned_Data[[#This Row],[Order_Date]],"MMM-YYYY")</f>
        <v>Apr-2023</v>
      </c>
      <c r="Q405" t="str">
        <f>"Q"&amp;ROUNDUP(MONTH(Cleaned_Data[[#This Row],[Order_Date]])/3,0)&amp;"-2023"</f>
        <v>Q2-2023</v>
      </c>
      <c r="R405" t="str">
        <f>TEXT(Cleaned_Data[[#This Row],[Order_Date]],"DDD")</f>
        <v>Thu</v>
      </c>
      <c r="S405" t="str">
        <f>IF(Cleaned_Data[[#This Row],[Net_Sales]]&gt;=100000,"High",IF(Cleaned_Data[[#This Row],[Net_Sales]]&gt;=50000,"Medium","Low"))</f>
        <v>Low</v>
      </c>
    </row>
    <row r="406" spans="1:19" x14ac:dyDescent="0.3">
      <c r="A406" t="s">
        <v>554</v>
      </c>
      <c r="B406" s="1">
        <v>45059</v>
      </c>
      <c r="C406" t="s">
        <v>232</v>
      </c>
      <c r="D406" t="s">
        <v>233</v>
      </c>
      <c r="E406" t="s">
        <v>37</v>
      </c>
      <c r="F406" t="s">
        <v>61</v>
      </c>
      <c r="G406" t="s">
        <v>39</v>
      </c>
      <c r="H406" t="s">
        <v>68</v>
      </c>
      <c r="I406">
        <v>1</v>
      </c>
      <c r="J406" s="8">
        <v>22900</v>
      </c>
      <c r="K406">
        <v>5</v>
      </c>
      <c r="L406" t="s">
        <v>73</v>
      </c>
      <c r="M406" s="5">
        <f>Cleaned_Data[[#This Row],[Quantity]]*Cleaned_Data[[#This Row],[Unit_Price]]</f>
        <v>22900</v>
      </c>
      <c r="N406" s="7">
        <f>Cleaned_Data[[#This Row],[Total_sales]]*(Cleaned_Data[[#This Row],[Discount_Percent]]/100)</f>
        <v>1145</v>
      </c>
      <c r="O406" s="7">
        <f>Cleaned_Data[[#This Row],[Total_sales]]-Cleaned_Data[[#This Row],[Discount_Amount]]</f>
        <v>21755</v>
      </c>
      <c r="P406" t="str">
        <f>TEXT(Cleaned_Data[[#This Row],[Order_Date]],"MMM-YYYY")</f>
        <v>May-2023</v>
      </c>
      <c r="Q406" t="str">
        <f>"Q"&amp;ROUNDUP(MONTH(Cleaned_Data[[#This Row],[Order_Date]])/3,0)&amp;"-2023"</f>
        <v>Q2-2023</v>
      </c>
      <c r="R406" t="str">
        <f>TEXT(Cleaned_Data[[#This Row],[Order_Date]],"DDD")</f>
        <v>Sat</v>
      </c>
      <c r="S406" t="str">
        <f>IF(Cleaned_Data[[#This Row],[Net_Sales]]&gt;=100000,"High",IF(Cleaned_Data[[#This Row],[Net_Sales]]&gt;=50000,"Medium","Low"))</f>
        <v>Low</v>
      </c>
    </row>
    <row r="407" spans="1:19" x14ac:dyDescent="0.3">
      <c r="A407" t="s">
        <v>555</v>
      </c>
      <c r="B407" s="1">
        <v>45059</v>
      </c>
      <c r="C407" t="s">
        <v>105</v>
      </c>
      <c r="D407" t="s">
        <v>106</v>
      </c>
      <c r="E407" t="s">
        <v>66</v>
      </c>
      <c r="F407" t="s">
        <v>72</v>
      </c>
      <c r="G407" t="s">
        <v>25</v>
      </c>
      <c r="H407" t="s">
        <v>26</v>
      </c>
      <c r="I407">
        <v>2</v>
      </c>
      <c r="J407" s="8">
        <v>2400</v>
      </c>
      <c r="K407">
        <v>25</v>
      </c>
      <c r="L407" t="s">
        <v>33</v>
      </c>
      <c r="M407" s="5">
        <f>Cleaned_Data[[#This Row],[Quantity]]*Cleaned_Data[[#This Row],[Unit_Price]]</f>
        <v>4800</v>
      </c>
      <c r="N407" s="7">
        <f>Cleaned_Data[[#This Row],[Total_sales]]*(Cleaned_Data[[#This Row],[Discount_Percent]]/100)</f>
        <v>1200</v>
      </c>
      <c r="O407" s="7">
        <f>Cleaned_Data[[#This Row],[Total_sales]]-Cleaned_Data[[#This Row],[Discount_Amount]]</f>
        <v>3600</v>
      </c>
      <c r="P407" t="str">
        <f>TEXT(Cleaned_Data[[#This Row],[Order_Date]],"MMM-YYYY")</f>
        <v>May-2023</v>
      </c>
      <c r="Q407" t="str">
        <f>"Q"&amp;ROUNDUP(MONTH(Cleaned_Data[[#This Row],[Order_Date]])/3,0)&amp;"-2023"</f>
        <v>Q2-2023</v>
      </c>
      <c r="R407" t="str">
        <f>TEXT(Cleaned_Data[[#This Row],[Order_Date]],"DDD")</f>
        <v>Sat</v>
      </c>
      <c r="S407" t="str">
        <f>IF(Cleaned_Data[[#This Row],[Net_Sales]]&gt;=100000,"High",IF(Cleaned_Data[[#This Row],[Net_Sales]]&gt;=50000,"Medium","Low"))</f>
        <v>Low</v>
      </c>
    </row>
    <row r="408" spans="1:19" x14ac:dyDescent="0.3">
      <c r="A408" t="s">
        <v>556</v>
      </c>
      <c r="B408" s="1">
        <v>45059</v>
      </c>
      <c r="C408" t="s">
        <v>165</v>
      </c>
      <c r="D408" t="s">
        <v>166</v>
      </c>
      <c r="E408" t="s">
        <v>81</v>
      </c>
      <c r="F408" t="s">
        <v>160</v>
      </c>
      <c r="G408" t="s">
        <v>39</v>
      </c>
      <c r="H408" t="s">
        <v>40</v>
      </c>
      <c r="I408">
        <v>1</v>
      </c>
      <c r="J408" s="8">
        <v>17400</v>
      </c>
      <c r="K408">
        <v>20</v>
      </c>
      <c r="L408" t="s">
        <v>33</v>
      </c>
      <c r="M408" s="5">
        <f>Cleaned_Data[[#This Row],[Quantity]]*Cleaned_Data[[#This Row],[Unit_Price]]</f>
        <v>17400</v>
      </c>
      <c r="N408" s="7">
        <f>Cleaned_Data[[#This Row],[Total_sales]]*(Cleaned_Data[[#This Row],[Discount_Percent]]/100)</f>
        <v>3480</v>
      </c>
      <c r="O408" s="7">
        <f>Cleaned_Data[[#This Row],[Total_sales]]-Cleaned_Data[[#This Row],[Discount_Amount]]</f>
        <v>13920</v>
      </c>
      <c r="P408" t="str">
        <f>TEXT(Cleaned_Data[[#This Row],[Order_Date]],"MMM-YYYY")</f>
        <v>May-2023</v>
      </c>
      <c r="Q408" t="str">
        <f>"Q"&amp;ROUNDUP(MONTH(Cleaned_Data[[#This Row],[Order_Date]])/3,0)&amp;"-2023"</f>
        <v>Q2-2023</v>
      </c>
      <c r="R408" t="str">
        <f>TEXT(Cleaned_Data[[#This Row],[Order_Date]],"DDD")</f>
        <v>Sat</v>
      </c>
      <c r="S408" t="str">
        <f>IF(Cleaned_Data[[#This Row],[Net_Sales]]&gt;=100000,"High",IF(Cleaned_Data[[#This Row],[Net_Sales]]&gt;=50000,"Medium","Low"))</f>
        <v>Low</v>
      </c>
    </row>
    <row r="409" spans="1:19" x14ac:dyDescent="0.3">
      <c r="A409" t="s">
        <v>557</v>
      </c>
      <c r="B409" s="1">
        <v>45059</v>
      </c>
      <c r="C409" t="s">
        <v>59</v>
      </c>
      <c r="D409" t="s">
        <v>60</v>
      </c>
      <c r="E409" t="s">
        <v>23</v>
      </c>
      <c r="F409" t="s">
        <v>44</v>
      </c>
      <c r="G409" t="s">
        <v>17</v>
      </c>
      <c r="H409" t="s">
        <v>196</v>
      </c>
      <c r="I409">
        <v>1</v>
      </c>
      <c r="J409" s="8">
        <v>29700</v>
      </c>
      <c r="K409">
        <v>10</v>
      </c>
      <c r="L409" t="s">
        <v>53</v>
      </c>
      <c r="M409" s="5">
        <f>Cleaned_Data[[#This Row],[Quantity]]*Cleaned_Data[[#This Row],[Unit_Price]]</f>
        <v>29700</v>
      </c>
      <c r="N409" s="7">
        <f>Cleaned_Data[[#This Row],[Total_sales]]*(Cleaned_Data[[#This Row],[Discount_Percent]]/100)</f>
        <v>2970</v>
      </c>
      <c r="O409" s="7">
        <f>Cleaned_Data[[#This Row],[Total_sales]]-Cleaned_Data[[#This Row],[Discount_Amount]]</f>
        <v>26730</v>
      </c>
      <c r="P409" t="str">
        <f>TEXT(Cleaned_Data[[#This Row],[Order_Date]],"MMM-YYYY")</f>
        <v>May-2023</v>
      </c>
      <c r="Q409" t="str">
        <f>"Q"&amp;ROUNDUP(MONTH(Cleaned_Data[[#This Row],[Order_Date]])/3,0)&amp;"-2023"</f>
        <v>Q2-2023</v>
      </c>
      <c r="R409" t="str">
        <f>TEXT(Cleaned_Data[[#This Row],[Order_Date]],"DDD")</f>
        <v>Sat</v>
      </c>
      <c r="S409" t="str">
        <f>IF(Cleaned_Data[[#This Row],[Net_Sales]]&gt;=100000,"High",IF(Cleaned_Data[[#This Row],[Net_Sales]]&gt;=50000,"Medium","Low"))</f>
        <v>Low</v>
      </c>
    </row>
    <row r="410" spans="1:19" x14ac:dyDescent="0.3">
      <c r="A410" t="s">
        <v>558</v>
      </c>
      <c r="B410" s="1">
        <v>45090</v>
      </c>
      <c r="C410" t="s">
        <v>232</v>
      </c>
      <c r="D410" t="s">
        <v>233</v>
      </c>
      <c r="E410" t="s">
        <v>66</v>
      </c>
      <c r="F410" t="s">
        <v>87</v>
      </c>
      <c r="G410" t="s">
        <v>45</v>
      </c>
      <c r="H410" t="s">
        <v>46</v>
      </c>
      <c r="I410">
        <v>2</v>
      </c>
      <c r="J410" s="8">
        <v>33700</v>
      </c>
      <c r="K410">
        <v>0</v>
      </c>
      <c r="L410" t="s">
        <v>53</v>
      </c>
      <c r="M410" s="5">
        <f>Cleaned_Data[[#This Row],[Quantity]]*Cleaned_Data[[#This Row],[Unit_Price]]</f>
        <v>67400</v>
      </c>
      <c r="N410" s="7">
        <f>Cleaned_Data[[#This Row],[Total_sales]]*(Cleaned_Data[[#This Row],[Discount_Percent]]/100)</f>
        <v>0</v>
      </c>
      <c r="O410" s="7">
        <f>Cleaned_Data[[#This Row],[Total_sales]]-Cleaned_Data[[#This Row],[Discount_Amount]]</f>
        <v>67400</v>
      </c>
      <c r="P410" t="str">
        <f>TEXT(Cleaned_Data[[#This Row],[Order_Date]],"MMM-YYYY")</f>
        <v>Jun-2023</v>
      </c>
      <c r="Q410" t="str">
        <f>"Q"&amp;ROUNDUP(MONTH(Cleaned_Data[[#This Row],[Order_Date]])/3,0)&amp;"-2023"</f>
        <v>Q2-2023</v>
      </c>
      <c r="R410" t="str">
        <f>TEXT(Cleaned_Data[[#This Row],[Order_Date]],"DDD")</f>
        <v>Tue</v>
      </c>
      <c r="S410" t="str">
        <f>IF(Cleaned_Data[[#This Row],[Net_Sales]]&gt;=100000,"High",IF(Cleaned_Data[[#This Row],[Net_Sales]]&gt;=50000,"Medium","Low"))</f>
        <v>Medium</v>
      </c>
    </row>
    <row r="411" spans="1:19" x14ac:dyDescent="0.3">
      <c r="A411" t="s">
        <v>559</v>
      </c>
      <c r="B411" s="1">
        <v>45090</v>
      </c>
      <c r="C411" t="s">
        <v>203</v>
      </c>
      <c r="D411" t="s">
        <v>204</v>
      </c>
      <c r="E411" t="s">
        <v>37</v>
      </c>
      <c r="F411" t="s">
        <v>101</v>
      </c>
      <c r="G411" t="s">
        <v>39</v>
      </c>
      <c r="H411" t="s">
        <v>40</v>
      </c>
      <c r="I411">
        <v>1</v>
      </c>
      <c r="J411" s="8">
        <v>20600</v>
      </c>
      <c r="K411">
        <v>5</v>
      </c>
      <c r="L411" t="s">
        <v>47</v>
      </c>
      <c r="M411" s="5">
        <f>Cleaned_Data[[#This Row],[Quantity]]*Cleaned_Data[[#This Row],[Unit_Price]]</f>
        <v>20600</v>
      </c>
      <c r="N411" s="7">
        <f>Cleaned_Data[[#This Row],[Total_sales]]*(Cleaned_Data[[#This Row],[Discount_Percent]]/100)</f>
        <v>1030</v>
      </c>
      <c r="O411" s="7">
        <f>Cleaned_Data[[#This Row],[Total_sales]]-Cleaned_Data[[#This Row],[Discount_Amount]]</f>
        <v>19570</v>
      </c>
      <c r="P411" t="str">
        <f>TEXT(Cleaned_Data[[#This Row],[Order_Date]],"MMM-YYYY")</f>
        <v>Jun-2023</v>
      </c>
      <c r="Q411" t="str">
        <f>"Q"&amp;ROUNDUP(MONTH(Cleaned_Data[[#This Row],[Order_Date]])/3,0)&amp;"-2023"</f>
        <v>Q2-2023</v>
      </c>
      <c r="R411" t="str">
        <f>TEXT(Cleaned_Data[[#This Row],[Order_Date]],"DDD")</f>
        <v>Tue</v>
      </c>
      <c r="S411" t="str">
        <f>IF(Cleaned_Data[[#This Row],[Net_Sales]]&gt;=100000,"High",IF(Cleaned_Data[[#This Row],[Net_Sales]]&gt;=50000,"Medium","Low"))</f>
        <v>Low</v>
      </c>
    </row>
    <row r="412" spans="1:19" x14ac:dyDescent="0.3">
      <c r="A412" t="s">
        <v>560</v>
      </c>
      <c r="B412" s="1">
        <v>45120</v>
      </c>
      <c r="C412" t="s">
        <v>130</v>
      </c>
      <c r="D412" t="s">
        <v>53</v>
      </c>
      <c r="E412" t="s">
        <v>15</v>
      </c>
      <c r="F412" t="s">
        <v>119</v>
      </c>
      <c r="G412" t="s">
        <v>97</v>
      </c>
      <c r="H412" t="s">
        <v>174</v>
      </c>
      <c r="I412">
        <v>1</v>
      </c>
      <c r="J412" s="8">
        <v>74700</v>
      </c>
      <c r="K412">
        <v>0</v>
      </c>
      <c r="L412" t="s">
        <v>73</v>
      </c>
      <c r="M412" s="5">
        <f>Cleaned_Data[[#This Row],[Quantity]]*Cleaned_Data[[#This Row],[Unit_Price]]</f>
        <v>74700</v>
      </c>
      <c r="N412" s="7">
        <f>Cleaned_Data[[#This Row],[Total_sales]]*(Cleaned_Data[[#This Row],[Discount_Percent]]/100)</f>
        <v>0</v>
      </c>
      <c r="O412" s="7">
        <f>Cleaned_Data[[#This Row],[Total_sales]]-Cleaned_Data[[#This Row],[Discount_Amount]]</f>
        <v>74700</v>
      </c>
      <c r="P412" t="str">
        <f>TEXT(Cleaned_Data[[#This Row],[Order_Date]],"MMM-YYYY")</f>
        <v>Jul-2023</v>
      </c>
      <c r="Q412" t="str">
        <f>"Q"&amp;ROUNDUP(MONTH(Cleaned_Data[[#This Row],[Order_Date]])/3,0)&amp;"-2023"</f>
        <v>Q3-2023</v>
      </c>
      <c r="R412" t="str">
        <f>TEXT(Cleaned_Data[[#This Row],[Order_Date]],"DDD")</f>
        <v>Thu</v>
      </c>
      <c r="S412" t="str">
        <f>IF(Cleaned_Data[[#This Row],[Net_Sales]]&gt;=100000,"High",IF(Cleaned_Data[[#This Row],[Net_Sales]]&gt;=50000,"Medium","Low"))</f>
        <v>Medium</v>
      </c>
    </row>
    <row r="413" spans="1:19" x14ac:dyDescent="0.3">
      <c r="A413" t="s">
        <v>561</v>
      </c>
      <c r="B413" s="1">
        <v>45120</v>
      </c>
      <c r="C413" t="s">
        <v>185</v>
      </c>
      <c r="D413" t="s">
        <v>186</v>
      </c>
      <c r="E413" t="s">
        <v>23</v>
      </c>
      <c r="F413" t="s">
        <v>44</v>
      </c>
      <c r="G413" t="s">
        <v>45</v>
      </c>
      <c r="H413" t="s">
        <v>52</v>
      </c>
      <c r="I413">
        <v>1</v>
      </c>
      <c r="J413" s="8">
        <v>38600</v>
      </c>
      <c r="K413">
        <v>0</v>
      </c>
      <c r="L413" t="s">
        <v>47</v>
      </c>
      <c r="M413" s="5">
        <f>Cleaned_Data[[#This Row],[Quantity]]*Cleaned_Data[[#This Row],[Unit_Price]]</f>
        <v>38600</v>
      </c>
      <c r="N413" s="7">
        <f>Cleaned_Data[[#This Row],[Total_sales]]*(Cleaned_Data[[#This Row],[Discount_Percent]]/100)</f>
        <v>0</v>
      </c>
      <c r="O413" s="7">
        <f>Cleaned_Data[[#This Row],[Total_sales]]-Cleaned_Data[[#This Row],[Discount_Amount]]</f>
        <v>38600</v>
      </c>
      <c r="P413" t="str">
        <f>TEXT(Cleaned_Data[[#This Row],[Order_Date]],"MMM-YYYY")</f>
        <v>Jul-2023</v>
      </c>
      <c r="Q413" t="str">
        <f>"Q"&amp;ROUNDUP(MONTH(Cleaned_Data[[#This Row],[Order_Date]])/3,0)&amp;"-2023"</f>
        <v>Q3-2023</v>
      </c>
      <c r="R413" t="str">
        <f>TEXT(Cleaned_Data[[#This Row],[Order_Date]],"DDD")</f>
        <v>Thu</v>
      </c>
      <c r="S413" t="str">
        <f>IF(Cleaned_Data[[#This Row],[Net_Sales]]&gt;=100000,"High",IF(Cleaned_Data[[#This Row],[Net_Sales]]&gt;=50000,"Medium","Low"))</f>
        <v>Low</v>
      </c>
    </row>
    <row r="414" spans="1:19" x14ac:dyDescent="0.3">
      <c r="A414" t="s">
        <v>562</v>
      </c>
      <c r="B414" s="1">
        <v>45151</v>
      </c>
      <c r="C414" t="s">
        <v>79</v>
      </c>
      <c r="D414" t="s">
        <v>80</v>
      </c>
      <c r="E414" t="s">
        <v>15</v>
      </c>
      <c r="F414" t="s">
        <v>131</v>
      </c>
      <c r="G414" t="s">
        <v>97</v>
      </c>
      <c r="H414" t="s">
        <v>171</v>
      </c>
      <c r="I414">
        <v>1</v>
      </c>
      <c r="J414" s="8">
        <v>59200</v>
      </c>
      <c r="K414">
        <v>10</v>
      </c>
      <c r="L414" t="s">
        <v>19</v>
      </c>
      <c r="M414" s="5">
        <f>Cleaned_Data[[#This Row],[Quantity]]*Cleaned_Data[[#This Row],[Unit_Price]]</f>
        <v>59200</v>
      </c>
      <c r="N414" s="7">
        <f>Cleaned_Data[[#This Row],[Total_sales]]*(Cleaned_Data[[#This Row],[Discount_Percent]]/100)</f>
        <v>5920</v>
      </c>
      <c r="O414" s="7">
        <f>Cleaned_Data[[#This Row],[Total_sales]]-Cleaned_Data[[#This Row],[Discount_Amount]]</f>
        <v>53280</v>
      </c>
      <c r="P414" t="str">
        <f>TEXT(Cleaned_Data[[#This Row],[Order_Date]],"MMM-YYYY")</f>
        <v>Aug-2023</v>
      </c>
      <c r="Q414" t="str">
        <f>"Q"&amp;ROUNDUP(MONTH(Cleaned_Data[[#This Row],[Order_Date]])/3,0)&amp;"-2023"</f>
        <v>Q3-2023</v>
      </c>
      <c r="R414" t="str">
        <f>TEXT(Cleaned_Data[[#This Row],[Order_Date]],"DDD")</f>
        <v>Sun</v>
      </c>
      <c r="S414" t="str">
        <f>IF(Cleaned_Data[[#This Row],[Net_Sales]]&gt;=100000,"High",IF(Cleaned_Data[[#This Row],[Net_Sales]]&gt;=50000,"Medium","Low"))</f>
        <v>Medium</v>
      </c>
    </row>
    <row r="415" spans="1:19" x14ac:dyDescent="0.3">
      <c r="A415" t="s">
        <v>563</v>
      </c>
      <c r="B415" s="1">
        <v>45151</v>
      </c>
      <c r="C415" t="s">
        <v>284</v>
      </c>
      <c r="D415" t="s">
        <v>285</v>
      </c>
      <c r="E415" t="s">
        <v>66</v>
      </c>
      <c r="F415" t="s">
        <v>72</v>
      </c>
      <c r="G415" t="s">
        <v>97</v>
      </c>
      <c r="H415" t="s">
        <v>133</v>
      </c>
      <c r="I415">
        <v>2</v>
      </c>
      <c r="J415" s="8">
        <v>55900</v>
      </c>
      <c r="K415">
        <v>0</v>
      </c>
      <c r="L415" t="s">
        <v>33</v>
      </c>
      <c r="M415" s="5">
        <f>Cleaned_Data[[#This Row],[Quantity]]*Cleaned_Data[[#This Row],[Unit_Price]]</f>
        <v>111800</v>
      </c>
      <c r="N415" s="7">
        <f>Cleaned_Data[[#This Row],[Total_sales]]*(Cleaned_Data[[#This Row],[Discount_Percent]]/100)</f>
        <v>0</v>
      </c>
      <c r="O415" s="7">
        <f>Cleaned_Data[[#This Row],[Total_sales]]-Cleaned_Data[[#This Row],[Discount_Amount]]</f>
        <v>111800</v>
      </c>
      <c r="P415" t="str">
        <f>TEXT(Cleaned_Data[[#This Row],[Order_Date]],"MMM-YYYY")</f>
        <v>Aug-2023</v>
      </c>
      <c r="Q415" t="str">
        <f>"Q"&amp;ROUNDUP(MONTH(Cleaned_Data[[#This Row],[Order_Date]])/3,0)&amp;"-2023"</f>
        <v>Q3-2023</v>
      </c>
      <c r="R415" t="str">
        <f>TEXT(Cleaned_Data[[#This Row],[Order_Date]],"DDD")</f>
        <v>Sun</v>
      </c>
      <c r="S415" t="str">
        <f>IF(Cleaned_Data[[#This Row],[Net_Sales]]&gt;=100000,"High",IF(Cleaned_Data[[#This Row],[Net_Sales]]&gt;=50000,"Medium","Low"))</f>
        <v>High</v>
      </c>
    </row>
    <row r="416" spans="1:19" x14ac:dyDescent="0.3">
      <c r="A416" t="s">
        <v>564</v>
      </c>
      <c r="B416" s="1">
        <v>45151</v>
      </c>
      <c r="C416" t="s">
        <v>21</v>
      </c>
      <c r="D416" t="s">
        <v>22</v>
      </c>
      <c r="E416" t="s">
        <v>23</v>
      </c>
      <c r="F416" t="s">
        <v>51</v>
      </c>
      <c r="G416" t="s">
        <v>17</v>
      </c>
      <c r="H416" t="s">
        <v>18</v>
      </c>
      <c r="I416">
        <v>1</v>
      </c>
      <c r="J416" s="8">
        <v>41400</v>
      </c>
      <c r="K416">
        <v>10</v>
      </c>
      <c r="L416" t="s">
        <v>27</v>
      </c>
      <c r="M416" s="5">
        <f>Cleaned_Data[[#This Row],[Quantity]]*Cleaned_Data[[#This Row],[Unit_Price]]</f>
        <v>41400</v>
      </c>
      <c r="N416" s="7">
        <f>Cleaned_Data[[#This Row],[Total_sales]]*(Cleaned_Data[[#This Row],[Discount_Percent]]/100)</f>
        <v>4140</v>
      </c>
      <c r="O416" s="7">
        <f>Cleaned_Data[[#This Row],[Total_sales]]-Cleaned_Data[[#This Row],[Discount_Amount]]</f>
        <v>37260</v>
      </c>
      <c r="P416" t="str">
        <f>TEXT(Cleaned_Data[[#This Row],[Order_Date]],"MMM-YYYY")</f>
        <v>Aug-2023</v>
      </c>
      <c r="Q416" t="str">
        <f>"Q"&amp;ROUNDUP(MONTH(Cleaned_Data[[#This Row],[Order_Date]])/3,0)&amp;"-2023"</f>
        <v>Q3-2023</v>
      </c>
      <c r="R416" t="str">
        <f>TEXT(Cleaned_Data[[#This Row],[Order_Date]],"DDD")</f>
        <v>Sun</v>
      </c>
      <c r="S416" t="str">
        <f>IF(Cleaned_Data[[#This Row],[Net_Sales]]&gt;=100000,"High",IF(Cleaned_Data[[#This Row],[Net_Sales]]&gt;=50000,"Medium","Low"))</f>
        <v>Low</v>
      </c>
    </row>
    <row r="417" spans="1:19" x14ac:dyDescent="0.3">
      <c r="A417" t="s">
        <v>565</v>
      </c>
      <c r="B417" s="1">
        <v>45182</v>
      </c>
      <c r="C417" t="s">
        <v>70</v>
      </c>
      <c r="D417" t="s">
        <v>71</v>
      </c>
      <c r="E417" t="s">
        <v>15</v>
      </c>
      <c r="F417" t="s">
        <v>131</v>
      </c>
      <c r="G417" t="s">
        <v>39</v>
      </c>
      <c r="H417" t="s">
        <v>102</v>
      </c>
      <c r="I417">
        <v>1</v>
      </c>
      <c r="J417" s="8">
        <v>19000</v>
      </c>
      <c r="K417">
        <v>10</v>
      </c>
      <c r="L417" t="s">
        <v>62</v>
      </c>
      <c r="M417" s="5">
        <f>Cleaned_Data[[#This Row],[Quantity]]*Cleaned_Data[[#This Row],[Unit_Price]]</f>
        <v>19000</v>
      </c>
      <c r="N417" s="7">
        <f>Cleaned_Data[[#This Row],[Total_sales]]*(Cleaned_Data[[#This Row],[Discount_Percent]]/100)</f>
        <v>1900</v>
      </c>
      <c r="O417" s="7">
        <f>Cleaned_Data[[#This Row],[Total_sales]]-Cleaned_Data[[#This Row],[Discount_Amount]]</f>
        <v>17100</v>
      </c>
      <c r="P417" t="str">
        <f>TEXT(Cleaned_Data[[#This Row],[Order_Date]],"MMM-YYYY")</f>
        <v>Sep-2023</v>
      </c>
      <c r="Q417" t="str">
        <f>"Q"&amp;ROUNDUP(MONTH(Cleaned_Data[[#This Row],[Order_Date]])/3,0)&amp;"-2023"</f>
        <v>Q3-2023</v>
      </c>
      <c r="R417" t="str">
        <f>TEXT(Cleaned_Data[[#This Row],[Order_Date]],"DDD")</f>
        <v>Wed</v>
      </c>
      <c r="S417" t="str">
        <f>IF(Cleaned_Data[[#This Row],[Net_Sales]]&gt;=100000,"High",IF(Cleaned_Data[[#This Row],[Net_Sales]]&gt;=50000,"Medium","Low"))</f>
        <v>Low</v>
      </c>
    </row>
    <row r="418" spans="1:19" x14ac:dyDescent="0.3">
      <c r="A418" t="s">
        <v>566</v>
      </c>
      <c r="B418" s="1">
        <v>45182</v>
      </c>
      <c r="C418" t="s">
        <v>55</v>
      </c>
      <c r="D418" t="s">
        <v>56</v>
      </c>
      <c r="E418" t="s">
        <v>15</v>
      </c>
      <c r="F418" t="s">
        <v>16</v>
      </c>
      <c r="G418" t="s">
        <v>45</v>
      </c>
      <c r="H418" t="s">
        <v>156</v>
      </c>
      <c r="I418">
        <v>1</v>
      </c>
      <c r="J418" s="8">
        <v>26600</v>
      </c>
      <c r="K418">
        <v>15</v>
      </c>
      <c r="L418" t="s">
        <v>62</v>
      </c>
      <c r="M418" s="5">
        <f>Cleaned_Data[[#This Row],[Quantity]]*Cleaned_Data[[#This Row],[Unit_Price]]</f>
        <v>26600</v>
      </c>
      <c r="N418" s="7">
        <f>Cleaned_Data[[#This Row],[Total_sales]]*(Cleaned_Data[[#This Row],[Discount_Percent]]/100)</f>
        <v>3990</v>
      </c>
      <c r="O418" s="7">
        <f>Cleaned_Data[[#This Row],[Total_sales]]-Cleaned_Data[[#This Row],[Discount_Amount]]</f>
        <v>22610</v>
      </c>
      <c r="P418" t="str">
        <f>TEXT(Cleaned_Data[[#This Row],[Order_Date]],"MMM-YYYY")</f>
        <v>Sep-2023</v>
      </c>
      <c r="Q418" t="str">
        <f>"Q"&amp;ROUNDUP(MONTH(Cleaned_Data[[#This Row],[Order_Date]])/3,0)&amp;"-2023"</f>
        <v>Q3-2023</v>
      </c>
      <c r="R418" t="str">
        <f>TEXT(Cleaned_Data[[#This Row],[Order_Date]],"DDD")</f>
        <v>Wed</v>
      </c>
      <c r="S418" t="str">
        <f>IF(Cleaned_Data[[#This Row],[Net_Sales]]&gt;=100000,"High",IF(Cleaned_Data[[#This Row],[Net_Sales]]&gt;=50000,"Medium","Low"))</f>
        <v>Low</v>
      </c>
    </row>
    <row r="419" spans="1:19" x14ac:dyDescent="0.3">
      <c r="A419" t="s">
        <v>567</v>
      </c>
      <c r="B419" s="1">
        <v>45212</v>
      </c>
      <c r="C419" t="s">
        <v>49</v>
      </c>
      <c r="D419" t="s">
        <v>50</v>
      </c>
      <c r="E419" t="s">
        <v>15</v>
      </c>
      <c r="F419" t="s">
        <v>128</v>
      </c>
      <c r="G419" t="s">
        <v>25</v>
      </c>
      <c r="H419" t="s">
        <v>32</v>
      </c>
      <c r="I419">
        <v>3</v>
      </c>
      <c r="J419" s="8">
        <v>1400</v>
      </c>
      <c r="K419">
        <v>5</v>
      </c>
      <c r="L419" t="s">
        <v>53</v>
      </c>
      <c r="M419" s="5">
        <f>Cleaned_Data[[#This Row],[Quantity]]*Cleaned_Data[[#This Row],[Unit_Price]]</f>
        <v>4200</v>
      </c>
      <c r="N419" s="7">
        <f>Cleaned_Data[[#This Row],[Total_sales]]*(Cleaned_Data[[#This Row],[Discount_Percent]]/100)</f>
        <v>210</v>
      </c>
      <c r="O419" s="7">
        <f>Cleaned_Data[[#This Row],[Total_sales]]-Cleaned_Data[[#This Row],[Discount_Amount]]</f>
        <v>3990</v>
      </c>
      <c r="P419" t="str">
        <f>TEXT(Cleaned_Data[[#This Row],[Order_Date]],"MMM-YYYY")</f>
        <v>Oct-2023</v>
      </c>
      <c r="Q419" t="str">
        <f>"Q"&amp;ROUNDUP(MONTH(Cleaned_Data[[#This Row],[Order_Date]])/3,0)&amp;"-2023"</f>
        <v>Q4-2023</v>
      </c>
      <c r="R419" t="str">
        <f>TEXT(Cleaned_Data[[#This Row],[Order_Date]],"DDD")</f>
        <v>Fri</v>
      </c>
      <c r="S419" t="str">
        <f>IF(Cleaned_Data[[#This Row],[Net_Sales]]&gt;=100000,"High",IF(Cleaned_Data[[#This Row],[Net_Sales]]&gt;=50000,"Medium","Low"))</f>
        <v>Low</v>
      </c>
    </row>
    <row r="420" spans="1:19" x14ac:dyDescent="0.3">
      <c r="A420" t="s">
        <v>568</v>
      </c>
      <c r="B420" s="1">
        <v>45212</v>
      </c>
      <c r="C420" t="s">
        <v>55</v>
      </c>
      <c r="D420" t="s">
        <v>56</v>
      </c>
      <c r="E420" t="s">
        <v>15</v>
      </c>
      <c r="F420" t="s">
        <v>119</v>
      </c>
      <c r="G420" t="s">
        <v>97</v>
      </c>
      <c r="H420" t="s">
        <v>154</v>
      </c>
      <c r="I420">
        <v>1</v>
      </c>
      <c r="J420" s="8">
        <v>57500</v>
      </c>
      <c r="K420">
        <v>10</v>
      </c>
      <c r="L420" t="s">
        <v>27</v>
      </c>
      <c r="M420" s="5">
        <f>Cleaned_Data[[#This Row],[Quantity]]*Cleaned_Data[[#This Row],[Unit_Price]]</f>
        <v>57500</v>
      </c>
      <c r="N420" s="7">
        <f>Cleaned_Data[[#This Row],[Total_sales]]*(Cleaned_Data[[#This Row],[Discount_Percent]]/100)</f>
        <v>5750</v>
      </c>
      <c r="O420" s="7">
        <f>Cleaned_Data[[#This Row],[Total_sales]]-Cleaned_Data[[#This Row],[Discount_Amount]]</f>
        <v>51750</v>
      </c>
      <c r="P420" t="str">
        <f>TEXT(Cleaned_Data[[#This Row],[Order_Date]],"MMM-YYYY")</f>
        <v>Oct-2023</v>
      </c>
      <c r="Q420" t="str">
        <f>"Q"&amp;ROUNDUP(MONTH(Cleaned_Data[[#This Row],[Order_Date]])/3,0)&amp;"-2023"</f>
        <v>Q4-2023</v>
      </c>
      <c r="R420" t="str">
        <f>TEXT(Cleaned_Data[[#This Row],[Order_Date]],"DDD")</f>
        <v>Fri</v>
      </c>
      <c r="S420" t="str">
        <f>IF(Cleaned_Data[[#This Row],[Net_Sales]]&gt;=100000,"High",IF(Cleaned_Data[[#This Row],[Net_Sales]]&gt;=50000,"Medium","Low"))</f>
        <v>Medium</v>
      </c>
    </row>
    <row r="421" spans="1:19" x14ac:dyDescent="0.3">
      <c r="A421" t="s">
        <v>569</v>
      </c>
      <c r="B421" s="1">
        <v>45212</v>
      </c>
      <c r="C421" t="s">
        <v>284</v>
      </c>
      <c r="D421" t="s">
        <v>285</v>
      </c>
      <c r="E421" t="s">
        <v>81</v>
      </c>
      <c r="F421" t="s">
        <v>82</v>
      </c>
      <c r="G421" t="s">
        <v>25</v>
      </c>
      <c r="H421" t="s">
        <v>26</v>
      </c>
      <c r="I421">
        <v>2</v>
      </c>
      <c r="J421" s="8">
        <v>2000</v>
      </c>
      <c r="K421">
        <v>5</v>
      </c>
      <c r="L421" t="s">
        <v>19</v>
      </c>
      <c r="M421" s="5">
        <f>Cleaned_Data[[#This Row],[Quantity]]*Cleaned_Data[[#This Row],[Unit_Price]]</f>
        <v>4000</v>
      </c>
      <c r="N421" s="7">
        <f>Cleaned_Data[[#This Row],[Total_sales]]*(Cleaned_Data[[#This Row],[Discount_Percent]]/100)</f>
        <v>200</v>
      </c>
      <c r="O421" s="7">
        <f>Cleaned_Data[[#This Row],[Total_sales]]-Cleaned_Data[[#This Row],[Discount_Amount]]</f>
        <v>3800</v>
      </c>
      <c r="P421" t="str">
        <f>TEXT(Cleaned_Data[[#This Row],[Order_Date]],"MMM-YYYY")</f>
        <v>Oct-2023</v>
      </c>
      <c r="Q421" t="str">
        <f>"Q"&amp;ROUNDUP(MONTH(Cleaned_Data[[#This Row],[Order_Date]])/3,0)&amp;"-2023"</f>
        <v>Q4-2023</v>
      </c>
      <c r="R421" t="str">
        <f>TEXT(Cleaned_Data[[#This Row],[Order_Date]],"DDD")</f>
        <v>Fri</v>
      </c>
      <c r="S421" t="str">
        <f>IF(Cleaned_Data[[#This Row],[Net_Sales]]&gt;=100000,"High",IF(Cleaned_Data[[#This Row],[Net_Sales]]&gt;=50000,"Medium","Low"))</f>
        <v>Low</v>
      </c>
    </row>
    <row r="422" spans="1:19" x14ac:dyDescent="0.3">
      <c r="A422" t="s">
        <v>570</v>
      </c>
      <c r="B422" s="1">
        <v>45212</v>
      </c>
      <c r="C422" t="s">
        <v>79</v>
      </c>
      <c r="D422" t="s">
        <v>80</v>
      </c>
      <c r="E422" t="s">
        <v>81</v>
      </c>
      <c r="F422" t="s">
        <v>117</v>
      </c>
      <c r="G422" t="s">
        <v>17</v>
      </c>
      <c r="H422" t="s">
        <v>18</v>
      </c>
      <c r="I422">
        <v>1</v>
      </c>
      <c r="J422" s="8">
        <v>21900</v>
      </c>
      <c r="K422">
        <v>20</v>
      </c>
      <c r="L422" t="s">
        <v>103</v>
      </c>
      <c r="M422" s="5">
        <f>Cleaned_Data[[#This Row],[Quantity]]*Cleaned_Data[[#This Row],[Unit_Price]]</f>
        <v>21900</v>
      </c>
      <c r="N422" s="7">
        <f>Cleaned_Data[[#This Row],[Total_sales]]*(Cleaned_Data[[#This Row],[Discount_Percent]]/100)</f>
        <v>4380</v>
      </c>
      <c r="O422" s="7">
        <f>Cleaned_Data[[#This Row],[Total_sales]]-Cleaned_Data[[#This Row],[Discount_Amount]]</f>
        <v>17520</v>
      </c>
      <c r="P422" t="str">
        <f>TEXT(Cleaned_Data[[#This Row],[Order_Date]],"MMM-YYYY")</f>
        <v>Oct-2023</v>
      </c>
      <c r="Q422" t="str">
        <f>"Q"&amp;ROUNDUP(MONTH(Cleaned_Data[[#This Row],[Order_Date]])/3,0)&amp;"-2023"</f>
        <v>Q4-2023</v>
      </c>
      <c r="R422" t="str">
        <f>TEXT(Cleaned_Data[[#This Row],[Order_Date]],"DDD")</f>
        <v>Fri</v>
      </c>
      <c r="S422" t="str">
        <f>IF(Cleaned_Data[[#This Row],[Net_Sales]]&gt;=100000,"High",IF(Cleaned_Data[[#This Row],[Net_Sales]]&gt;=50000,"Medium","Low"))</f>
        <v>Low</v>
      </c>
    </row>
    <row r="423" spans="1:19" x14ac:dyDescent="0.3">
      <c r="A423" t="s">
        <v>571</v>
      </c>
      <c r="B423" s="1">
        <v>45212</v>
      </c>
      <c r="C423" t="s">
        <v>151</v>
      </c>
      <c r="D423" t="s">
        <v>152</v>
      </c>
      <c r="E423" t="s">
        <v>23</v>
      </c>
      <c r="F423" t="s">
        <v>24</v>
      </c>
      <c r="G423" t="s">
        <v>45</v>
      </c>
      <c r="H423" t="s">
        <v>46</v>
      </c>
      <c r="I423">
        <v>1</v>
      </c>
      <c r="J423" s="8">
        <v>32900</v>
      </c>
      <c r="K423">
        <v>15</v>
      </c>
      <c r="L423" t="s">
        <v>103</v>
      </c>
      <c r="M423" s="5">
        <f>Cleaned_Data[[#This Row],[Quantity]]*Cleaned_Data[[#This Row],[Unit_Price]]</f>
        <v>32900</v>
      </c>
      <c r="N423" s="7">
        <f>Cleaned_Data[[#This Row],[Total_sales]]*(Cleaned_Data[[#This Row],[Discount_Percent]]/100)</f>
        <v>4935</v>
      </c>
      <c r="O423" s="7">
        <f>Cleaned_Data[[#This Row],[Total_sales]]-Cleaned_Data[[#This Row],[Discount_Amount]]</f>
        <v>27965</v>
      </c>
      <c r="P423" t="str">
        <f>TEXT(Cleaned_Data[[#This Row],[Order_Date]],"MMM-YYYY")</f>
        <v>Oct-2023</v>
      </c>
      <c r="Q423" t="str">
        <f>"Q"&amp;ROUNDUP(MONTH(Cleaned_Data[[#This Row],[Order_Date]])/3,0)&amp;"-2023"</f>
        <v>Q4-2023</v>
      </c>
      <c r="R423" t="str">
        <f>TEXT(Cleaned_Data[[#This Row],[Order_Date]],"DDD")</f>
        <v>Fri</v>
      </c>
      <c r="S423" t="str">
        <f>IF(Cleaned_Data[[#This Row],[Net_Sales]]&gt;=100000,"High",IF(Cleaned_Data[[#This Row],[Net_Sales]]&gt;=50000,"Medium","Low"))</f>
        <v>Low</v>
      </c>
    </row>
    <row r="424" spans="1:19" x14ac:dyDescent="0.3">
      <c r="A424" t="s">
        <v>572</v>
      </c>
      <c r="B424" s="1">
        <v>45243</v>
      </c>
      <c r="C424" t="s">
        <v>284</v>
      </c>
      <c r="D424" t="s">
        <v>285</v>
      </c>
      <c r="E424" t="s">
        <v>15</v>
      </c>
      <c r="F424" t="s">
        <v>119</v>
      </c>
      <c r="G424" t="s">
        <v>25</v>
      </c>
      <c r="H424" t="s">
        <v>26</v>
      </c>
      <c r="I424">
        <v>2</v>
      </c>
      <c r="J424" s="8">
        <v>2000</v>
      </c>
      <c r="K424">
        <v>0</v>
      </c>
      <c r="L424" t="s">
        <v>27</v>
      </c>
      <c r="M424" s="5">
        <f>Cleaned_Data[[#This Row],[Quantity]]*Cleaned_Data[[#This Row],[Unit_Price]]</f>
        <v>4000</v>
      </c>
      <c r="N424" s="7">
        <f>Cleaned_Data[[#This Row],[Total_sales]]*(Cleaned_Data[[#This Row],[Discount_Percent]]/100)</f>
        <v>0</v>
      </c>
      <c r="O424" s="7">
        <f>Cleaned_Data[[#This Row],[Total_sales]]-Cleaned_Data[[#This Row],[Discount_Amount]]</f>
        <v>4000</v>
      </c>
      <c r="P424" t="str">
        <f>TEXT(Cleaned_Data[[#This Row],[Order_Date]],"MMM-YYYY")</f>
        <v>Nov-2023</v>
      </c>
      <c r="Q424" t="str">
        <f>"Q"&amp;ROUNDUP(MONTH(Cleaned_Data[[#This Row],[Order_Date]])/3,0)&amp;"-2023"</f>
        <v>Q4-2023</v>
      </c>
      <c r="R424" t="str">
        <f>TEXT(Cleaned_Data[[#This Row],[Order_Date]],"DDD")</f>
        <v>Mon</v>
      </c>
      <c r="S424" t="str">
        <f>IF(Cleaned_Data[[#This Row],[Net_Sales]]&gt;=100000,"High",IF(Cleaned_Data[[#This Row],[Net_Sales]]&gt;=50000,"Medium","Low"))</f>
        <v>Low</v>
      </c>
    </row>
    <row r="425" spans="1:19" x14ac:dyDescent="0.3">
      <c r="A425" t="s">
        <v>573</v>
      </c>
      <c r="B425" s="1">
        <v>45243</v>
      </c>
      <c r="C425" t="s">
        <v>180</v>
      </c>
      <c r="D425" t="s">
        <v>181</v>
      </c>
      <c r="E425" t="s">
        <v>23</v>
      </c>
      <c r="F425" t="s">
        <v>24</v>
      </c>
      <c r="G425" t="s">
        <v>45</v>
      </c>
      <c r="H425" t="s">
        <v>156</v>
      </c>
      <c r="I425">
        <v>1</v>
      </c>
      <c r="J425" s="8">
        <v>33900</v>
      </c>
      <c r="K425">
        <v>10</v>
      </c>
      <c r="L425" t="s">
        <v>73</v>
      </c>
      <c r="M425" s="5">
        <f>Cleaned_Data[[#This Row],[Quantity]]*Cleaned_Data[[#This Row],[Unit_Price]]</f>
        <v>33900</v>
      </c>
      <c r="N425" s="7">
        <f>Cleaned_Data[[#This Row],[Total_sales]]*(Cleaned_Data[[#This Row],[Discount_Percent]]/100)</f>
        <v>3390</v>
      </c>
      <c r="O425" s="7">
        <f>Cleaned_Data[[#This Row],[Total_sales]]-Cleaned_Data[[#This Row],[Discount_Amount]]</f>
        <v>30510</v>
      </c>
      <c r="P425" t="str">
        <f>TEXT(Cleaned_Data[[#This Row],[Order_Date]],"MMM-YYYY")</f>
        <v>Nov-2023</v>
      </c>
      <c r="Q425" t="str">
        <f>"Q"&amp;ROUNDUP(MONTH(Cleaned_Data[[#This Row],[Order_Date]])/3,0)&amp;"-2023"</f>
        <v>Q4-2023</v>
      </c>
      <c r="R425" t="str">
        <f>TEXT(Cleaned_Data[[#This Row],[Order_Date]],"DDD")</f>
        <v>Mon</v>
      </c>
      <c r="S425" t="str">
        <f>IF(Cleaned_Data[[#This Row],[Net_Sales]]&gt;=100000,"High",IF(Cleaned_Data[[#This Row],[Net_Sales]]&gt;=50000,"Medium","Low"))</f>
        <v>Low</v>
      </c>
    </row>
    <row r="426" spans="1:19" x14ac:dyDescent="0.3">
      <c r="A426" t="s">
        <v>574</v>
      </c>
      <c r="B426" s="1">
        <v>45243</v>
      </c>
      <c r="C426" t="s">
        <v>143</v>
      </c>
      <c r="D426" t="s">
        <v>144</v>
      </c>
      <c r="E426" t="s">
        <v>66</v>
      </c>
      <c r="F426" t="s">
        <v>92</v>
      </c>
      <c r="G426" t="s">
        <v>97</v>
      </c>
      <c r="H426" t="s">
        <v>133</v>
      </c>
      <c r="I426">
        <v>1</v>
      </c>
      <c r="J426" s="8">
        <v>74100</v>
      </c>
      <c r="K426">
        <v>0</v>
      </c>
      <c r="L426" t="s">
        <v>27</v>
      </c>
      <c r="M426" s="5">
        <f>Cleaned_Data[[#This Row],[Quantity]]*Cleaned_Data[[#This Row],[Unit_Price]]</f>
        <v>74100</v>
      </c>
      <c r="N426" s="7">
        <f>Cleaned_Data[[#This Row],[Total_sales]]*(Cleaned_Data[[#This Row],[Discount_Percent]]/100)</f>
        <v>0</v>
      </c>
      <c r="O426" s="7">
        <f>Cleaned_Data[[#This Row],[Total_sales]]-Cleaned_Data[[#This Row],[Discount_Amount]]</f>
        <v>74100</v>
      </c>
      <c r="P426" t="str">
        <f>TEXT(Cleaned_Data[[#This Row],[Order_Date]],"MMM-YYYY")</f>
        <v>Nov-2023</v>
      </c>
      <c r="Q426" t="str">
        <f>"Q"&amp;ROUNDUP(MONTH(Cleaned_Data[[#This Row],[Order_Date]])/3,0)&amp;"-2023"</f>
        <v>Q4-2023</v>
      </c>
      <c r="R426" t="str">
        <f>TEXT(Cleaned_Data[[#This Row],[Order_Date]],"DDD")</f>
        <v>Mon</v>
      </c>
      <c r="S426" t="str">
        <f>IF(Cleaned_Data[[#This Row],[Net_Sales]]&gt;=100000,"High",IF(Cleaned_Data[[#This Row],[Net_Sales]]&gt;=50000,"Medium","Low"))</f>
        <v>Medium</v>
      </c>
    </row>
    <row r="427" spans="1:19" x14ac:dyDescent="0.3">
      <c r="A427" t="s">
        <v>575</v>
      </c>
      <c r="B427" s="1">
        <v>45273</v>
      </c>
      <c r="C427" t="s">
        <v>42</v>
      </c>
      <c r="D427" t="s">
        <v>43</v>
      </c>
      <c r="E427" t="s">
        <v>15</v>
      </c>
      <c r="F427" t="s">
        <v>119</v>
      </c>
      <c r="G427" t="s">
        <v>39</v>
      </c>
      <c r="H427" t="s">
        <v>102</v>
      </c>
      <c r="I427">
        <v>1</v>
      </c>
      <c r="J427" s="8">
        <v>18200</v>
      </c>
      <c r="K427">
        <v>0</v>
      </c>
      <c r="L427" t="s">
        <v>53</v>
      </c>
      <c r="M427" s="5">
        <f>Cleaned_Data[[#This Row],[Quantity]]*Cleaned_Data[[#This Row],[Unit_Price]]</f>
        <v>18200</v>
      </c>
      <c r="N427" s="7">
        <f>Cleaned_Data[[#This Row],[Total_sales]]*(Cleaned_Data[[#This Row],[Discount_Percent]]/100)</f>
        <v>0</v>
      </c>
      <c r="O427" s="7">
        <f>Cleaned_Data[[#This Row],[Total_sales]]-Cleaned_Data[[#This Row],[Discount_Amount]]</f>
        <v>18200</v>
      </c>
      <c r="P427" t="str">
        <f>TEXT(Cleaned_Data[[#This Row],[Order_Date]],"MMM-YYYY")</f>
        <v>Dec-2023</v>
      </c>
      <c r="Q427" t="str">
        <f>"Q"&amp;ROUNDUP(MONTH(Cleaned_Data[[#This Row],[Order_Date]])/3,0)&amp;"-2023"</f>
        <v>Q4-2023</v>
      </c>
      <c r="R427" t="str">
        <f>TEXT(Cleaned_Data[[#This Row],[Order_Date]],"DDD")</f>
        <v>Wed</v>
      </c>
      <c r="S427" t="str">
        <f>IF(Cleaned_Data[[#This Row],[Net_Sales]]&gt;=100000,"High",IF(Cleaned_Data[[#This Row],[Net_Sales]]&gt;=50000,"Medium","Low"))</f>
        <v>Low</v>
      </c>
    </row>
    <row r="428" spans="1:19" x14ac:dyDescent="0.3">
      <c r="A428" t="s">
        <v>576</v>
      </c>
      <c r="B428" s="1">
        <v>45273</v>
      </c>
      <c r="C428" t="s">
        <v>165</v>
      </c>
      <c r="D428" t="s">
        <v>166</v>
      </c>
      <c r="E428" t="s">
        <v>37</v>
      </c>
      <c r="F428" t="s">
        <v>61</v>
      </c>
      <c r="G428" t="s">
        <v>25</v>
      </c>
      <c r="H428" t="s">
        <v>108</v>
      </c>
      <c r="I428">
        <v>1</v>
      </c>
      <c r="J428" s="8">
        <v>2300</v>
      </c>
      <c r="K428">
        <v>0</v>
      </c>
      <c r="L428" t="s">
        <v>73</v>
      </c>
      <c r="M428" s="5">
        <f>Cleaned_Data[[#This Row],[Quantity]]*Cleaned_Data[[#This Row],[Unit_Price]]</f>
        <v>2300</v>
      </c>
      <c r="N428" s="7">
        <f>Cleaned_Data[[#This Row],[Total_sales]]*(Cleaned_Data[[#This Row],[Discount_Percent]]/100)</f>
        <v>0</v>
      </c>
      <c r="O428" s="7">
        <f>Cleaned_Data[[#This Row],[Total_sales]]-Cleaned_Data[[#This Row],[Discount_Amount]]</f>
        <v>2300</v>
      </c>
      <c r="P428" t="str">
        <f>TEXT(Cleaned_Data[[#This Row],[Order_Date]],"MMM-YYYY")</f>
        <v>Dec-2023</v>
      </c>
      <c r="Q428" t="str">
        <f>"Q"&amp;ROUNDUP(MONTH(Cleaned_Data[[#This Row],[Order_Date]])/3,0)&amp;"-2023"</f>
        <v>Q4-2023</v>
      </c>
      <c r="R428" t="str">
        <f>TEXT(Cleaned_Data[[#This Row],[Order_Date]],"DDD")</f>
        <v>Wed</v>
      </c>
      <c r="S428" t="str">
        <f>IF(Cleaned_Data[[#This Row],[Net_Sales]]&gt;=100000,"High",IF(Cleaned_Data[[#This Row],[Net_Sales]]&gt;=50000,"Medium","Low"))</f>
        <v>Low</v>
      </c>
    </row>
    <row r="429" spans="1:19" x14ac:dyDescent="0.3">
      <c r="A429" t="s">
        <v>577</v>
      </c>
      <c r="B429" s="1">
        <v>45273</v>
      </c>
      <c r="C429" t="s">
        <v>135</v>
      </c>
      <c r="D429" t="s">
        <v>136</v>
      </c>
      <c r="E429" t="s">
        <v>15</v>
      </c>
      <c r="F429" t="s">
        <v>131</v>
      </c>
      <c r="G429" t="s">
        <v>39</v>
      </c>
      <c r="H429" t="s">
        <v>68</v>
      </c>
      <c r="I429">
        <v>1</v>
      </c>
      <c r="J429" s="8">
        <v>32000</v>
      </c>
      <c r="K429">
        <v>0</v>
      </c>
      <c r="L429" t="s">
        <v>19</v>
      </c>
      <c r="M429" s="5">
        <f>Cleaned_Data[[#This Row],[Quantity]]*Cleaned_Data[[#This Row],[Unit_Price]]</f>
        <v>32000</v>
      </c>
      <c r="N429" s="7">
        <f>Cleaned_Data[[#This Row],[Total_sales]]*(Cleaned_Data[[#This Row],[Discount_Percent]]/100)</f>
        <v>0</v>
      </c>
      <c r="O429" s="7">
        <f>Cleaned_Data[[#This Row],[Total_sales]]-Cleaned_Data[[#This Row],[Discount_Amount]]</f>
        <v>32000</v>
      </c>
      <c r="P429" t="str">
        <f>TEXT(Cleaned_Data[[#This Row],[Order_Date]],"MMM-YYYY")</f>
        <v>Dec-2023</v>
      </c>
      <c r="Q429" t="str">
        <f>"Q"&amp;ROUNDUP(MONTH(Cleaned_Data[[#This Row],[Order_Date]])/3,0)&amp;"-2023"</f>
        <v>Q4-2023</v>
      </c>
      <c r="R429" t="str">
        <f>TEXT(Cleaned_Data[[#This Row],[Order_Date]],"DDD")</f>
        <v>Wed</v>
      </c>
      <c r="S429" t="str">
        <f>IF(Cleaned_Data[[#This Row],[Net_Sales]]&gt;=100000,"High",IF(Cleaned_Data[[#This Row],[Net_Sales]]&gt;=50000,"Medium","Low"))</f>
        <v>Low</v>
      </c>
    </row>
    <row r="430" spans="1:19" x14ac:dyDescent="0.3">
      <c r="A430" t="s">
        <v>578</v>
      </c>
      <c r="B430" s="1">
        <v>45273</v>
      </c>
      <c r="C430" t="s">
        <v>250</v>
      </c>
      <c r="D430" t="s">
        <v>251</v>
      </c>
      <c r="E430" t="s">
        <v>37</v>
      </c>
      <c r="F430" t="s">
        <v>61</v>
      </c>
      <c r="G430" t="s">
        <v>39</v>
      </c>
      <c r="H430" t="s">
        <v>102</v>
      </c>
      <c r="I430">
        <v>1</v>
      </c>
      <c r="J430" s="8">
        <v>16200</v>
      </c>
      <c r="K430">
        <v>0</v>
      </c>
      <c r="L430" t="s">
        <v>103</v>
      </c>
      <c r="M430" s="5">
        <f>Cleaned_Data[[#This Row],[Quantity]]*Cleaned_Data[[#This Row],[Unit_Price]]</f>
        <v>16200</v>
      </c>
      <c r="N430" s="7">
        <f>Cleaned_Data[[#This Row],[Total_sales]]*(Cleaned_Data[[#This Row],[Discount_Percent]]/100)</f>
        <v>0</v>
      </c>
      <c r="O430" s="7">
        <f>Cleaned_Data[[#This Row],[Total_sales]]-Cleaned_Data[[#This Row],[Discount_Amount]]</f>
        <v>16200</v>
      </c>
      <c r="P430" t="str">
        <f>TEXT(Cleaned_Data[[#This Row],[Order_Date]],"MMM-YYYY")</f>
        <v>Dec-2023</v>
      </c>
      <c r="Q430" t="str">
        <f>"Q"&amp;ROUNDUP(MONTH(Cleaned_Data[[#This Row],[Order_Date]])/3,0)&amp;"-2023"</f>
        <v>Q4-2023</v>
      </c>
      <c r="R430" t="str">
        <f>TEXT(Cleaned_Data[[#This Row],[Order_Date]],"DDD")</f>
        <v>Wed</v>
      </c>
      <c r="S430" t="str">
        <f>IF(Cleaned_Data[[#This Row],[Net_Sales]]&gt;=100000,"High",IF(Cleaned_Data[[#This Row],[Net_Sales]]&gt;=50000,"Medium","Low"))</f>
        <v>Low</v>
      </c>
    </row>
    <row r="431" spans="1:19" x14ac:dyDescent="0.3">
      <c r="A431" t="s">
        <v>579</v>
      </c>
      <c r="B431" s="1">
        <v>45273</v>
      </c>
      <c r="C431" t="s">
        <v>122</v>
      </c>
      <c r="D431" t="s">
        <v>123</v>
      </c>
      <c r="E431" t="s">
        <v>37</v>
      </c>
      <c r="F431" t="s">
        <v>61</v>
      </c>
      <c r="G431" t="s">
        <v>25</v>
      </c>
      <c r="H431" t="s">
        <v>108</v>
      </c>
      <c r="I431">
        <v>2</v>
      </c>
      <c r="J431" s="8">
        <v>1900</v>
      </c>
      <c r="K431">
        <v>0</v>
      </c>
      <c r="L431" t="s">
        <v>47</v>
      </c>
      <c r="M431" s="5">
        <f>Cleaned_Data[[#This Row],[Quantity]]*Cleaned_Data[[#This Row],[Unit_Price]]</f>
        <v>3800</v>
      </c>
      <c r="N431" s="7">
        <f>Cleaned_Data[[#This Row],[Total_sales]]*(Cleaned_Data[[#This Row],[Discount_Percent]]/100)</f>
        <v>0</v>
      </c>
      <c r="O431" s="7">
        <f>Cleaned_Data[[#This Row],[Total_sales]]-Cleaned_Data[[#This Row],[Discount_Amount]]</f>
        <v>3800</v>
      </c>
      <c r="P431" t="str">
        <f>TEXT(Cleaned_Data[[#This Row],[Order_Date]],"MMM-YYYY")</f>
        <v>Dec-2023</v>
      </c>
      <c r="Q431" t="str">
        <f>"Q"&amp;ROUNDUP(MONTH(Cleaned_Data[[#This Row],[Order_Date]])/3,0)&amp;"-2023"</f>
        <v>Q4-2023</v>
      </c>
      <c r="R431" t="str">
        <f>TEXT(Cleaned_Data[[#This Row],[Order_Date]],"DDD")</f>
        <v>Wed</v>
      </c>
      <c r="S431" t="str">
        <f>IF(Cleaned_Data[[#This Row],[Net_Sales]]&gt;=100000,"High",IF(Cleaned_Data[[#This Row],[Net_Sales]]&gt;=50000,"Medium","Low"))</f>
        <v>Low</v>
      </c>
    </row>
    <row r="432" spans="1:19" x14ac:dyDescent="0.3">
      <c r="A432" t="s">
        <v>580</v>
      </c>
      <c r="B432" s="1">
        <v>44940</v>
      </c>
      <c r="C432" t="s">
        <v>21</v>
      </c>
      <c r="D432" t="s">
        <v>22</v>
      </c>
      <c r="E432" t="s">
        <v>81</v>
      </c>
      <c r="F432" t="s">
        <v>160</v>
      </c>
      <c r="G432" t="s">
        <v>25</v>
      </c>
      <c r="H432" t="s">
        <v>108</v>
      </c>
      <c r="I432">
        <v>2</v>
      </c>
      <c r="J432" s="8">
        <v>1100</v>
      </c>
      <c r="K432">
        <v>0</v>
      </c>
      <c r="L432" t="s">
        <v>19</v>
      </c>
      <c r="M432" s="5">
        <f>Cleaned_Data[[#This Row],[Quantity]]*Cleaned_Data[[#This Row],[Unit_Price]]</f>
        <v>2200</v>
      </c>
      <c r="N432" s="7">
        <f>Cleaned_Data[[#This Row],[Total_sales]]*(Cleaned_Data[[#This Row],[Discount_Percent]]/100)</f>
        <v>0</v>
      </c>
      <c r="O432" s="7">
        <f>Cleaned_Data[[#This Row],[Total_sales]]-Cleaned_Data[[#This Row],[Discount_Amount]]</f>
        <v>2200</v>
      </c>
      <c r="P432" t="str">
        <f>TEXT(Cleaned_Data[[#This Row],[Order_Date]],"MMM-YYYY")</f>
        <v>Jan-2023</v>
      </c>
      <c r="Q432" t="str">
        <f>"Q"&amp;ROUNDUP(MONTH(Cleaned_Data[[#This Row],[Order_Date]])/3,0)&amp;"-2023"</f>
        <v>Q1-2023</v>
      </c>
      <c r="R432" t="str">
        <f>TEXT(Cleaned_Data[[#This Row],[Order_Date]],"DDD")</f>
        <v>Sat</v>
      </c>
      <c r="S432" t="str">
        <f>IF(Cleaned_Data[[#This Row],[Net_Sales]]&gt;=100000,"High",IF(Cleaned_Data[[#This Row],[Net_Sales]]&gt;=50000,"Medium","Low"))</f>
        <v>Low</v>
      </c>
    </row>
    <row r="433" spans="1:19" x14ac:dyDescent="0.3">
      <c r="A433" t="s">
        <v>581</v>
      </c>
      <c r="B433" s="1">
        <v>44940</v>
      </c>
      <c r="C433" t="s">
        <v>112</v>
      </c>
      <c r="D433" t="s">
        <v>113</v>
      </c>
      <c r="E433" t="s">
        <v>66</v>
      </c>
      <c r="F433" t="s">
        <v>67</v>
      </c>
      <c r="G433" t="s">
        <v>97</v>
      </c>
      <c r="H433" t="s">
        <v>98</v>
      </c>
      <c r="I433">
        <v>1</v>
      </c>
      <c r="J433" s="8">
        <v>47100</v>
      </c>
      <c r="K433">
        <v>25</v>
      </c>
      <c r="L433" t="s">
        <v>19</v>
      </c>
      <c r="M433" s="5">
        <f>Cleaned_Data[[#This Row],[Quantity]]*Cleaned_Data[[#This Row],[Unit_Price]]</f>
        <v>47100</v>
      </c>
      <c r="N433" s="7">
        <f>Cleaned_Data[[#This Row],[Total_sales]]*(Cleaned_Data[[#This Row],[Discount_Percent]]/100)</f>
        <v>11775</v>
      </c>
      <c r="O433" s="7">
        <f>Cleaned_Data[[#This Row],[Total_sales]]-Cleaned_Data[[#This Row],[Discount_Amount]]</f>
        <v>35325</v>
      </c>
      <c r="P433" t="str">
        <f>TEXT(Cleaned_Data[[#This Row],[Order_Date]],"MMM-YYYY")</f>
        <v>Jan-2023</v>
      </c>
      <c r="Q433" t="str">
        <f>"Q"&amp;ROUNDUP(MONTH(Cleaned_Data[[#This Row],[Order_Date]])/3,0)&amp;"-2023"</f>
        <v>Q1-2023</v>
      </c>
      <c r="R433" t="str">
        <f>TEXT(Cleaned_Data[[#This Row],[Order_Date]],"DDD")</f>
        <v>Sat</v>
      </c>
      <c r="S433" t="str">
        <f>IF(Cleaned_Data[[#This Row],[Net_Sales]]&gt;=100000,"High",IF(Cleaned_Data[[#This Row],[Net_Sales]]&gt;=50000,"Medium","Low"))</f>
        <v>Low</v>
      </c>
    </row>
    <row r="434" spans="1:19" x14ac:dyDescent="0.3">
      <c r="A434" t="s">
        <v>582</v>
      </c>
      <c r="B434" s="1">
        <v>44971</v>
      </c>
      <c r="C434" t="s">
        <v>49</v>
      </c>
      <c r="D434" t="s">
        <v>50</v>
      </c>
      <c r="E434" t="s">
        <v>81</v>
      </c>
      <c r="F434" t="s">
        <v>110</v>
      </c>
      <c r="G434" t="s">
        <v>17</v>
      </c>
      <c r="H434" t="s">
        <v>88</v>
      </c>
      <c r="I434">
        <v>1</v>
      </c>
      <c r="J434" s="8">
        <v>50700</v>
      </c>
      <c r="K434">
        <v>0</v>
      </c>
      <c r="L434" t="s">
        <v>62</v>
      </c>
      <c r="M434" s="5">
        <f>Cleaned_Data[[#This Row],[Quantity]]*Cleaned_Data[[#This Row],[Unit_Price]]</f>
        <v>50700</v>
      </c>
      <c r="N434" s="7">
        <f>Cleaned_Data[[#This Row],[Total_sales]]*(Cleaned_Data[[#This Row],[Discount_Percent]]/100)</f>
        <v>0</v>
      </c>
      <c r="O434" s="7">
        <f>Cleaned_Data[[#This Row],[Total_sales]]-Cleaned_Data[[#This Row],[Discount_Amount]]</f>
        <v>50700</v>
      </c>
      <c r="P434" t="str">
        <f>TEXT(Cleaned_Data[[#This Row],[Order_Date]],"MMM-YYYY")</f>
        <v>Feb-2023</v>
      </c>
      <c r="Q434" t="str">
        <f>"Q"&amp;ROUNDUP(MONTH(Cleaned_Data[[#This Row],[Order_Date]])/3,0)&amp;"-2023"</f>
        <v>Q1-2023</v>
      </c>
      <c r="R434" t="str">
        <f>TEXT(Cleaned_Data[[#This Row],[Order_Date]],"DDD")</f>
        <v>Tue</v>
      </c>
      <c r="S434" t="str">
        <f>IF(Cleaned_Data[[#This Row],[Net_Sales]]&gt;=100000,"High",IF(Cleaned_Data[[#This Row],[Net_Sales]]&gt;=50000,"Medium","Low"))</f>
        <v>Medium</v>
      </c>
    </row>
    <row r="435" spans="1:19" x14ac:dyDescent="0.3">
      <c r="A435" t="s">
        <v>583</v>
      </c>
      <c r="B435" s="1">
        <v>44971</v>
      </c>
      <c r="C435" t="s">
        <v>64</v>
      </c>
      <c r="D435" t="s">
        <v>65</v>
      </c>
      <c r="E435" t="s">
        <v>66</v>
      </c>
      <c r="F435" t="s">
        <v>67</v>
      </c>
      <c r="G435" t="s">
        <v>25</v>
      </c>
      <c r="H435" t="s">
        <v>108</v>
      </c>
      <c r="I435">
        <v>2</v>
      </c>
      <c r="J435" s="8">
        <v>2100</v>
      </c>
      <c r="K435">
        <v>25</v>
      </c>
      <c r="L435" t="s">
        <v>47</v>
      </c>
      <c r="M435" s="5">
        <f>Cleaned_Data[[#This Row],[Quantity]]*Cleaned_Data[[#This Row],[Unit_Price]]</f>
        <v>4200</v>
      </c>
      <c r="N435" s="7">
        <f>Cleaned_Data[[#This Row],[Total_sales]]*(Cleaned_Data[[#This Row],[Discount_Percent]]/100)</f>
        <v>1050</v>
      </c>
      <c r="O435" s="7">
        <f>Cleaned_Data[[#This Row],[Total_sales]]-Cleaned_Data[[#This Row],[Discount_Amount]]</f>
        <v>3150</v>
      </c>
      <c r="P435" t="str">
        <f>TEXT(Cleaned_Data[[#This Row],[Order_Date]],"MMM-YYYY")</f>
        <v>Feb-2023</v>
      </c>
      <c r="Q435" t="str">
        <f>"Q"&amp;ROUNDUP(MONTH(Cleaned_Data[[#This Row],[Order_Date]])/3,0)&amp;"-2023"</f>
        <v>Q1-2023</v>
      </c>
      <c r="R435" t="str">
        <f>TEXT(Cleaned_Data[[#This Row],[Order_Date]],"DDD")</f>
        <v>Tue</v>
      </c>
      <c r="S435" t="str">
        <f>IF(Cleaned_Data[[#This Row],[Net_Sales]]&gt;=100000,"High",IF(Cleaned_Data[[#This Row],[Net_Sales]]&gt;=50000,"Medium","Low"))</f>
        <v>Low</v>
      </c>
    </row>
    <row r="436" spans="1:19" x14ac:dyDescent="0.3">
      <c r="A436" t="s">
        <v>584</v>
      </c>
      <c r="B436" s="1">
        <v>44971</v>
      </c>
      <c r="C436" t="s">
        <v>147</v>
      </c>
      <c r="D436" t="s">
        <v>148</v>
      </c>
      <c r="E436" t="s">
        <v>15</v>
      </c>
      <c r="F436" t="s">
        <v>119</v>
      </c>
      <c r="G436" t="s">
        <v>97</v>
      </c>
      <c r="H436" t="s">
        <v>98</v>
      </c>
      <c r="I436">
        <v>1</v>
      </c>
      <c r="J436" s="8">
        <v>52300</v>
      </c>
      <c r="K436">
        <v>5</v>
      </c>
      <c r="L436" t="s">
        <v>47</v>
      </c>
      <c r="M436" s="5">
        <f>Cleaned_Data[[#This Row],[Quantity]]*Cleaned_Data[[#This Row],[Unit_Price]]</f>
        <v>52300</v>
      </c>
      <c r="N436" s="7">
        <f>Cleaned_Data[[#This Row],[Total_sales]]*(Cleaned_Data[[#This Row],[Discount_Percent]]/100)</f>
        <v>2615</v>
      </c>
      <c r="O436" s="7">
        <f>Cleaned_Data[[#This Row],[Total_sales]]-Cleaned_Data[[#This Row],[Discount_Amount]]</f>
        <v>49685</v>
      </c>
      <c r="P436" t="str">
        <f>TEXT(Cleaned_Data[[#This Row],[Order_Date]],"MMM-YYYY")</f>
        <v>Feb-2023</v>
      </c>
      <c r="Q436" t="str">
        <f>"Q"&amp;ROUNDUP(MONTH(Cleaned_Data[[#This Row],[Order_Date]])/3,0)&amp;"-2023"</f>
        <v>Q1-2023</v>
      </c>
      <c r="R436" t="str">
        <f>TEXT(Cleaned_Data[[#This Row],[Order_Date]],"DDD")</f>
        <v>Tue</v>
      </c>
      <c r="S436" t="str">
        <f>IF(Cleaned_Data[[#This Row],[Net_Sales]]&gt;=100000,"High",IF(Cleaned_Data[[#This Row],[Net_Sales]]&gt;=50000,"Medium","Low"))</f>
        <v>Low</v>
      </c>
    </row>
    <row r="437" spans="1:19" x14ac:dyDescent="0.3">
      <c r="A437" t="s">
        <v>585</v>
      </c>
      <c r="B437" s="1">
        <v>44971</v>
      </c>
      <c r="C437" t="s">
        <v>158</v>
      </c>
      <c r="D437" t="s">
        <v>159</v>
      </c>
      <c r="E437" t="s">
        <v>66</v>
      </c>
      <c r="F437" t="s">
        <v>72</v>
      </c>
      <c r="G437" t="s">
        <v>17</v>
      </c>
      <c r="H437" t="s">
        <v>18</v>
      </c>
      <c r="I437">
        <v>1</v>
      </c>
      <c r="J437" s="8">
        <v>16500</v>
      </c>
      <c r="K437">
        <v>25</v>
      </c>
      <c r="L437" t="s">
        <v>53</v>
      </c>
      <c r="M437" s="5">
        <f>Cleaned_Data[[#This Row],[Quantity]]*Cleaned_Data[[#This Row],[Unit_Price]]</f>
        <v>16500</v>
      </c>
      <c r="N437" s="7">
        <f>Cleaned_Data[[#This Row],[Total_sales]]*(Cleaned_Data[[#This Row],[Discount_Percent]]/100)</f>
        <v>4125</v>
      </c>
      <c r="O437" s="7">
        <f>Cleaned_Data[[#This Row],[Total_sales]]-Cleaned_Data[[#This Row],[Discount_Amount]]</f>
        <v>12375</v>
      </c>
      <c r="P437" t="str">
        <f>TEXT(Cleaned_Data[[#This Row],[Order_Date]],"MMM-YYYY")</f>
        <v>Feb-2023</v>
      </c>
      <c r="Q437" t="str">
        <f>"Q"&amp;ROUNDUP(MONTH(Cleaned_Data[[#This Row],[Order_Date]])/3,0)&amp;"-2023"</f>
        <v>Q1-2023</v>
      </c>
      <c r="R437" t="str">
        <f>TEXT(Cleaned_Data[[#This Row],[Order_Date]],"DDD")</f>
        <v>Tue</v>
      </c>
      <c r="S437" t="str">
        <f>IF(Cleaned_Data[[#This Row],[Net_Sales]]&gt;=100000,"High",IF(Cleaned_Data[[#This Row],[Net_Sales]]&gt;=50000,"Medium","Low"))</f>
        <v>Low</v>
      </c>
    </row>
    <row r="438" spans="1:19" x14ac:dyDescent="0.3">
      <c r="A438" t="s">
        <v>586</v>
      </c>
      <c r="B438" s="1">
        <v>44999</v>
      </c>
      <c r="C438" t="s">
        <v>35</v>
      </c>
      <c r="D438" t="s">
        <v>36</v>
      </c>
      <c r="E438" t="s">
        <v>15</v>
      </c>
      <c r="F438" t="s">
        <v>16</v>
      </c>
      <c r="G438" t="s">
        <v>25</v>
      </c>
      <c r="H438" t="s">
        <v>108</v>
      </c>
      <c r="I438">
        <v>1</v>
      </c>
      <c r="J438" s="8">
        <v>2300</v>
      </c>
      <c r="K438">
        <v>0</v>
      </c>
      <c r="L438" t="s">
        <v>19</v>
      </c>
      <c r="M438" s="5">
        <f>Cleaned_Data[[#This Row],[Quantity]]*Cleaned_Data[[#This Row],[Unit_Price]]</f>
        <v>2300</v>
      </c>
      <c r="N438" s="7">
        <f>Cleaned_Data[[#This Row],[Total_sales]]*(Cleaned_Data[[#This Row],[Discount_Percent]]/100)</f>
        <v>0</v>
      </c>
      <c r="O438" s="7">
        <f>Cleaned_Data[[#This Row],[Total_sales]]-Cleaned_Data[[#This Row],[Discount_Amount]]</f>
        <v>2300</v>
      </c>
      <c r="P438" t="str">
        <f>TEXT(Cleaned_Data[[#This Row],[Order_Date]],"MMM-YYYY")</f>
        <v>Mar-2023</v>
      </c>
      <c r="Q438" t="str">
        <f>"Q"&amp;ROUNDUP(MONTH(Cleaned_Data[[#This Row],[Order_Date]])/3,0)&amp;"-2023"</f>
        <v>Q1-2023</v>
      </c>
      <c r="R438" t="str">
        <f>TEXT(Cleaned_Data[[#This Row],[Order_Date]],"DDD")</f>
        <v>Tue</v>
      </c>
      <c r="S438" t="str">
        <f>IF(Cleaned_Data[[#This Row],[Net_Sales]]&gt;=100000,"High",IF(Cleaned_Data[[#This Row],[Net_Sales]]&gt;=50000,"Medium","Low"))</f>
        <v>Low</v>
      </c>
    </row>
    <row r="439" spans="1:19" x14ac:dyDescent="0.3">
      <c r="A439" t="s">
        <v>587</v>
      </c>
      <c r="B439" s="1">
        <v>44999</v>
      </c>
      <c r="C439" t="s">
        <v>185</v>
      </c>
      <c r="D439" t="s">
        <v>186</v>
      </c>
      <c r="E439" t="s">
        <v>81</v>
      </c>
      <c r="F439" t="s">
        <v>82</v>
      </c>
      <c r="G439" t="s">
        <v>17</v>
      </c>
      <c r="H439" t="s">
        <v>168</v>
      </c>
      <c r="I439">
        <v>1</v>
      </c>
      <c r="J439" s="8">
        <v>29300</v>
      </c>
      <c r="K439">
        <v>10</v>
      </c>
      <c r="L439" t="s">
        <v>19</v>
      </c>
      <c r="M439" s="5">
        <f>Cleaned_Data[[#This Row],[Quantity]]*Cleaned_Data[[#This Row],[Unit_Price]]</f>
        <v>29300</v>
      </c>
      <c r="N439" s="7">
        <f>Cleaned_Data[[#This Row],[Total_sales]]*(Cleaned_Data[[#This Row],[Discount_Percent]]/100)</f>
        <v>2930</v>
      </c>
      <c r="O439" s="7">
        <f>Cleaned_Data[[#This Row],[Total_sales]]-Cleaned_Data[[#This Row],[Discount_Amount]]</f>
        <v>26370</v>
      </c>
      <c r="P439" t="str">
        <f>TEXT(Cleaned_Data[[#This Row],[Order_Date]],"MMM-YYYY")</f>
        <v>Mar-2023</v>
      </c>
      <c r="Q439" t="str">
        <f>"Q"&amp;ROUNDUP(MONTH(Cleaned_Data[[#This Row],[Order_Date]])/3,0)&amp;"-2023"</f>
        <v>Q1-2023</v>
      </c>
      <c r="R439" t="str">
        <f>TEXT(Cleaned_Data[[#This Row],[Order_Date]],"DDD")</f>
        <v>Tue</v>
      </c>
      <c r="S439" t="str">
        <f>IF(Cleaned_Data[[#This Row],[Net_Sales]]&gt;=100000,"High",IF(Cleaned_Data[[#This Row],[Net_Sales]]&gt;=50000,"Medium","Low"))</f>
        <v>Low</v>
      </c>
    </row>
    <row r="440" spans="1:19" x14ac:dyDescent="0.3">
      <c r="A440" t="s">
        <v>588</v>
      </c>
      <c r="B440" s="1">
        <v>45030</v>
      </c>
      <c r="C440" t="s">
        <v>232</v>
      </c>
      <c r="D440" t="s">
        <v>233</v>
      </c>
      <c r="E440" t="s">
        <v>81</v>
      </c>
      <c r="F440" t="s">
        <v>117</v>
      </c>
      <c r="G440" t="s">
        <v>97</v>
      </c>
      <c r="H440" t="s">
        <v>154</v>
      </c>
      <c r="I440">
        <v>2</v>
      </c>
      <c r="J440" s="8">
        <v>53900</v>
      </c>
      <c r="K440">
        <v>0</v>
      </c>
      <c r="L440" t="s">
        <v>62</v>
      </c>
      <c r="M440" s="5">
        <f>Cleaned_Data[[#This Row],[Quantity]]*Cleaned_Data[[#This Row],[Unit_Price]]</f>
        <v>107800</v>
      </c>
      <c r="N440" s="7">
        <f>Cleaned_Data[[#This Row],[Total_sales]]*(Cleaned_Data[[#This Row],[Discount_Percent]]/100)</f>
        <v>0</v>
      </c>
      <c r="O440" s="7">
        <f>Cleaned_Data[[#This Row],[Total_sales]]-Cleaned_Data[[#This Row],[Discount_Amount]]</f>
        <v>107800</v>
      </c>
      <c r="P440" t="str">
        <f>TEXT(Cleaned_Data[[#This Row],[Order_Date]],"MMM-YYYY")</f>
        <v>Apr-2023</v>
      </c>
      <c r="Q440" t="str">
        <f>"Q"&amp;ROUNDUP(MONTH(Cleaned_Data[[#This Row],[Order_Date]])/3,0)&amp;"-2023"</f>
        <v>Q2-2023</v>
      </c>
      <c r="R440" t="str">
        <f>TEXT(Cleaned_Data[[#This Row],[Order_Date]],"DDD")</f>
        <v>Fri</v>
      </c>
      <c r="S440" t="str">
        <f>IF(Cleaned_Data[[#This Row],[Net_Sales]]&gt;=100000,"High",IF(Cleaned_Data[[#This Row],[Net_Sales]]&gt;=50000,"Medium","Low"))</f>
        <v>High</v>
      </c>
    </row>
    <row r="441" spans="1:19" x14ac:dyDescent="0.3">
      <c r="A441" t="s">
        <v>589</v>
      </c>
      <c r="B441" s="1">
        <v>45060</v>
      </c>
      <c r="C441" t="s">
        <v>250</v>
      </c>
      <c r="D441" t="s">
        <v>251</v>
      </c>
      <c r="E441" t="s">
        <v>37</v>
      </c>
      <c r="F441" t="s">
        <v>141</v>
      </c>
      <c r="G441" t="s">
        <v>39</v>
      </c>
      <c r="H441" t="s">
        <v>102</v>
      </c>
      <c r="I441">
        <v>1</v>
      </c>
      <c r="J441" s="8">
        <v>22800</v>
      </c>
      <c r="K441">
        <v>20</v>
      </c>
      <c r="L441" t="s">
        <v>47</v>
      </c>
      <c r="M441" s="5">
        <f>Cleaned_Data[[#This Row],[Quantity]]*Cleaned_Data[[#This Row],[Unit_Price]]</f>
        <v>22800</v>
      </c>
      <c r="N441" s="7">
        <f>Cleaned_Data[[#This Row],[Total_sales]]*(Cleaned_Data[[#This Row],[Discount_Percent]]/100)</f>
        <v>4560</v>
      </c>
      <c r="O441" s="7">
        <f>Cleaned_Data[[#This Row],[Total_sales]]-Cleaned_Data[[#This Row],[Discount_Amount]]</f>
        <v>18240</v>
      </c>
      <c r="P441" t="str">
        <f>TEXT(Cleaned_Data[[#This Row],[Order_Date]],"MMM-YYYY")</f>
        <v>May-2023</v>
      </c>
      <c r="Q441" t="str">
        <f>"Q"&amp;ROUNDUP(MONTH(Cleaned_Data[[#This Row],[Order_Date]])/3,0)&amp;"-2023"</f>
        <v>Q2-2023</v>
      </c>
      <c r="R441" t="str">
        <f>TEXT(Cleaned_Data[[#This Row],[Order_Date]],"DDD")</f>
        <v>Sun</v>
      </c>
      <c r="S441" t="str">
        <f>IF(Cleaned_Data[[#This Row],[Net_Sales]]&gt;=100000,"High",IF(Cleaned_Data[[#This Row],[Net_Sales]]&gt;=50000,"Medium","Low"))</f>
        <v>Low</v>
      </c>
    </row>
    <row r="442" spans="1:19" x14ac:dyDescent="0.3">
      <c r="A442" t="s">
        <v>590</v>
      </c>
      <c r="B442" s="1">
        <v>45060</v>
      </c>
      <c r="C442" t="s">
        <v>95</v>
      </c>
      <c r="D442" t="s">
        <v>96</v>
      </c>
      <c r="E442" t="s">
        <v>37</v>
      </c>
      <c r="F442" t="s">
        <v>141</v>
      </c>
      <c r="G442" t="s">
        <v>17</v>
      </c>
      <c r="H442" t="s">
        <v>18</v>
      </c>
      <c r="I442">
        <v>1</v>
      </c>
      <c r="J442" s="8">
        <v>28400</v>
      </c>
      <c r="K442">
        <v>0</v>
      </c>
      <c r="L442" t="s">
        <v>19</v>
      </c>
      <c r="M442" s="5">
        <f>Cleaned_Data[[#This Row],[Quantity]]*Cleaned_Data[[#This Row],[Unit_Price]]</f>
        <v>28400</v>
      </c>
      <c r="N442" s="7">
        <f>Cleaned_Data[[#This Row],[Total_sales]]*(Cleaned_Data[[#This Row],[Discount_Percent]]/100)</f>
        <v>0</v>
      </c>
      <c r="O442" s="7">
        <f>Cleaned_Data[[#This Row],[Total_sales]]-Cleaned_Data[[#This Row],[Discount_Amount]]</f>
        <v>28400</v>
      </c>
      <c r="P442" t="str">
        <f>TEXT(Cleaned_Data[[#This Row],[Order_Date]],"MMM-YYYY")</f>
        <v>May-2023</v>
      </c>
      <c r="Q442" t="str">
        <f>"Q"&amp;ROUNDUP(MONTH(Cleaned_Data[[#This Row],[Order_Date]])/3,0)&amp;"-2023"</f>
        <v>Q2-2023</v>
      </c>
      <c r="R442" t="str">
        <f>TEXT(Cleaned_Data[[#This Row],[Order_Date]],"DDD")</f>
        <v>Sun</v>
      </c>
      <c r="S442" t="str">
        <f>IF(Cleaned_Data[[#This Row],[Net_Sales]]&gt;=100000,"High",IF(Cleaned_Data[[#This Row],[Net_Sales]]&gt;=50000,"Medium","Low"))</f>
        <v>Low</v>
      </c>
    </row>
    <row r="443" spans="1:19" x14ac:dyDescent="0.3">
      <c r="A443" t="s">
        <v>591</v>
      </c>
      <c r="B443" s="1">
        <v>45060</v>
      </c>
      <c r="C443" t="s">
        <v>75</v>
      </c>
      <c r="D443" t="s">
        <v>76</v>
      </c>
      <c r="E443" t="s">
        <v>37</v>
      </c>
      <c r="F443" t="s">
        <v>61</v>
      </c>
      <c r="G443" t="s">
        <v>97</v>
      </c>
      <c r="H443" t="s">
        <v>174</v>
      </c>
      <c r="I443">
        <v>2</v>
      </c>
      <c r="J443" s="8">
        <v>59100</v>
      </c>
      <c r="K443">
        <v>20</v>
      </c>
      <c r="L443" t="s">
        <v>53</v>
      </c>
      <c r="M443" s="5">
        <f>Cleaned_Data[[#This Row],[Quantity]]*Cleaned_Data[[#This Row],[Unit_Price]]</f>
        <v>118200</v>
      </c>
      <c r="N443" s="7">
        <f>Cleaned_Data[[#This Row],[Total_sales]]*(Cleaned_Data[[#This Row],[Discount_Percent]]/100)</f>
        <v>23640</v>
      </c>
      <c r="O443" s="7">
        <f>Cleaned_Data[[#This Row],[Total_sales]]-Cleaned_Data[[#This Row],[Discount_Amount]]</f>
        <v>94560</v>
      </c>
      <c r="P443" t="str">
        <f>TEXT(Cleaned_Data[[#This Row],[Order_Date]],"MMM-YYYY")</f>
        <v>May-2023</v>
      </c>
      <c r="Q443" t="str">
        <f>"Q"&amp;ROUNDUP(MONTH(Cleaned_Data[[#This Row],[Order_Date]])/3,0)&amp;"-2023"</f>
        <v>Q2-2023</v>
      </c>
      <c r="R443" t="str">
        <f>TEXT(Cleaned_Data[[#This Row],[Order_Date]],"DDD")</f>
        <v>Sun</v>
      </c>
      <c r="S443" t="str">
        <f>IF(Cleaned_Data[[#This Row],[Net_Sales]]&gt;=100000,"High",IF(Cleaned_Data[[#This Row],[Net_Sales]]&gt;=50000,"Medium","Low"))</f>
        <v>Medium</v>
      </c>
    </row>
    <row r="444" spans="1:19" x14ac:dyDescent="0.3">
      <c r="A444" t="s">
        <v>592</v>
      </c>
      <c r="B444" s="1">
        <v>45091</v>
      </c>
      <c r="C444" t="s">
        <v>250</v>
      </c>
      <c r="D444" t="s">
        <v>251</v>
      </c>
      <c r="E444" t="s">
        <v>37</v>
      </c>
      <c r="F444" t="s">
        <v>101</v>
      </c>
      <c r="G444" t="s">
        <v>39</v>
      </c>
      <c r="H444" t="s">
        <v>57</v>
      </c>
      <c r="I444">
        <v>1</v>
      </c>
      <c r="J444" s="8">
        <v>25300</v>
      </c>
      <c r="K444">
        <v>10</v>
      </c>
      <c r="L444" t="s">
        <v>19</v>
      </c>
      <c r="M444" s="5">
        <f>Cleaned_Data[[#This Row],[Quantity]]*Cleaned_Data[[#This Row],[Unit_Price]]</f>
        <v>25300</v>
      </c>
      <c r="N444" s="7">
        <f>Cleaned_Data[[#This Row],[Total_sales]]*(Cleaned_Data[[#This Row],[Discount_Percent]]/100)</f>
        <v>2530</v>
      </c>
      <c r="O444" s="7">
        <f>Cleaned_Data[[#This Row],[Total_sales]]-Cleaned_Data[[#This Row],[Discount_Amount]]</f>
        <v>22770</v>
      </c>
      <c r="P444" t="str">
        <f>TEXT(Cleaned_Data[[#This Row],[Order_Date]],"MMM-YYYY")</f>
        <v>Jun-2023</v>
      </c>
      <c r="Q444" t="str">
        <f>"Q"&amp;ROUNDUP(MONTH(Cleaned_Data[[#This Row],[Order_Date]])/3,0)&amp;"-2023"</f>
        <v>Q2-2023</v>
      </c>
      <c r="R444" t="str">
        <f>TEXT(Cleaned_Data[[#This Row],[Order_Date]],"DDD")</f>
        <v>Wed</v>
      </c>
      <c r="S444" t="str">
        <f>IF(Cleaned_Data[[#This Row],[Net_Sales]]&gt;=100000,"High",IF(Cleaned_Data[[#This Row],[Net_Sales]]&gt;=50000,"Medium","Low"))</f>
        <v>Low</v>
      </c>
    </row>
    <row r="445" spans="1:19" x14ac:dyDescent="0.3">
      <c r="A445" t="s">
        <v>593</v>
      </c>
      <c r="B445" s="1">
        <v>45091</v>
      </c>
      <c r="C445" t="s">
        <v>158</v>
      </c>
      <c r="D445" t="s">
        <v>159</v>
      </c>
      <c r="E445" t="s">
        <v>23</v>
      </c>
      <c r="F445" t="s">
        <v>24</v>
      </c>
      <c r="G445" t="s">
        <v>45</v>
      </c>
      <c r="H445" t="s">
        <v>52</v>
      </c>
      <c r="I445">
        <v>1</v>
      </c>
      <c r="J445" s="8">
        <v>35600</v>
      </c>
      <c r="K445">
        <v>5</v>
      </c>
      <c r="L445" t="s">
        <v>27</v>
      </c>
      <c r="M445" s="5">
        <f>Cleaned_Data[[#This Row],[Quantity]]*Cleaned_Data[[#This Row],[Unit_Price]]</f>
        <v>35600</v>
      </c>
      <c r="N445" s="7">
        <f>Cleaned_Data[[#This Row],[Total_sales]]*(Cleaned_Data[[#This Row],[Discount_Percent]]/100)</f>
        <v>1780</v>
      </c>
      <c r="O445" s="7">
        <f>Cleaned_Data[[#This Row],[Total_sales]]-Cleaned_Data[[#This Row],[Discount_Amount]]</f>
        <v>33820</v>
      </c>
      <c r="P445" t="str">
        <f>TEXT(Cleaned_Data[[#This Row],[Order_Date]],"MMM-YYYY")</f>
        <v>Jun-2023</v>
      </c>
      <c r="Q445" t="str">
        <f>"Q"&amp;ROUNDUP(MONTH(Cleaned_Data[[#This Row],[Order_Date]])/3,0)&amp;"-2023"</f>
        <v>Q2-2023</v>
      </c>
      <c r="R445" t="str">
        <f>TEXT(Cleaned_Data[[#This Row],[Order_Date]],"DDD")</f>
        <v>Wed</v>
      </c>
      <c r="S445" t="str">
        <f>IF(Cleaned_Data[[#This Row],[Net_Sales]]&gt;=100000,"High",IF(Cleaned_Data[[#This Row],[Net_Sales]]&gt;=50000,"Medium","Low"))</f>
        <v>Low</v>
      </c>
    </row>
    <row r="446" spans="1:19" x14ac:dyDescent="0.3">
      <c r="A446" t="s">
        <v>594</v>
      </c>
      <c r="B446" s="1">
        <v>45121</v>
      </c>
      <c r="C446" t="s">
        <v>135</v>
      </c>
      <c r="D446" t="s">
        <v>136</v>
      </c>
      <c r="E446" t="s">
        <v>81</v>
      </c>
      <c r="F446" t="s">
        <v>110</v>
      </c>
      <c r="G446" t="s">
        <v>45</v>
      </c>
      <c r="H446" t="s">
        <v>207</v>
      </c>
      <c r="I446">
        <v>1</v>
      </c>
      <c r="J446" s="8">
        <v>37200</v>
      </c>
      <c r="K446">
        <v>15</v>
      </c>
      <c r="L446" t="s">
        <v>103</v>
      </c>
      <c r="M446" s="5">
        <f>Cleaned_Data[[#This Row],[Quantity]]*Cleaned_Data[[#This Row],[Unit_Price]]</f>
        <v>37200</v>
      </c>
      <c r="N446" s="7">
        <f>Cleaned_Data[[#This Row],[Total_sales]]*(Cleaned_Data[[#This Row],[Discount_Percent]]/100)</f>
        <v>5580</v>
      </c>
      <c r="O446" s="7">
        <f>Cleaned_Data[[#This Row],[Total_sales]]-Cleaned_Data[[#This Row],[Discount_Amount]]</f>
        <v>31620</v>
      </c>
      <c r="P446" t="str">
        <f>TEXT(Cleaned_Data[[#This Row],[Order_Date]],"MMM-YYYY")</f>
        <v>Jul-2023</v>
      </c>
      <c r="Q446" t="str">
        <f>"Q"&amp;ROUNDUP(MONTH(Cleaned_Data[[#This Row],[Order_Date]])/3,0)&amp;"-2023"</f>
        <v>Q3-2023</v>
      </c>
      <c r="R446" t="str">
        <f>TEXT(Cleaned_Data[[#This Row],[Order_Date]],"DDD")</f>
        <v>Fri</v>
      </c>
      <c r="S446" t="str">
        <f>IF(Cleaned_Data[[#This Row],[Net_Sales]]&gt;=100000,"High",IF(Cleaned_Data[[#This Row],[Net_Sales]]&gt;=50000,"Medium","Low"))</f>
        <v>Low</v>
      </c>
    </row>
    <row r="447" spans="1:19" x14ac:dyDescent="0.3">
      <c r="A447" t="s">
        <v>595</v>
      </c>
      <c r="B447" s="1">
        <v>45121</v>
      </c>
      <c r="C447" t="s">
        <v>203</v>
      </c>
      <c r="D447" t="s">
        <v>204</v>
      </c>
      <c r="E447" t="s">
        <v>23</v>
      </c>
      <c r="F447" t="s">
        <v>44</v>
      </c>
      <c r="G447" t="s">
        <v>39</v>
      </c>
      <c r="H447" t="s">
        <v>102</v>
      </c>
      <c r="I447">
        <v>1</v>
      </c>
      <c r="J447" s="8">
        <v>17200</v>
      </c>
      <c r="K447">
        <v>5</v>
      </c>
      <c r="L447" t="s">
        <v>62</v>
      </c>
      <c r="M447" s="5">
        <f>Cleaned_Data[[#This Row],[Quantity]]*Cleaned_Data[[#This Row],[Unit_Price]]</f>
        <v>17200</v>
      </c>
      <c r="N447" s="7">
        <f>Cleaned_Data[[#This Row],[Total_sales]]*(Cleaned_Data[[#This Row],[Discount_Percent]]/100)</f>
        <v>860</v>
      </c>
      <c r="O447" s="7">
        <f>Cleaned_Data[[#This Row],[Total_sales]]-Cleaned_Data[[#This Row],[Discount_Amount]]</f>
        <v>16340</v>
      </c>
      <c r="P447" t="str">
        <f>TEXT(Cleaned_Data[[#This Row],[Order_Date]],"MMM-YYYY")</f>
        <v>Jul-2023</v>
      </c>
      <c r="Q447" t="str">
        <f>"Q"&amp;ROUNDUP(MONTH(Cleaned_Data[[#This Row],[Order_Date]])/3,0)&amp;"-2023"</f>
        <v>Q3-2023</v>
      </c>
      <c r="R447" t="str">
        <f>TEXT(Cleaned_Data[[#This Row],[Order_Date]],"DDD")</f>
        <v>Fri</v>
      </c>
      <c r="S447" t="str">
        <f>IF(Cleaned_Data[[#This Row],[Net_Sales]]&gt;=100000,"High",IF(Cleaned_Data[[#This Row],[Net_Sales]]&gt;=50000,"Medium","Low"))</f>
        <v>Low</v>
      </c>
    </row>
    <row r="448" spans="1:19" x14ac:dyDescent="0.3">
      <c r="A448" t="s">
        <v>596</v>
      </c>
      <c r="B448" s="1">
        <v>45121</v>
      </c>
      <c r="C448" t="s">
        <v>42</v>
      </c>
      <c r="D448" t="s">
        <v>43</v>
      </c>
      <c r="E448" t="s">
        <v>66</v>
      </c>
      <c r="F448" t="s">
        <v>92</v>
      </c>
      <c r="G448" t="s">
        <v>45</v>
      </c>
      <c r="H448" t="s">
        <v>52</v>
      </c>
      <c r="I448">
        <v>1</v>
      </c>
      <c r="J448" s="8">
        <v>49100</v>
      </c>
      <c r="K448">
        <v>10</v>
      </c>
      <c r="L448" t="s">
        <v>73</v>
      </c>
      <c r="M448" s="5">
        <f>Cleaned_Data[[#This Row],[Quantity]]*Cleaned_Data[[#This Row],[Unit_Price]]</f>
        <v>49100</v>
      </c>
      <c r="N448" s="7">
        <f>Cleaned_Data[[#This Row],[Total_sales]]*(Cleaned_Data[[#This Row],[Discount_Percent]]/100)</f>
        <v>4910</v>
      </c>
      <c r="O448" s="7">
        <f>Cleaned_Data[[#This Row],[Total_sales]]-Cleaned_Data[[#This Row],[Discount_Amount]]</f>
        <v>44190</v>
      </c>
      <c r="P448" t="str">
        <f>TEXT(Cleaned_Data[[#This Row],[Order_Date]],"MMM-YYYY")</f>
        <v>Jul-2023</v>
      </c>
      <c r="Q448" t="str">
        <f>"Q"&amp;ROUNDUP(MONTH(Cleaned_Data[[#This Row],[Order_Date]])/3,0)&amp;"-2023"</f>
        <v>Q3-2023</v>
      </c>
      <c r="R448" t="str">
        <f>TEXT(Cleaned_Data[[#This Row],[Order_Date]],"DDD")</f>
        <v>Fri</v>
      </c>
      <c r="S448" t="str">
        <f>IF(Cleaned_Data[[#This Row],[Net_Sales]]&gt;=100000,"High",IF(Cleaned_Data[[#This Row],[Net_Sales]]&gt;=50000,"Medium","Low"))</f>
        <v>Low</v>
      </c>
    </row>
    <row r="449" spans="1:19" x14ac:dyDescent="0.3">
      <c r="A449" t="s">
        <v>597</v>
      </c>
      <c r="B449" s="1">
        <v>45121</v>
      </c>
      <c r="C449" t="s">
        <v>115</v>
      </c>
      <c r="D449" t="s">
        <v>116</v>
      </c>
      <c r="E449" t="s">
        <v>66</v>
      </c>
      <c r="F449" t="s">
        <v>72</v>
      </c>
      <c r="G449" t="s">
        <v>45</v>
      </c>
      <c r="H449" t="s">
        <v>46</v>
      </c>
      <c r="I449">
        <v>1</v>
      </c>
      <c r="J449" s="8">
        <v>32200</v>
      </c>
      <c r="K449">
        <v>20</v>
      </c>
      <c r="L449" t="s">
        <v>103</v>
      </c>
      <c r="M449" s="5">
        <f>Cleaned_Data[[#This Row],[Quantity]]*Cleaned_Data[[#This Row],[Unit_Price]]</f>
        <v>32200</v>
      </c>
      <c r="N449" s="7">
        <f>Cleaned_Data[[#This Row],[Total_sales]]*(Cleaned_Data[[#This Row],[Discount_Percent]]/100)</f>
        <v>6440</v>
      </c>
      <c r="O449" s="7">
        <f>Cleaned_Data[[#This Row],[Total_sales]]-Cleaned_Data[[#This Row],[Discount_Amount]]</f>
        <v>25760</v>
      </c>
      <c r="P449" t="str">
        <f>TEXT(Cleaned_Data[[#This Row],[Order_Date]],"MMM-YYYY")</f>
        <v>Jul-2023</v>
      </c>
      <c r="Q449" t="str">
        <f>"Q"&amp;ROUNDUP(MONTH(Cleaned_Data[[#This Row],[Order_Date]])/3,0)&amp;"-2023"</f>
        <v>Q3-2023</v>
      </c>
      <c r="R449" t="str">
        <f>TEXT(Cleaned_Data[[#This Row],[Order_Date]],"DDD")</f>
        <v>Fri</v>
      </c>
      <c r="S449" t="str">
        <f>IF(Cleaned_Data[[#This Row],[Net_Sales]]&gt;=100000,"High",IF(Cleaned_Data[[#This Row],[Net_Sales]]&gt;=50000,"Medium","Low"))</f>
        <v>Low</v>
      </c>
    </row>
    <row r="450" spans="1:19" x14ac:dyDescent="0.3">
      <c r="A450" t="s">
        <v>598</v>
      </c>
      <c r="B450" s="1">
        <v>45121</v>
      </c>
      <c r="C450" t="s">
        <v>79</v>
      </c>
      <c r="D450" t="s">
        <v>80</v>
      </c>
      <c r="E450" t="s">
        <v>15</v>
      </c>
      <c r="F450" t="s">
        <v>128</v>
      </c>
      <c r="G450" t="s">
        <v>39</v>
      </c>
      <c r="H450" t="s">
        <v>40</v>
      </c>
      <c r="I450">
        <v>1</v>
      </c>
      <c r="J450" s="8">
        <v>24000</v>
      </c>
      <c r="K450">
        <v>0</v>
      </c>
      <c r="L450" t="s">
        <v>103</v>
      </c>
      <c r="M450" s="5">
        <f>Cleaned_Data[[#This Row],[Quantity]]*Cleaned_Data[[#This Row],[Unit_Price]]</f>
        <v>24000</v>
      </c>
      <c r="N450" s="7">
        <f>Cleaned_Data[[#This Row],[Total_sales]]*(Cleaned_Data[[#This Row],[Discount_Percent]]/100)</f>
        <v>0</v>
      </c>
      <c r="O450" s="7">
        <f>Cleaned_Data[[#This Row],[Total_sales]]-Cleaned_Data[[#This Row],[Discount_Amount]]</f>
        <v>24000</v>
      </c>
      <c r="P450" t="str">
        <f>TEXT(Cleaned_Data[[#This Row],[Order_Date]],"MMM-YYYY")</f>
        <v>Jul-2023</v>
      </c>
      <c r="Q450" t="str">
        <f>"Q"&amp;ROUNDUP(MONTH(Cleaned_Data[[#This Row],[Order_Date]])/3,0)&amp;"-2023"</f>
        <v>Q3-2023</v>
      </c>
      <c r="R450" t="str">
        <f>TEXT(Cleaned_Data[[#This Row],[Order_Date]],"DDD")</f>
        <v>Fri</v>
      </c>
      <c r="S450" t="str">
        <f>IF(Cleaned_Data[[#This Row],[Net_Sales]]&gt;=100000,"High",IF(Cleaned_Data[[#This Row],[Net_Sales]]&gt;=50000,"Medium","Low"))</f>
        <v>Low</v>
      </c>
    </row>
    <row r="451" spans="1:19" x14ac:dyDescent="0.3">
      <c r="A451" t="s">
        <v>599</v>
      </c>
      <c r="B451" s="1">
        <v>45152</v>
      </c>
      <c r="C451" t="s">
        <v>284</v>
      </c>
      <c r="D451" t="s">
        <v>285</v>
      </c>
      <c r="E451" t="s">
        <v>66</v>
      </c>
      <c r="F451" t="s">
        <v>92</v>
      </c>
      <c r="G451" t="s">
        <v>39</v>
      </c>
      <c r="H451" t="s">
        <v>102</v>
      </c>
      <c r="I451">
        <v>1</v>
      </c>
      <c r="J451" s="8">
        <v>24300</v>
      </c>
      <c r="K451">
        <v>15</v>
      </c>
      <c r="L451" t="s">
        <v>53</v>
      </c>
      <c r="M451" s="5">
        <f>Cleaned_Data[[#This Row],[Quantity]]*Cleaned_Data[[#This Row],[Unit_Price]]</f>
        <v>24300</v>
      </c>
      <c r="N451" s="7">
        <f>Cleaned_Data[[#This Row],[Total_sales]]*(Cleaned_Data[[#This Row],[Discount_Percent]]/100)</f>
        <v>3645</v>
      </c>
      <c r="O451" s="7">
        <f>Cleaned_Data[[#This Row],[Total_sales]]-Cleaned_Data[[#This Row],[Discount_Amount]]</f>
        <v>20655</v>
      </c>
      <c r="P451" t="str">
        <f>TEXT(Cleaned_Data[[#This Row],[Order_Date]],"MMM-YYYY")</f>
        <v>Aug-2023</v>
      </c>
      <c r="Q451" t="str">
        <f>"Q"&amp;ROUNDUP(MONTH(Cleaned_Data[[#This Row],[Order_Date]])/3,0)&amp;"-2023"</f>
        <v>Q3-2023</v>
      </c>
      <c r="R451" t="str">
        <f>TEXT(Cleaned_Data[[#This Row],[Order_Date]],"DDD")</f>
        <v>Mon</v>
      </c>
      <c r="S451" t="str">
        <f>IF(Cleaned_Data[[#This Row],[Net_Sales]]&gt;=100000,"High",IF(Cleaned_Data[[#This Row],[Net_Sales]]&gt;=50000,"Medium","Low"))</f>
        <v>Low</v>
      </c>
    </row>
    <row r="452" spans="1:19" x14ac:dyDescent="0.3">
      <c r="A452" t="s">
        <v>600</v>
      </c>
      <c r="B452" s="1">
        <v>45183</v>
      </c>
      <c r="C452" t="s">
        <v>122</v>
      </c>
      <c r="D452" t="s">
        <v>123</v>
      </c>
      <c r="E452" t="s">
        <v>37</v>
      </c>
      <c r="F452" t="s">
        <v>38</v>
      </c>
      <c r="G452" t="s">
        <v>45</v>
      </c>
      <c r="H452" t="s">
        <v>156</v>
      </c>
      <c r="I452">
        <v>1</v>
      </c>
      <c r="J452" s="8">
        <v>50000</v>
      </c>
      <c r="K452">
        <v>20</v>
      </c>
      <c r="L452" t="s">
        <v>53</v>
      </c>
      <c r="M452" s="5">
        <f>Cleaned_Data[[#This Row],[Quantity]]*Cleaned_Data[[#This Row],[Unit_Price]]</f>
        <v>50000</v>
      </c>
      <c r="N452" s="7">
        <f>Cleaned_Data[[#This Row],[Total_sales]]*(Cleaned_Data[[#This Row],[Discount_Percent]]/100)</f>
        <v>10000</v>
      </c>
      <c r="O452" s="7">
        <f>Cleaned_Data[[#This Row],[Total_sales]]-Cleaned_Data[[#This Row],[Discount_Amount]]</f>
        <v>40000</v>
      </c>
      <c r="P452" t="str">
        <f>TEXT(Cleaned_Data[[#This Row],[Order_Date]],"MMM-YYYY")</f>
        <v>Sep-2023</v>
      </c>
      <c r="Q452" t="str">
        <f>"Q"&amp;ROUNDUP(MONTH(Cleaned_Data[[#This Row],[Order_Date]])/3,0)&amp;"-2023"</f>
        <v>Q3-2023</v>
      </c>
      <c r="R452" t="str">
        <f>TEXT(Cleaned_Data[[#This Row],[Order_Date]],"DDD")</f>
        <v>Thu</v>
      </c>
      <c r="S452" t="str">
        <f>IF(Cleaned_Data[[#This Row],[Net_Sales]]&gt;=100000,"High",IF(Cleaned_Data[[#This Row],[Net_Sales]]&gt;=50000,"Medium","Low"))</f>
        <v>Low</v>
      </c>
    </row>
    <row r="453" spans="1:19" x14ac:dyDescent="0.3">
      <c r="A453" t="s">
        <v>601</v>
      </c>
      <c r="B453" s="1">
        <v>45183</v>
      </c>
      <c r="C453" t="s">
        <v>59</v>
      </c>
      <c r="D453" t="s">
        <v>60</v>
      </c>
      <c r="E453" t="s">
        <v>23</v>
      </c>
      <c r="F453" t="s">
        <v>51</v>
      </c>
      <c r="G453" t="s">
        <v>39</v>
      </c>
      <c r="H453" t="s">
        <v>57</v>
      </c>
      <c r="I453">
        <v>1</v>
      </c>
      <c r="J453" s="8">
        <v>32500</v>
      </c>
      <c r="K453">
        <v>10</v>
      </c>
      <c r="L453" t="s">
        <v>53</v>
      </c>
      <c r="M453" s="5">
        <f>Cleaned_Data[[#This Row],[Quantity]]*Cleaned_Data[[#This Row],[Unit_Price]]</f>
        <v>32500</v>
      </c>
      <c r="N453" s="7">
        <f>Cleaned_Data[[#This Row],[Total_sales]]*(Cleaned_Data[[#This Row],[Discount_Percent]]/100)</f>
        <v>3250</v>
      </c>
      <c r="O453" s="7">
        <f>Cleaned_Data[[#This Row],[Total_sales]]-Cleaned_Data[[#This Row],[Discount_Amount]]</f>
        <v>29250</v>
      </c>
      <c r="P453" t="str">
        <f>TEXT(Cleaned_Data[[#This Row],[Order_Date]],"MMM-YYYY")</f>
        <v>Sep-2023</v>
      </c>
      <c r="Q453" t="str">
        <f>"Q"&amp;ROUNDUP(MONTH(Cleaned_Data[[#This Row],[Order_Date]])/3,0)&amp;"-2023"</f>
        <v>Q3-2023</v>
      </c>
      <c r="R453" t="str">
        <f>TEXT(Cleaned_Data[[#This Row],[Order_Date]],"DDD")</f>
        <v>Thu</v>
      </c>
      <c r="S453" t="str">
        <f>IF(Cleaned_Data[[#This Row],[Net_Sales]]&gt;=100000,"High",IF(Cleaned_Data[[#This Row],[Net_Sales]]&gt;=50000,"Medium","Low"))</f>
        <v>Low</v>
      </c>
    </row>
    <row r="454" spans="1:19" x14ac:dyDescent="0.3">
      <c r="A454" t="s">
        <v>602</v>
      </c>
      <c r="B454" s="1">
        <v>45183</v>
      </c>
      <c r="C454" t="s">
        <v>29</v>
      </c>
      <c r="D454" t="s">
        <v>30</v>
      </c>
      <c r="E454" t="s">
        <v>66</v>
      </c>
      <c r="F454" t="s">
        <v>87</v>
      </c>
      <c r="G454" t="s">
        <v>17</v>
      </c>
      <c r="H454" t="s">
        <v>77</v>
      </c>
      <c r="I454">
        <v>1</v>
      </c>
      <c r="J454" s="8">
        <v>19300</v>
      </c>
      <c r="K454">
        <v>20</v>
      </c>
      <c r="L454" t="s">
        <v>73</v>
      </c>
      <c r="M454" s="5">
        <f>Cleaned_Data[[#This Row],[Quantity]]*Cleaned_Data[[#This Row],[Unit_Price]]</f>
        <v>19300</v>
      </c>
      <c r="N454" s="7">
        <f>Cleaned_Data[[#This Row],[Total_sales]]*(Cleaned_Data[[#This Row],[Discount_Percent]]/100)</f>
        <v>3860</v>
      </c>
      <c r="O454" s="7">
        <f>Cleaned_Data[[#This Row],[Total_sales]]-Cleaned_Data[[#This Row],[Discount_Amount]]</f>
        <v>15440</v>
      </c>
      <c r="P454" t="str">
        <f>TEXT(Cleaned_Data[[#This Row],[Order_Date]],"MMM-YYYY")</f>
        <v>Sep-2023</v>
      </c>
      <c r="Q454" t="str">
        <f>"Q"&amp;ROUNDUP(MONTH(Cleaned_Data[[#This Row],[Order_Date]])/3,0)&amp;"-2023"</f>
        <v>Q3-2023</v>
      </c>
      <c r="R454" t="str">
        <f>TEXT(Cleaned_Data[[#This Row],[Order_Date]],"DDD")</f>
        <v>Thu</v>
      </c>
      <c r="S454" t="str">
        <f>IF(Cleaned_Data[[#This Row],[Net_Sales]]&gt;=100000,"High",IF(Cleaned_Data[[#This Row],[Net_Sales]]&gt;=50000,"Medium","Low"))</f>
        <v>Low</v>
      </c>
    </row>
    <row r="455" spans="1:19" x14ac:dyDescent="0.3">
      <c r="A455" t="s">
        <v>603</v>
      </c>
      <c r="B455" s="1">
        <v>45213</v>
      </c>
      <c r="C455" t="s">
        <v>163</v>
      </c>
      <c r="D455" t="s">
        <v>73</v>
      </c>
      <c r="E455" t="s">
        <v>15</v>
      </c>
      <c r="F455" t="s">
        <v>16</v>
      </c>
      <c r="G455" t="s">
        <v>45</v>
      </c>
      <c r="H455" t="s">
        <v>207</v>
      </c>
      <c r="I455">
        <v>1</v>
      </c>
      <c r="J455" s="8">
        <v>29200</v>
      </c>
      <c r="K455">
        <v>10</v>
      </c>
      <c r="L455" t="s">
        <v>53</v>
      </c>
      <c r="M455" s="5">
        <f>Cleaned_Data[[#This Row],[Quantity]]*Cleaned_Data[[#This Row],[Unit_Price]]</f>
        <v>29200</v>
      </c>
      <c r="N455" s="7">
        <f>Cleaned_Data[[#This Row],[Total_sales]]*(Cleaned_Data[[#This Row],[Discount_Percent]]/100)</f>
        <v>2920</v>
      </c>
      <c r="O455" s="7">
        <f>Cleaned_Data[[#This Row],[Total_sales]]-Cleaned_Data[[#This Row],[Discount_Amount]]</f>
        <v>26280</v>
      </c>
      <c r="P455" t="str">
        <f>TEXT(Cleaned_Data[[#This Row],[Order_Date]],"MMM-YYYY")</f>
        <v>Oct-2023</v>
      </c>
      <c r="Q455" t="str">
        <f>"Q"&amp;ROUNDUP(MONTH(Cleaned_Data[[#This Row],[Order_Date]])/3,0)&amp;"-2023"</f>
        <v>Q4-2023</v>
      </c>
      <c r="R455" t="str">
        <f>TEXT(Cleaned_Data[[#This Row],[Order_Date]],"DDD")</f>
        <v>Sat</v>
      </c>
      <c r="S455" t="str">
        <f>IF(Cleaned_Data[[#This Row],[Net_Sales]]&gt;=100000,"High",IF(Cleaned_Data[[#This Row],[Net_Sales]]&gt;=50000,"Medium","Low"))</f>
        <v>Low</v>
      </c>
    </row>
    <row r="456" spans="1:19" x14ac:dyDescent="0.3">
      <c r="A456" t="s">
        <v>604</v>
      </c>
      <c r="B456" s="1">
        <v>45213</v>
      </c>
      <c r="C456" t="s">
        <v>163</v>
      </c>
      <c r="D456" t="s">
        <v>73</v>
      </c>
      <c r="E456" t="s">
        <v>15</v>
      </c>
      <c r="F456" t="s">
        <v>131</v>
      </c>
      <c r="G456" t="s">
        <v>25</v>
      </c>
      <c r="H456" t="s">
        <v>212</v>
      </c>
      <c r="I456">
        <v>2</v>
      </c>
      <c r="J456" s="8">
        <v>1300</v>
      </c>
      <c r="K456">
        <v>0</v>
      </c>
      <c r="L456" t="s">
        <v>62</v>
      </c>
      <c r="M456" s="5">
        <f>Cleaned_Data[[#This Row],[Quantity]]*Cleaned_Data[[#This Row],[Unit_Price]]</f>
        <v>2600</v>
      </c>
      <c r="N456" s="7">
        <f>Cleaned_Data[[#This Row],[Total_sales]]*(Cleaned_Data[[#This Row],[Discount_Percent]]/100)</f>
        <v>0</v>
      </c>
      <c r="O456" s="7">
        <f>Cleaned_Data[[#This Row],[Total_sales]]-Cleaned_Data[[#This Row],[Discount_Amount]]</f>
        <v>2600</v>
      </c>
      <c r="P456" t="str">
        <f>TEXT(Cleaned_Data[[#This Row],[Order_Date]],"MMM-YYYY")</f>
        <v>Oct-2023</v>
      </c>
      <c r="Q456" t="str">
        <f>"Q"&amp;ROUNDUP(MONTH(Cleaned_Data[[#This Row],[Order_Date]])/3,0)&amp;"-2023"</f>
        <v>Q4-2023</v>
      </c>
      <c r="R456" t="str">
        <f>TEXT(Cleaned_Data[[#This Row],[Order_Date]],"DDD")</f>
        <v>Sat</v>
      </c>
      <c r="S456" t="str">
        <f>IF(Cleaned_Data[[#This Row],[Net_Sales]]&gt;=100000,"High",IF(Cleaned_Data[[#This Row],[Net_Sales]]&gt;=50000,"Medium","Low"))</f>
        <v>Low</v>
      </c>
    </row>
    <row r="457" spans="1:19" x14ac:dyDescent="0.3">
      <c r="A457" t="s">
        <v>605</v>
      </c>
      <c r="B457" s="1">
        <v>45213</v>
      </c>
      <c r="C457" t="s">
        <v>284</v>
      </c>
      <c r="D457" t="s">
        <v>285</v>
      </c>
      <c r="E457" t="s">
        <v>81</v>
      </c>
      <c r="F457" t="s">
        <v>110</v>
      </c>
      <c r="G457" t="s">
        <v>17</v>
      </c>
      <c r="H457" t="s">
        <v>18</v>
      </c>
      <c r="I457">
        <v>1</v>
      </c>
      <c r="J457" s="8">
        <v>34100</v>
      </c>
      <c r="K457">
        <v>0</v>
      </c>
      <c r="L457" t="s">
        <v>53</v>
      </c>
      <c r="M457" s="5">
        <f>Cleaned_Data[[#This Row],[Quantity]]*Cleaned_Data[[#This Row],[Unit_Price]]</f>
        <v>34100</v>
      </c>
      <c r="N457" s="7">
        <f>Cleaned_Data[[#This Row],[Total_sales]]*(Cleaned_Data[[#This Row],[Discount_Percent]]/100)</f>
        <v>0</v>
      </c>
      <c r="O457" s="7">
        <f>Cleaned_Data[[#This Row],[Total_sales]]-Cleaned_Data[[#This Row],[Discount_Amount]]</f>
        <v>34100</v>
      </c>
      <c r="P457" t="str">
        <f>TEXT(Cleaned_Data[[#This Row],[Order_Date]],"MMM-YYYY")</f>
        <v>Oct-2023</v>
      </c>
      <c r="Q457" t="str">
        <f>"Q"&amp;ROUNDUP(MONTH(Cleaned_Data[[#This Row],[Order_Date]])/3,0)&amp;"-2023"</f>
        <v>Q4-2023</v>
      </c>
      <c r="R457" t="str">
        <f>TEXT(Cleaned_Data[[#This Row],[Order_Date]],"DDD")</f>
        <v>Sat</v>
      </c>
      <c r="S457" t="str">
        <f>IF(Cleaned_Data[[#This Row],[Net_Sales]]&gt;=100000,"High",IF(Cleaned_Data[[#This Row],[Net_Sales]]&gt;=50000,"Medium","Low"))</f>
        <v>Low</v>
      </c>
    </row>
    <row r="458" spans="1:19" x14ac:dyDescent="0.3">
      <c r="A458" t="s">
        <v>606</v>
      </c>
      <c r="B458" s="1">
        <v>45244</v>
      </c>
      <c r="C458" t="s">
        <v>135</v>
      </c>
      <c r="D458" t="s">
        <v>136</v>
      </c>
      <c r="E458" t="s">
        <v>37</v>
      </c>
      <c r="F458" t="s">
        <v>38</v>
      </c>
      <c r="G458" t="s">
        <v>17</v>
      </c>
      <c r="H458" t="s">
        <v>196</v>
      </c>
      <c r="I458">
        <v>1</v>
      </c>
      <c r="J458" s="8">
        <v>21000</v>
      </c>
      <c r="K458">
        <v>10</v>
      </c>
      <c r="L458" t="s">
        <v>62</v>
      </c>
      <c r="M458" s="5">
        <f>Cleaned_Data[[#This Row],[Quantity]]*Cleaned_Data[[#This Row],[Unit_Price]]</f>
        <v>21000</v>
      </c>
      <c r="N458" s="7">
        <f>Cleaned_Data[[#This Row],[Total_sales]]*(Cleaned_Data[[#This Row],[Discount_Percent]]/100)</f>
        <v>2100</v>
      </c>
      <c r="O458" s="7">
        <f>Cleaned_Data[[#This Row],[Total_sales]]-Cleaned_Data[[#This Row],[Discount_Amount]]</f>
        <v>18900</v>
      </c>
      <c r="P458" t="str">
        <f>TEXT(Cleaned_Data[[#This Row],[Order_Date]],"MMM-YYYY")</f>
        <v>Nov-2023</v>
      </c>
      <c r="Q458" t="str">
        <f>"Q"&amp;ROUNDUP(MONTH(Cleaned_Data[[#This Row],[Order_Date]])/3,0)&amp;"-2023"</f>
        <v>Q4-2023</v>
      </c>
      <c r="R458" t="str">
        <f>TEXT(Cleaned_Data[[#This Row],[Order_Date]],"DDD")</f>
        <v>Tue</v>
      </c>
      <c r="S458" t="str">
        <f>IF(Cleaned_Data[[#This Row],[Net_Sales]]&gt;=100000,"High",IF(Cleaned_Data[[#This Row],[Net_Sales]]&gt;=50000,"Medium","Low"))</f>
        <v>Low</v>
      </c>
    </row>
    <row r="459" spans="1:19" x14ac:dyDescent="0.3">
      <c r="A459" t="s">
        <v>607</v>
      </c>
      <c r="B459" s="1">
        <v>45244</v>
      </c>
      <c r="C459" t="s">
        <v>49</v>
      </c>
      <c r="D459" t="s">
        <v>50</v>
      </c>
      <c r="E459" t="s">
        <v>23</v>
      </c>
      <c r="F459" t="s">
        <v>44</v>
      </c>
      <c r="G459" t="s">
        <v>39</v>
      </c>
      <c r="H459" t="s">
        <v>40</v>
      </c>
      <c r="I459">
        <v>1</v>
      </c>
      <c r="J459" s="8">
        <v>32300</v>
      </c>
      <c r="K459">
        <v>5</v>
      </c>
      <c r="L459" t="s">
        <v>53</v>
      </c>
      <c r="M459" s="5">
        <f>Cleaned_Data[[#This Row],[Quantity]]*Cleaned_Data[[#This Row],[Unit_Price]]</f>
        <v>32300</v>
      </c>
      <c r="N459" s="7">
        <f>Cleaned_Data[[#This Row],[Total_sales]]*(Cleaned_Data[[#This Row],[Discount_Percent]]/100)</f>
        <v>1615</v>
      </c>
      <c r="O459" s="7">
        <f>Cleaned_Data[[#This Row],[Total_sales]]-Cleaned_Data[[#This Row],[Discount_Amount]]</f>
        <v>30685</v>
      </c>
      <c r="P459" t="str">
        <f>TEXT(Cleaned_Data[[#This Row],[Order_Date]],"MMM-YYYY")</f>
        <v>Nov-2023</v>
      </c>
      <c r="Q459" t="str">
        <f>"Q"&amp;ROUNDUP(MONTH(Cleaned_Data[[#This Row],[Order_Date]])/3,0)&amp;"-2023"</f>
        <v>Q4-2023</v>
      </c>
      <c r="R459" t="str">
        <f>TEXT(Cleaned_Data[[#This Row],[Order_Date]],"DDD")</f>
        <v>Tue</v>
      </c>
      <c r="S459" t="str">
        <f>IF(Cleaned_Data[[#This Row],[Net_Sales]]&gt;=100000,"High",IF(Cleaned_Data[[#This Row],[Net_Sales]]&gt;=50000,"Medium","Low"))</f>
        <v>Low</v>
      </c>
    </row>
    <row r="460" spans="1:19" x14ac:dyDescent="0.3">
      <c r="A460" t="s">
        <v>608</v>
      </c>
      <c r="B460" s="1">
        <v>45244</v>
      </c>
      <c r="C460" t="s">
        <v>130</v>
      </c>
      <c r="D460" t="s">
        <v>53</v>
      </c>
      <c r="E460" t="s">
        <v>81</v>
      </c>
      <c r="F460" t="s">
        <v>82</v>
      </c>
      <c r="G460" t="s">
        <v>17</v>
      </c>
      <c r="H460" t="s">
        <v>77</v>
      </c>
      <c r="I460">
        <v>1</v>
      </c>
      <c r="J460" s="8">
        <v>26500</v>
      </c>
      <c r="K460">
        <v>0</v>
      </c>
      <c r="L460" t="s">
        <v>27</v>
      </c>
      <c r="M460" s="5">
        <f>Cleaned_Data[[#This Row],[Quantity]]*Cleaned_Data[[#This Row],[Unit_Price]]</f>
        <v>26500</v>
      </c>
      <c r="N460" s="7">
        <f>Cleaned_Data[[#This Row],[Total_sales]]*(Cleaned_Data[[#This Row],[Discount_Percent]]/100)</f>
        <v>0</v>
      </c>
      <c r="O460" s="7">
        <f>Cleaned_Data[[#This Row],[Total_sales]]-Cleaned_Data[[#This Row],[Discount_Amount]]</f>
        <v>26500</v>
      </c>
      <c r="P460" t="str">
        <f>TEXT(Cleaned_Data[[#This Row],[Order_Date]],"MMM-YYYY")</f>
        <v>Nov-2023</v>
      </c>
      <c r="Q460" t="str">
        <f>"Q"&amp;ROUNDUP(MONTH(Cleaned_Data[[#This Row],[Order_Date]])/3,0)&amp;"-2023"</f>
        <v>Q4-2023</v>
      </c>
      <c r="R460" t="str">
        <f>TEXT(Cleaned_Data[[#This Row],[Order_Date]],"DDD")</f>
        <v>Tue</v>
      </c>
      <c r="S460" t="str">
        <f>IF(Cleaned_Data[[#This Row],[Net_Sales]]&gt;=100000,"High",IF(Cleaned_Data[[#This Row],[Net_Sales]]&gt;=50000,"Medium","Low"))</f>
        <v>Low</v>
      </c>
    </row>
    <row r="461" spans="1:19" x14ac:dyDescent="0.3">
      <c r="A461" t="s">
        <v>609</v>
      </c>
      <c r="B461" s="1">
        <v>45244</v>
      </c>
      <c r="C461" t="s">
        <v>95</v>
      </c>
      <c r="D461" t="s">
        <v>96</v>
      </c>
      <c r="E461" t="s">
        <v>23</v>
      </c>
      <c r="F461" t="s">
        <v>51</v>
      </c>
      <c r="G461" t="s">
        <v>45</v>
      </c>
      <c r="H461" t="s">
        <v>156</v>
      </c>
      <c r="I461">
        <v>2</v>
      </c>
      <c r="J461" s="8">
        <v>34600</v>
      </c>
      <c r="K461">
        <v>15</v>
      </c>
      <c r="L461" t="s">
        <v>47</v>
      </c>
      <c r="M461" s="5">
        <f>Cleaned_Data[[#This Row],[Quantity]]*Cleaned_Data[[#This Row],[Unit_Price]]</f>
        <v>69200</v>
      </c>
      <c r="N461" s="7">
        <f>Cleaned_Data[[#This Row],[Total_sales]]*(Cleaned_Data[[#This Row],[Discount_Percent]]/100)</f>
        <v>10380</v>
      </c>
      <c r="O461" s="7">
        <f>Cleaned_Data[[#This Row],[Total_sales]]-Cleaned_Data[[#This Row],[Discount_Amount]]</f>
        <v>58820</v>
      </c>
      <c r="P461" t="str">
        <f>TEXT(Cleaned_Data[[#This Row],[Order_Date]],"MMM-YYYY")</f>
        <v>Nov-2023</v>
      </c>
      <c r="Q461" t="str">
        <f>"Q"&amp;ROUNDUP(MONTH(Cleaned_Data[[#This Row],[Order_Date]])/3,0)&amp;"-2023"</f>
        <v>Q4-2023</v>
      </c>
      <c r="R461" t="str">
        <f>TEXT(Cleaned_Data[[#This Row],[Order_Date]],"DDD")</f>
        <v>Tue</v>
      </c>
      <c r="S461" t="str">
        <f>IF(Cleaned_Data[[#This Row],[Net_Sales]]&gt;=100000,"High",IF(Cleaned_Data[[#This Row],[Net_Sales]]&gt;=50000,"Medium","Low"))</f>
        <v>Medium</v>
      </c>
    </row>
    <row r="462" spans="1:19" x14ac:dyDescent="0.3">
      <c r="A462" t="s">
        <v>610</v>
      </c>
      <c r="B462" s="1">
        <v>45244</v>
      </c>
      <c r="C462" t="s">
        <v>158</v>
      </c>
      <c r="D462" t="s">
        <v>159</v>
      </c>
      <c r="E462" t="s">
        <v>81</v>
      </c>
      <c r="F462" t="s">
        <v>117</v>
      </c>
      <c r="G462" t="s">
        <v>97</v>
      </c>
      <c r="H462" t="s">
        <v>174</v>
      </c>
      <c r="I462">
        <v>2</v>
      </c>
      <c r="J462" s="8">
        <v>41400</v>
      </c>
      <c r="K462">
        <v>5</v>
      </c>
      <c r="L462" t="s">
        <v>103</v>
      </c>
      <c r="M462" s="5">
        <f>Cleaned_Data[[#This Row],[Quantity]]*Cleaned_Data[[#This Row],[Unit_Price]]</f>
        <v>82800</v>
      </c>
      <c r="N462" s="7">
        <f>Cleaned_Data[[#This Row],[Total_sales]]*(Cleaned_Data[[#This Row],[Discount_Percent]]/100)</f>
        <v>4140</v>
      </c>
      <c r="O462" s="7">
        <f>Cleaned_Data[[#This Row],[Total_sales]]-Cleaned_Data[[#This Row],[Discount_Amount]]</f>
        <v>78660</v>
      </c>
      <c r="P462" t="str">
        <f>TEXT(Cleaned_Data[[#This Row],[Order_Date]],"MMM-YYYY")</f>
        <v>Nov-2023</v>
      </c>
      <c r="Q462" t="str">
        <f>"Q"&amp;ROUNDUP(MONTH(Cleaned_Data[[#This Row],[Order_Date]])/3,0)&amp;"-2023"</f>
        <v>Q4-2023</v>
      </c>
      <c r="R462" t="str">
        <f>TEXT(Cleaned_Data[[#This Row],[Order_Date]],"DDD")</f>
        <v>Tue</v>
      </c>
      <c r="S462" t="str">
        <f>IF(Cleaned_Data[[#This Row],[Net_Sales]]&gt;=100000,"High",IF(Cleaned_Data[[#This Row],[Net_Sales]]&gt;=50000,"Medium","Low"))</f>
        <v>Medium</v>
      </c>
    </row>
    <row r="463" spans="1:19" x14ac:dyDescent="0.3">
      <c r="A463" t="s">
        <v>611</v>
      </c>
      <c r="B463" s="1">
        <v>45274</v>
      </c>
      <c r="C463" t="s">
        <v>21</v>
      </c>
      <c r="D463" t="s">
        <v>22</v>
      </c>
      <c r="E463" t="s">
        <v>15</v>
      </c>
      <c r="F463" t="s">
        <v>131</v>
      </c>
      <c r="G463" t="s">
        <v>45</v>
      </c>
      <c r="H463" t="s">
        <v>207</v>
      </c>
      <c r="I463">
        <v>1</v>
      </c>
      <c r="J463" s="8">
        <v>27000</v>
      </c>
      <c r="K463">
        <v>10</v>
      </c>
      <c r="L463" t="s">
        <v>33</v>
      </c>
      <c r="M463" s="5">
        <f>Cleaned_Data[[#This Row],[Quantity]]*Cleaned_Data[[#This Row],[Unit_Price]]</f>
        <v>27000</v>
      </c>
      <c r="N463" s="7">
        <f>Cleaned_Data[[#This Row],[Total_sales]]*(Cleaned_Data[[#This Row],[Discount_Percent]]/100)</f>
        <v>2700</v>
      </c>
      <c r="O463" s="7">
        <f>Cleaned_Data[[#This Row],[Total_sales]]-Cleaned_Data[[#This Row],[Discount_Amount]]</f>
        <v>24300</v>
      </c>
      <c r="P463" t="str">
        <f>TEXT(Cleaned_Data[[#This Row],[Order_Date]],"MMM-YYYY")</f>
        <v>Dec-2023</v>
      </c>
      <c r="Q463" t="str">
        <f>"Q"&amp;ROUNDUP(MONTH(Cleaned_Data[[#This Row],[Order_Date]])/3,0)&amp;"-2023"</f>
        <v>Q4-2023</v>
      </c>
      <c r="R463" t="str">
        <f>TEXT(Cleaned_Data[[#This Row],[Order_Date]],"DDD")</f>
        <v>Thu</v>
      </c>
      <c r="S463" t="str">
        <f>IF(Cleaned_Data[[#This Row],[Net_Sales]]&gt;=100000,"High",IF(Cleaned_Data[[#This Row],[Net_Sales]]&gt;=50000,"Medium","Low"))</f>
        <v>Low</v>
      </c>
    </row>
    <row r="464" spans="1:19" x14ac:dyDescent="0.3">
      <c r="A464" t="s">
        <v>612</v>
      </c>
      <c r="B464" s="1">
        <v>45274</v>
      </c>
      <c r="C464" t="s">
        <v>151</v>
      </c>
      <c r="D464" t="s">
        <v>152</v>
      </c>
      <c r="E464" t="s">
        <v>15</v>
      </c>
      <c r="F464" t="s">
        <v>128</v>
      </c>
      <c r="G464" t="s">
        <v>39</v>
      </c>
      <c r="H464" t="s">
        <v>57</v>
      </c>
      <c r="I464">
        <v>1</v>
      </c>
      <c r="J464" s="8">
        <v>12800</v>
      </c>
      <c r="K464">
        <v>5</v>
      </c>
      <c r="L464" t="s">
        <v>53</v>
      </c>
      <c r="M464" s="5">
        <f>Cleaned_Data[[#This Row],[Quantity]]*Cleaned_Data[[#This Row],[Unit_Price]]</f>
        <v>12800</v>
      </c>
      <c r="N464" s="7">
        <f>Cleaned_Data[[#This Row],[Total_sales]]*(Cleaned_Data[[#This Row],[Discount_Percent]]/100)</f>
        <v>640</v>
      </c>
      <c r="O464" s="7">
        <f>Cleaned_Data[[#This Row],[Total_sales]]-Cleaned_Data[[#This Row],[Discount_Amount]]</f>
        <v>12160</v>
      </c>
      <c r="P464" t="str">
        <f>TEXT(Cleaned_Data[[#This Row],[Order_Date]],"MMM-YYYY")</f>
        <v>Dec-2023</v>
      </c>
      <c r="Q464" t="str">
        <f>"Q"&amp;ROUNDUP(MONTH(Cleaned_Data[[#This Row],[Order_Date]])/3,0)&amp;"-2023"</f>
        <v>Q4-2023</v>
      </c>
      <c r="R464" t="str">
        <f>TEXT(Cleaned_Data[[#This Row],[Order_Date]],"DDD")</f>
        <v>Thu</v>
      </c>
      <c r="S464" t="str">
        <f>IF(Cleaned_Data[[#This Row],[Net_Sales]]&gt;=100000,"High",IF(Cleaned_Data[[#This Row],[Net_Sales]]&gt;=50000,"Medium","Low"))</f>
        <v>Low</v>
      </c>
    </row>
    <row r="465" spans="1:19" x14ac:dyDescent="0.3">
      <c r="A465" t="s">
        <v>613</v>
      </c>
      <c r="B465" s="1">
        <v>45274</v>
      </c>
      <c r="C465" t="s">
        <v>122</v>
      </c>
      <c r="D465" t="s">
        <v>123</v>
      </c>
      <c r="E465" t="s">
        <v>81</v>
      </c>
      <c r="F465" t="s">
        <v>110</v>
      </c>
      <c r="G465" t="s">
        <v>25</v>
      </c>
      <c r="H465" t="s">
        <v>212</v>
      </c>
      <c r="I465">
        <v>2</v>
      </c>
      <c r="J465" s="8">
        <v>1000</v>
      </c>
      <c r="K465">
        <v>10</v>
      </c>
      <c r="L465" t="s">
        <v>73</v>
      </c>
      <c r="M465" s="5">
        <f>Cleaned_Data[[#This Row],[Quantity]]*Cleaned_Data[[#This Row],[Unit_Price]]</f>
        <v>2000</v>
      </c>
      <c r="N465" s="7">
        <f>Cleaned_Data[[#This Row],[Total_sales]]*(Cleaned_Data[[#This Row],[Discount_Percent]]/100)</f>
        <v>200</v>
      </c>
      <c r="O465" s="7">
        <f>Cleaned_Data[[#This Row],[Total_sales]]-Cleaned_Data[[#This Row],[Discount_Amount]]</f>
        <v>1800</v>
      </c>
      <c r="P465" t="str">
        <f>TEXT(Cleaned_Data[[#This Row],[Order_Date]],"MMM-YYYY")</f>
        <v>Dec-2023</v>
      </c>
      <c r="Q465" t="str">
        <f>"Q"&amp;ROUNDUP(MONTH(Cleaned_Data[[#This Row],[Order_Date]])/3,0)&amp;"-2023"</f>
        <v>Q4-2023</v>
      </c>
      <c r="R465" t="str">
        <f>TEXT(Cleaned_Data[[#This Row],[Order_Date]],"DDD")</f>
        <v>Thu</v>
      </c>
      <c r="S465" t="str">
        <f>IF(Cleaned_Data[[#This Row],[Net_Sales]]&gt;=100000,"High",IF(Cleaned_Data[[#This Row],[Net_Sales]]&gt;=50000,"Medium","Low"))</f>
        <v>Low</v>
      </c>
    </row>
    <row r="466" spans="1:19" x14ac:dyDescent="0.3">
      <c r="A466" t="s">
        <v>614</v>
      </c>
      <c r="B466" s="1">
        <v>44941</v>
      </c>
      <c r="C466" t="s">
        <v>75</v>
      </c>
      <c r="D466" t="s">
        <v>76</v>
      </c>
      <c r="E466" t="s">
        <v>66</v>
      </c>
      <c r="F466" t="s">
        <v>92</v>
      </c>
      <c r="G466" t="s">
        <v>25</v>
      </c>
      <c r="H466" t="s">
        <v>32</v>
      </c>
      <c r="I466">
        <v>1</v>
      </c>
      <c r="J466" s="8">
        <v>1900</v>
      </c>
      <c r="K466">
        <v>15</v>
      </c>
      <c r="L466" t="s">
        <v>103</v>
      </c>
      <c r="M466" s="5">
        <f>Cleaned_Data[[#This Row],[Quantity]]*Cleaned_Data[[#This Row],[Unit_Price]]</f>
        <v>1900</v>
      </c>
      <c r="N466" s="7">
        <f>Cleaned_Data[[#This Row],[Total_sales]]*(Cleaned_Data[[#This Row],[Discount_Percent]]/100)</f>
        <v>285</v>
      </c>
      <c r="O466" s="7">
        <f>Cleaned_Data[[#This Row],[Total_sales]]-Cleaned_Data[[#This Row],[Discount_Amount]]</f>
        <v>1615</v>
      </c>
      <c r="P466" t="str">
        <f>TEXT(Cleaned_Data[[#This Row],[Order_Date]],"MMM-YYYY")</f>
        <v>Jan-2023</v>
      </c>
      <c r="Q466" t="str">
        <f>"Q"&amp;ROUNDUP(MONTH(Cleaned_Data[[#This Row],[Order_Date]])/3,0)&amp;"-2023"</f>
        <v>Q1-2023</v>
      </c>
      <c r="R466" t="str">
        <f>TEXT(Cleaned_Data[[#This Row],[Order_Date]],"DDD")</f>
        <v>Sun</v>
      </c>
      <c r="S466" t="str">
        <f>IF(Cleaned_Data[[#This Row],[Net_Sales]]&gt;=100000,"High",IF(Cleaned_Data[[#This Row],[Net_Sales]]&gt;=50000,"Medium","Low"))</f>
        <v>Low</v>
      </c>
    </row>
    <row r="467" spans="1:19" x14ac:dyDescent="0.3">
      <c r="A467" t="s">
        <v>615</v>
      </c>
      <c r="B467" s="1">
        <v>44941</v>
      </c>
      <c r="C467" t="s">
        <v>90</v>
      </c>
      <c r="D467" t="s">
        <v>91</v>
      </c>
      <c r="E467" t="s">
        <v>66</v>
      </c>
      <c r="F467" t="s">
        <v>67</v>
      </c>
      <c r="G467" t="s">
        <v>17</v>
      </c>
      <c r="H467" t="s">
        <v>18</v>
      </c>
      <c r="I467">
        <v>1</v>
      </c>
      <c r="J467" s="8">
        <v>31200</v>
      </c>
      <c r="K467">
        <v>5</v>
      </c>
      <c r="L467" t="s">
        <v>33</v>
      </c>
      <c r="M467" s="5">
        <f>Cleaned_Data[[#This Row],[Quantity]]*Cleaned_Data[[#This Row],[Unit_Price]]</f>
        <v>31200</v>
      </c>
      <c r="N467" s="7">
        <f>Cleaned_Data[[#This Row],[Total_sales]]*(Cleaned_Data[[#This Row],[Discount_Percent]]/100)</f>
        <v>1560</v>
      </c>
      <c r="O467" s="7">
        <f>Cleaned_Data[[#This Row],[Total_sales]]-Cleaned_Data[[#This Row],[Discount_Amount]]</f>
        <v>29640</v>
      </c>
      <c r="P467" t="str">
        <f>TEXT(Cleaned_Data[[#This Row],[Order_Date]],"MMM-YYYY")</f>
        <v>Jan-2023</v>
      </c>
      <c r="Q467" t="str">
        <f>"Q"&amp;ROUNDUP(MONTH(Cleaned_Data[[#This Row],[Order_Date]])/3,0)&amp;"-2023"</f>
        <v>Q1-2023</v>
      </c>
      <c r="R467" t="str">
        <f>TEXT(Cleaned_Data[[#This Row],[Order_Date]],"DDD")</f>
        <v>Sun</v>
      </c>
      <c r="S467" t="str">
        <f>IF(Cleaned_Data[[#This Row],[Net_Sales]]&gt;=100000,"High",IF(Cleaned_Data[[#This Row],[Net_Sales]]&gt;=50000,"Medium","Low"))</f>
        <v>Low</v>
      </c>
    </row>
    <row r="468" spans="1:19" x14ac:dyDescent="0.3">
      <c r="A468" t="s">
        <v>616</v>
      </c>
      <c r="B468" s="1">
        <v>44941</v>
      </c>
      <c r="C468" t="s">
        <v>143</v>
      </c>
      <c r="D468" t="s">
        <v>144</v>
      </c>
      <c r="E468" t="s">
        <v>81</v>
      </c>
      <c r="F468" t="s">
        <v>160</v>
      </c>
      <c r="G468" t="s">
        <v>17</v>
      </c>
      <c r="H468" t="s">
        <v>18</v>
      </c>
      <c r="I468">
        <v>1</v>
      </c>
      <c r="J468" s="8">
        <v>45900</v>
      </c>
      <c r="K468">
        <v>15</v>
      </c>
      <c r="L468" t="s">
        <v>53</v>
      </c>
      <c r="M468" s="5">
        <f>Cleaned_Data[[#This Row],[Quantity]]*Cleaned_Data[[#This Row],[Unit_Price]]</f>
        <v>45900</v>
      </c>
      <c r="N468" s="7">
        <f>Cleaned_Data[[#This Row],[Total_sales]]*(Cleaned_Data[[#This Row],[Discount_Percent]]/100)</f>
        <v>6885</v>
      </c>
      <c r="O468" s="7">
        <f>Cleaned_Data[[#This Row],[Total_sales]]-Cleaned_Data[[#This Row],[Discount_Amount]]</f>
        <v>39015</v>
      </c>
      <c r="P468" t="str">
        <f>TEXT(Cleaned_Data[[#This Row],[Order_Date]],"MMM-YYYY")</f>
        <v>Jan-2023</v>
      </c>
      <c r="Q468" t="str">
        <f>"Q"&amp;ROUNDUP(MONTH(Cleaned_Data[[#This Row],[Order_Date]])/3,0)&amp;"-2023"</f>
        <v>Q1-2023</v>
      </c>
      <c r="R468" t="str">
        <f>TEXT(Cleaned_Data[[#This Row],[Order_Date]],"DDD")</f>
        <v>Sun</v>
      </c>
      <c r="S468" t="str">
        <f>IF(Cleaned_Data[[#This Row],[Net_Sales]]&gt;=100000,"High",IF(Cleaned_Data[[#This Row],[Net_Sales]]&gt;=50000,"Medium","Low"))</f>
        <v>Low</v>
      </c>
    </row>
    <row r="469" spans="1:19" x14ac:dyDescent="0.3">
      <c r="A469" t="s">
        <v>617</v>
      </c>
      <c r="B469" s="1">
        <v>44972</v>
      </c>
      <c r="C469" t="s">
        <v>203</v>
      </c>
      <c r="D469" t="s">
        <v>204</v>
      </c>
      <c r="E469" t="s">
        <v>37</v>
      </c>
      <c r="F469" t="s">
        <v>141</v>
      </c>
      <c r="G469" t="s">
        <v>25</v>
      </c>
      <c r="H469" t="s">
        <v>212</v>
      </c>
      <c r="I469">
        <v>2</v>
      </c>
      <c r="J469" s="8">
        <v>1300</v>
      </c>
      <c r="K469">
        <v>10</v>
      </c>
      <c r="L469" t="s">
        <v>27</v>
      </c>
      <c r="M469" s="5">
        <f>Cleaned_Data[[#This Row],[Quantity]]*Cleaned_Data[[#This Row],[Unit_Price]]</f>
        <v>2600</v>
      </c>
      <c r="N469" s="7">
        <f>Cleaned_Data[[#This Row],[Total_sales]]*(Cleaned_Data[[#This Row],[Discount_Percent]]/100)</f>
        <v>260</v>
      </c>
      <c r="O469" s="7">
        <f>Cleaned_Data[[#This Row],[Total_sales]]-Cleaned_Data[[#This Row],[Discount_Amount]]</f>
        <v>2340</v>
      </c>
      <c r="P469" t="str">
        <f>TEXT(Cleaned_Data[[#This Row],[Order_Date]],"MMM-YYYY")</f>
        <v>Feb-2023</v>
      </c>
      <c r="Q469" t="str">
        <f>"Q"&amp;ROUNDUP(MONTH(Cleaned_Data[[#This Row],[Order_Date]])/3,0)&amp;"-2023"</f>
        <v>Q1-2023</v>
      </c>
      <c r="R469" t="str">
        <f>TEXT(Cleaned_Data[[#This Row],[Order_Date]],"DDD")</f>
        <v>Wed</v>
      </c>
      <c r="S469" t="str">
        <f>IF(Cleaned_Data[[#This Row],[Net_Sales]]&gt;=100000,"High",IF(Cleaned_Data[[#This Row],[Net_Sales]]&gt;=50000,"Medium","Low"))</f>
        <v>Low</v>
      </c>
    </row>
    <row r="470" spans="1:19" x14ac:dyDescent="0.3">
      <c r="A470" t="s">
        <v>618</v>
      </c>
      <c r="B470" s="1">
        <v>44972</v>
      </c>
      <c r="C470" t="s">
        <v>79</v>
      </c>
      <c r="D470" t="s">
        <v>80</v>
      </c>
      <c r="E470" t="s">
        <v>66</v>
      </c>
      <c r="F470" t="s">
        <v>87</v>
      </c>
      <c r="G470" t="s">
        <v>45</v>
      </c>
      <c r="H470" t="s">
        <v>46</v>
      </c>
      <c r="I470">
        <v>2</v>
      </c>
      <c r="J470" s="8">
        <v>50000</v>
      </c>
      <c r="K470">
        <v>0</v>
      </c>
      <c r="L470" t="s">
        <v>27</v>
      </c>
      <c r="M470" s="5">
        <f>Cleaned_Data[[#This Row],[Quantity]]*Cleaned_Data[[#This Row],[Unit_Price]]</f>
        <v>100000</v>
      </c>
      <c r="N470" s="7">
        <f>Cleaned_Data[[#This Row],[Total_sales]]*(Cleaned_Data[[#This Row],[Discount_Percent]]/100)</f>
        <v>0</v>
      </c>
      <c r="O470" s="7">
        <f>Cleaned_Data[[#This Row],[Total_sales]]-Cleaned_Data[[#This Row],[Discount_Amount]]</f>
        <v>100000</v>
      </c>
      <c r="P470" t="str">
        <f>TEXT(Cleaned_Data[[#This Row],[Order_Date]],"MMM-YYYY")</f>
        <v>Feb-2023</v>
      </c>
      <c r="Q470" t="str">
        <f>"Q"&amp;ROUNDUP(MONTH(Cleaned_Data[[#This Row],[Order_Date]])/3,0)&amp;"-2023"</f>
        <v>Q1-2023</v>
      </c>
      <c r="R470" t="str">
        <f>TEXT(Cleaned_Data[[#This Row],[Order_Date]],"DDD")</f>
        <v>Wed</v>
      </c>
      <c r="S470" t="str">
        <f>IF(Cleaned_Data[[#This Row],[Net_Sales]]&gt;=100000,"High",IF(Cleaned_Data[[#This Row],[Net_Sales]]&gt;=50000,"Medium","Low"))</f>
        <v>High</v>
      </c>
    </row>
    <row r="471" spans="1:19" x14ac:dyDescent="0.3">
      <c r="A471" t="s">
        <v>619</v>
      </c>
      <c r="B471" s="1">
        <v>44972</v>
      </c>
      <c r="C471" t="s">
        <v>244</v>
      </c>
      <c r="D471" t="s">
        <v>245</v>
      </c>
      <c r="E471" t="s">
        <v>23</v>
      </c>
      <c r="F471" t="s">
        <v>44</v>
      </c>
      <c r="G471" t="s">
        <v>45</v>
      </c>
      <c r="H471" t="s">
        <v>156</v>
      </c>
      <c r="I471">
        <v>1</v>
      </c>
      <c r="J471" s="8">
        <v>21300</v>
      </c>
      <c r="K471">
        <v>0</v>
      </c>
      <c r="L471" t="s">
        <v>73</v>
      </c>
      <c r="M471" s="5">
        <f>Cleaned_Data[[#This Row],[Quantity]]*Cleaned_Data[[#This Row],[Unit_Price]]</f>
        <v>21300</v>
      </c>
      <c r="N471" s="7">
        <f>Cleaned_Data[[#This Row],[Total_sales]]*(Cleaned_Data[[#This Row],[Discount_Percent]]/100)</f>
        <v>0</v>
      </c>
      <c r="O471" s="7">
        <f>Cleaned_Data[[#This Row],[Total_sales]]-Cleaned_Data[[#This Row],[Discount_Amount]]</f>
        <v>21300</v>
      </c>
      <c r="P471" t="str">
        <f>TEXT(Cleaned_Data[[#This Row],[Order_Date]],"MMM-YYYY")</f>
        <v>Feb-2023</v>
      </c>
      <c r="Q471" t="str">
        <f>"Q"&amp;ROUNDUP(MONTH(Cleaned_Data[[#This Row],[Order_Date]])/3,0)&amp;"-2023"</f>
        <v>Q1-2023</v>
      </c>
      <c r="R471" t="str">
        <f>TEXT(Cleaned_Data[[#This Row],[Order_Date]],"DDD")</f>
        <v>Wed</v>
      </c>
      <c r="S471" t="str">
        <f>IF(Cleaned_Data[[#This Row],[Net_Sales]]&gt;=100000,"High",IF(Cleaned_Data[[#This Row],[Net_Sales]]&gt;=50000,"Medium","Low"))</f>
        <v>Low</v>
      </c>
    </row>
    <row r="472" spans="1:19" x14ac:dyDescent="0.3">
      <c r="A472" t="s">
        <v>620</v>
      </c>
      <c r="B472" s="1">
        <v>45000</v>
      </c>
      <c r="C472" t="s">
        <v>236</v>
      </c>
      <c r="D472" t="s">
        <v>237</v>
      </c>
      <c r="E472" t="s">
        <v>23</v>
      </c>
      <c r="F472" t="s">
        <v>51</v>
      </c>
      <c r="G472" t="s">
        <v>17</v>
      </c>
      <c r="H472" t="s">
        <v>88</v>
      </c>
      <c r="I472">
        <v>2</v>
      </c>
      <c r="J472" s="8">
        <v>51100</v>
      </c>
      <c r="K472">
        <v>15</v>
      </c>
      <c r="L472" t="s">
        <v>19</v>
      </c>
      <c r="M472" s="5">
        <f>Cleaned_Data[[#This Row],[Quantity]]*Cleaned_Data[[#This Row],[Unit_Price]]</f>
        <v>102200</v>
      </c>
      <c r="N472" s="7">
        <f>Cleaned_Data[[#This Row],[Total_sales]]*(Cleaned_Data[[#This Row],[Discount_Percent]]/100)</f>
        <v>15330</v>
      </c>
      <c r="O472" s="7">
        <f>Cleaned_Data[[#This Row],[Total_sales]]-Cleaned_Data[[#This Row],[Discount_Amount]]</f>
        <v>86870</v>
      </c>
      <c r="P472" t="str">
        <f>TEXT(Cleaned_Data[[#This Row],[Order_Date]],"MMM-YYYY")</f>
        <v>Mar-2023</v>
      </c>
      <c r="Q472" t="str">
        <f>"Q"&amp;ROUNDUP(MONTH(Cleaned_Data[[#This Row],[Order_Date]])/3,0)&amp;"-2023"</f>
        <v>Q1-2023</v>
      </c>
      <c r="R472" t="str">
        <f>TEXT(Cleaned_Data[[#This Row],[Order_Date]],"DDD")</f>
        <v>Wed</v>
      </c>
      <c r="S472" t="str">
        <f>IF(Cleaned_Data[[#This Row],[Net_Sales]]&gt;=100000,"High",IF(Cleaned_Data[[#This Row],[Net_Sales]]&gt;=50000,"Medium","Low"))</f>
        <v>Medium</v>
      </c>
    </row>
    <row r="473" spans="1:19" x14ac:dyDescent="0.3">
      <c r="A473" t="s">
        <v>621</v>
      </c>
      <c r="B473" s="1">
        <v>45000</v>
      </c>
      <c r="C473" t="s">
        <v>180</v>
      </c>
      <c r="D473" t="s">
        <v>181</v>
      </c>
      <c r="E473" t="s">
        <v>23</v>
      </c>
      <c r="F473" t="s">
        <v>51</v>
      </c>
      <c r="G473" t="s">
        <v>39</v>
      </c>
      <c r="H473" t="s">
        <v>40</v>
      </c>
      <c r="I473">
        <v>1</v>
      </c>
      <c r="J473" s="8">
        <v>14200</v>
      </c>
      <c r="K473">
        <v>10</v>
      </c>
      <c r="L473" t="s">
        <v>27</v>
      </c>
      <c r="M473" s="5">
        <f>Cleaned_Data[[#This Row],[Quantity]]*Cleaned_Data[[#This Row],[Unit_Price]]</f>
        <v>14200</v>
      </c>
      <c r="N473" s="7">
        <f>Cleaned_Data[[#This Row],[Total_sales]]*(Cleaned_Data[[#This Row],[Discount_Percent]]/100)</f>
        <v>1420</v>
      </c>
      <c r="O473" s="7">
        <f>Cleaned_Data[[#This Row],[Total_sales]]-Cleaned_Data[[#This Row],[Discount_Amount]]</f>
        <v>12780</v>
      </c>
      <c r="P473" t="str">
        <f>TEXT(Cleaned_Data[[#This Row],[Order_Date]],"MMM-YYYY")</f>
        <v>Mar-2023</v>
      </c>
      <c r="Q473" t="str">
        <f>"Q"&amp;ROUNDUP(MONTH(Cleaned_Data[[#This Row],[Order_Date]])/3,0)&amp;"-2023"</f>
        <v>Q1-2023</v>
      </c>
      <c r="R473" t="str">
        <f>TEXT(Cleaned_Data[[#This Row],[Order_Date]],"DDD")</f>
        <v>Wed</v>
      </c>
      <c r="S473" t="str">
        <f>IF(Cleaned_Data[[#This Row],[Net_Sales]]&gt;=100000,"High",IF(Cleaned_Data[[#This Row],[Net_Sales]]&gt;=50000,"Medium","Low"))</f>
        <v>Low</v>
      </c>
    </row>
    <row r="474" spans="1:19" x14ac:dyDescent="0.3">
      <c r="A474" t="s">
        <v>622</v>
      </c>
      <c r="B474" s="1">
        <v>45000</v>
      </c>
      <c r="C474" t="s">
        <v>143</v>
      </c>
      <c r="D474" t="s">
        <v>144</v>
      </c>
      <c r="E474" t="s">
        <v>15</v>
      </c>
      <c r="F474" t="s">
        <v>119</v>
      </c>
      <c r="G474" t="s">
        <v>97</v>
      </c>
      <c r="H474" t="s">
        <v>171</v>
      </c>
      <c r="I474">
        <v>1</v>
      </c>
      <c r="J474" s="8">
        <v>57100</v>
      </c>
      <c r="K474">
        <v>0</v>
      </c>
      <c r="L474" t="s">
        <v>53</v>
      </c>
      <c r="M474" s="5">
        <f>Cleaned_Data[[#This Row],[Quantity]]*Cleaned_Data[[#This Row],[Unit_Price]]</f>
        <v>57100</v>
      </c>
      <c r="N474" s="7">
        <f>Cleaned_Data[[#This Row],[Total_sales]]*(Cleaned_Data[[#This Row],[Discount_Percent]]/100)</f>
        <v>0</v>
      </c>
      <c r="O474" s="7">
        <f>Cleaned_Data[[#This Row],[Total_sales]]-Cleaned_Data[[#This Row],[Discount_Amount]]</f>
        <v>57100</v>
      </c>
      <c r="P474" t="str">
        <f>TEXT(Cleaned_Data[[#This Row],[Order_Date]],"MMM-YYYY")</f>
        <v>Mar-2023</v>
      </c>
      <c r="Q474" t="str">
        <f>"Q"&amp;ROUNDUP(MONTH(Cleaned_Data[[#This Row],[Order_Date]])/3,0)&amp;"-2023"</f>
        <v>Q1-2023</v>
      </c>
      <c r="R474" t="str">
        <f>TEXT(Cleaned_Data[[#This Row],[Order_Date]],"DDD")</f>
        <v>Wed</v>
      </c>
      <c r="S474" t="str">
        <f>IF(Cleaned_Data[[#This Row],[Net_Sales]]&gt;=100000,"High",IF(Cleaned_Data[[#This Row],[Net_Sales]]&gt;=50000,"Medium","Low"))</f>
        <v>Medium</v>
      </c>
    </row>
    <row r="475" spans="1:19" x14ac:dyDescent="0.3">
      <c r="A475" t="s">
        <v>623</v>
      </c>
      <c r="B475" s="1">
        <v>45031</v>
      </c>
      <c r="C475" t="s">
        <v>115</v>
      </c>
      <c r="D475" t="s">
        <v>116</v>
      </c>
      <c r="E475" t="s">
        <v>81</v>
      </c>
      <c r="F475" t="s">
        <v>110</v>
      </c>
      <c r="G475" t="s">
        <v>45</v>
      </c>
      <c r="H475" t="s">
        <v>207</v>
      </c>
      <c r="I475">
        <v>1</v>
      </c>
      <c r="J475" s="8">
        <v>31200</v>
      </c>
      <c r="K475">
        <v>0</v>
      </c>
      <c r="L475" t="s">
        <v>47</v>
      </c>
      <c r="M475" s="5">
        <f>Cleaned_Data[[#This Row],[Quantity]]*Cleaned_Data[[#This Row],[Unit_Price]]</f>
        <v>31200</v>
      </c>
      <c r="N475" s="7">
        <f>Cleaned_Data[[#This Row],[Total_sales]]*(Cleaned_Data[[#This Row],[Discount_Percent]]/100)</f>
        <v>0</v>
      </c>
      <c r="O475" s="7">
        <f>Cleaned_Data[[#This Row],[Total_sales]]-Cleaned_Data[[#This Row],[Discount_Amount]]</f>
        <v>31200</v>
      </c>
      <c r="P475" t="str">
        <f>TEXT(Cleaned_Data[[#This Row],[Order_Date]],"MMM-YYYY")</f>
        <v>Apr-2023</v>
      </c>
      <c r="Q475" t="str">
        <f>"Q"&amp;ROUNDUP(MONTH(Cleaned_Data[[#This Row],[Order_Date]])/3,0)&amp;"-2023"</f>
        <v>Q2-2023</v>
      </c>
      <c r="R475" t="str">
        <f>TEXT(Cleaned_Data[[#This Row],[Order_Date]],"DDD")</f>
        <v>Sat</v>
      </c>
      <c r="S475" t="str">
        <f>IF(Cleaned_Data[[#This Row],[Net_Sales]]&gt;=100000,"High",IF(Cleaned_Data[[#This Row],[Net_Sales]]&gt;=50000,"Medium","Low"))</f>
        <v>Low</v>
      </c>
    </row>
    <row r="476" spans="1:19" x14ac:dyDescent="0.3">
      <c r="A476" t="s">
        <v>624</v>
      </c>
      <c r="B476" s="1">
        <v>45031</v>
      </c>
      <c r="C476" t="s">
        <v>79</v>
      </c>
      <c r="D476" t="s">
        <v>80</v>
      </c>
      <c r="E476" t="s">
        <v>81</v>
      </c>
      <c r="F476" t="s">
        <v>117</v>
      </c>
      <c r="G476" t="s">
        <v>45</v>
      </c>
      <c r="H476" t="s">
        <v>52</v>
      </c>
      <c r="I476">
        <v>2</v>
      </c>
      <c r="J476" s="8">
        <v>43400</v>
      </c>
      <c r="K476">
        <v>10</v>
      </c>
      <c r="L476" t="s">
        <v>62</v>
      </c>
      <c r="M476" s="5">
        <f>Cleaned_Data[[#This Row],[Quantity]]*Cleaned_Data[[#This Row],[Unit_Price]]</f>
        <v>86800</v>
      </c>
      <c r="N476" s="7">
        <f>Cleaned_Data[[#This Row],[Total_sales]]*(Cleaned_Data[[#This Row],[Discount_Percent]]/100)</f>
        <v>8680</v>
      </c>
      <c r="O476" s="7">
        <f>Cleaned_Data[[#This Row],[Total_sales]]-Cleaned_Data[[#This Row],[Discount_Amount]]</f>
        <v>78120</v>
      </c>
      <c r="P476" t="str">
        <f>TEXT(Cleaned_Data[[#This Row],[Order_Date]],"MMM-YYYY")</f>
        <v>Apr-2023</v>
      </c>
      <c r="Q476" t="str">
        <f>"Q"&amp;ROUNDUP(MONTH(Cleaned_Data[[#This Row],[Order_Date]])/3,0)&amp;"-2023"</f>
        <v>Q2-2023</v>
      </c>
      <c r="R476" t="str">
        <f>TEXT(Cleaned_Data[[#This Row],[Order_Date]],"DDD")</f>
        <v>Sat</v>
      </c>
      <c r="S476" t="str">
        <f>IF(Cleaned_Data[[#This Row],[Net_Sales]]&gt;=100000,"High",IF(Cleaned_Data[[#This Row],[Net_Sales]]&gt;=50000,"Medium","Low"))</f>
        <v>Medium</v>
      </c>
    </row>
    <row r="477" spans="1:19" x14ac:dyDescent="0.3">
      <c r="A477" t="s">
        <v>625</v>
      </c>
      <c r="B477" s="1">
        <v>45061</v>
      </c>
      <c r="C477" t="s">
        <v>232</v>
      </c>
      <c r="D477" t="s">
        <v>233</v>
      </c>
      <c r="E477" t="s">
        <v>23</v>
      </c>
      <c r="F477" t="s">
        <v>44</v>
      </c>
      <c r="G477" t="s">
        <v>17</v>
      </c>
      <c r="H477" t="s">
        <v>18</v>
      </c>
      <c r="I477">
        <v>1</v>
      </c>
      <c r="J477" s="8">
        <v>48300</v>
      </c>
      <c r="K477">
        <v>25</v>
      </c>
      <c r="L477" t="s">
        <v>47</v>
      </c>
      <c r="M477" s="5">
        <f>Cleaned_Data[[#This Row],[Quantity]]*Cleaned_Data[[#This Row],[Unit_Price]]</f>
        <v>48300</v>
      </c>
      <c r="N477" s="7">
        <f>Cleaned_Data[[#This Row],[Total_sales]]*(Cleaned_Data[[#This Row],[Discount_Percent]]/100)</f>
        <v>12075</v>
      </c>
      <c r="O477" s="7">
        <f>Cleaned_Data[[#This Row],[Total_sales]]-Cleaned_Data[[#This Row],[Discount_Amount]]</f>
        <v>36225</v>
      </c>
      <c r="P477" t="str">
        <f>TEXT(Cleaned_Data[[#This Row],[Order_Date]],"MMM-YYYY")</f>
        <v>May-2023</v>
      </c>
      <c r="Q477" t="str">
        <f>"Q"&amp;ROUNDUP(MONTH(Cleaned_Data[[#This Row],[Order_Date]])/3,0)&amp;"-2023"</f>
        <v>Q2-2023</v>
      </c>
      <c r="R477" t="str">
        <f>TEXT(Cleaned_Data[[#This Row],[Order_Date]],"DDD")</f>
        <v>Mon</v>
      </c>
      <c r="S477" t="str">
        <f>IF(Cleaned_Data[[#This Row],[Net_Sales]]&gt;=100000,"High",IF(Cleaned_Data[[#This Row],[Net_Sales]]&gt;=50000,"Medium","Low"))</f>
        <v>Low</v>
      </c>
    </row>
    <row r="478" spans="1:19" x14ac:dyDescent="0.3">
      <c r="A478" t="s">
        <v>626</v>
      </c>
      <c r="B478" s="1">
        <v>45061</v>
      </c>
      <c r="C478" t="s">
        <v>180</v>
      </c>
      <c r="D478" t="s">
        <v>181</v>
      </c>
      <c r="E478" t="s">
        <v>81</v>
      </c>
      <c r="F478" t="s">
        <v>110</v>
      </c>
      <c r="G478" t="s">
        <v>17</v>
      </c>
      <c r="H478" t="s">
        <v>18</v>
      </c>
      <c r="I478">
        <v>1</v>
      </c>
      <c r="J478" s="8">
        <v>25600</v>
      </c>
      <c r="K478">
        <v>5</v>
      </c>
      <c r="L478" t="s">
        <v>33</v>
      </c>
      <c r="M478" s="5">
        <f>Cleaned_Data[[#This Row],[Quantity]]*Cleaned_Data[[#This Row],[Unit_Price]]</f>
        <v>25600</v>
      </c>
      <c r="N478" s="7">
        <f>Cleaned_Data[[#This Row],[Total_sales]]*(Cleaned_Data[[#This Row],[Discount_Percent]]/100)</f>
        <v>1280</v>
      </c>
      <c r="O478" s="7">
        <f>Cleaned_Data[[#This Row],[Total_sales]]-Cleaned_Data[[#This Row],[Discount_Amount]]</f>
        <v>24320</v>
      </c>
      <c r="P478" t="str">
        <f>TEXT(Cleaned_Data[[#This Row],[Order_Date]],"MMM-YYYY")</f>
        <v>May-2023</v>
      </c>
      <c r="Q478" t="str">
        <f>"Q"&amp;ROUNDUP(MONTH(Cleaned_Data[[#This Row],[Order_Date]])/3,0)&amp;"-2023"</f>
        <v>Q2-2023</v>
      </c>
      <c r="R478" t="str">
        <f>TEXT(Cleaned_Data[[#This Row],[Order_Date]],"DDD")</f>
        <v>Mon</v>
      </c>
      <c r="S478" t="str">
        <f>IF(Cleaned_Data[[#This Row],[Net_Sales]]&gt;=100000,"High",IF(Cleaned_Data[[#This Row],[Net_Sales]]&gt;=50000,"Medium","Low"))</f>
        <v>Low</v>
      </c>
    </row>
    <row r="479" spans="1:19" x14ac:dyDescent="0.3">
      <c r="A479" t="s">
        <v>627</v>
      </c>
      <c r="B479" s="1">
        <v>45061</v>
      </c>
      <c r="C479" t="s">
        <v>210</v>
      </c>
      <c r="D479" t="s">
        <v>211</v>
      </c>
      <c r="E479" t="s">
        <v>23</v>
      </c>
      <c r="F479" t="s">
        <v>24</v>
      </c>
      <c r="G479" t="s">
        <v>97</v>
      </c>
      <c r="H479" t="s">
        <v>154</v>
      </c>
      <c r="I479">
        <v>1</v>
      </c>
      <c r="J479" s="8">
        <v>49000</v>
      </c>
      <c r="K479">
        <v>0</v>
      </c>
      <c r="L479" t="s">
        <v>27</v>
      </c>
      <c r="M479" s="5">
        <f>Cleaned_Data[[#This Row],[Quantity]]*Cleaned_Data[[#This Row],[Unit_Price]]</f>
        <v>49000</v>
      </c>
      <c r="N479" s="7">
        <f>Cleaned_Data[[#This Row],[Total_sales]]*(Cleaned_Data[[#This Row],[Discount_Percent]]/100)</f>
        <v>0</v>
      </c>
      <c r="O479" s="7">
        <f>Cleaned_Data[[#This Row],[Total_sales]]-Cleaned_Data[[#This Row],[Discount_Amount]]</f>
        <v>49000</v>
      </c>
      <c r="P479" t="str">
        <f>TEXT(Cleaned_Data[[#This Row],[Order_Date]],"MMM-YYYY")</f>
        <v>May-2023</v>
      </c>
      <c r="Q479" t="str">
        <f>"Q"&amp;ROUNDUP(MONTH(Cleaned_Data[[#This Row],[Order_Date]])/3,0)&amp;"-2023"</f>
        <v>Q2-2023</v>
      </c>
      <c r="R479" t="str">
        <f>TEXT(Cleaned_Data[[#This Row],[Order_Date]],"DDD")</f>
        <v>Mon</v>
      </c>
      <c r="S479" t="str">
        <f>IF(Cleaned_Data[[#This Row],[Net_Sales]]&gt;=100000,"High",IF(Cleaned_Data[[#This Row],[Net_Sales]]&gt;=50000,"Medium","Low"))</f>
        <v>Low</v>
      </c>
    </row>
    <row r="480" spans="1:19" x14ac:dyDescent="0.3">
      <c r="A480" t="s">
        <v>628</v>
      </c>
      <c r="B480" s="1">
        <v>45061</v>
      </c>
      <c r="C480" t="s">
        <v>185</v>
      </c>
      <c r="D480" t="s">
        <v>186</v>
      </c>
      <c r="E480" t="s">
        <v>15</v>
      </c>
      <c r="F480" t="s">
        <v>16</v>
      </c>
      <c r="G480" t="s">
        <v>39</v>
      </c>
      <c r="H480" t="s">
        <v>40</v>
      </c>
      <c r="I480">
        <v>1</v>
      </c>
      <c r="J480" s="8">
        <v>25400</v>
      </c>
      <c r="K480">
        <v>10</v>
      </c>
      <c r="L480" t="s">
        <v>53</v>
      </c>
      <c r="M480" s="5">
        <f>Cleaned_Data[[#This Row],[Quantity]]*Cleaned_Data[[#This Row],[Unit_Price]]</f>
        <v>25400</v>
      </c>
      <c r="N480" s="7">
        <f>Cleaned_Data[[#This Row],[Total_sales]]*(Cleaned_Data[[#This Row],[Discount_Percent]]/100)</f>
        <v>2540</v>
      </c>
      <c r="O480" s="7">
        <f>Cleaned_Data[[#This Row],[Total_sales]]-Cleaned_Data[[#This Row],[Discount_Amount]]</f>
        <v>22860</v>
      </c>
      <c r="P480" t="str">
        <f>TEXT(Cleaned_Data[[#This Row],[Order_Date]],"MMM-YYYY")</f>
        <v>May-2023</v>
      </c>
      <c r="Q480" t="str">
        <f>"Q"&amp;ROUNDUP(MONTH(Cleaned_Data[[#This Row],[Order_Date]])/3,0)&amp;"-2023"</f>
        <v>Q2-2023</v>
      </c>
      <c r="R480" t="str">
        <f>TEXT(Cleaned_Data[[#This Row],[Order_Date]],"DDD")</f>
        <v>Mon</v>
      </c>
      <c r="S480" t="str">
        <f>IF(Cleaned_Data[[#This Row],[Net_Sales]]&gt;=100000,"High",IF(Cleaned_Data[[#This Row],[Net_Sales]]&gt;=50000,"Medium","Low"))</f>
        <v>Low</v>
      </c>
    </row>
    <row r="481" spans="1:19" x14ac:dyDescent="0.3">
      <c r="A481" t="s">
        <v>629</v>
      </c>
      <c r="B481" s="1">
        <v>45092</v>
      </c>
      <c r="C481" t="s">
        <v>95</v>
      </c>
      <c r="D481" t="s">
        <v>96</v>
      </c>
      <c r="E481" t="s">
        <v>15</v>
      </c>
      <c r="F481" t="s">
        <v>131</v>
      </c>
      <c r="G481" t="s">
        <v>25</v>
      </c>
      <c r="H481" t="s">
        <v>26</v>
      </c>
      <c r="I481">
        <v>2</v>
      </c>
      <c r="J481" s="8">
        <v>2000</v>
      </c>
      <c r="K481">
        <v>5</v>
      </c>
      <c r="L481" t="s">
        <v>73</v>
      </c>
      <c r="M481" s="5">
        <f>Cleaned_Data[[#This Row],[Quantity]]*Cleaned_Data[[#This Row],[Unit_Price]]</f>
        <v>4000</v>
      </c>
      <c r="N481" s="7">
        <f>Cleaned_Data[[#This Row],[Total_sales]]*(Cleaned_Data[[#This Row],[Discount_Percent]]/100)</f>
        <v>200</v>
      </c>
      <c r="O481" s="7">
        <f>Cleaned_Data[[#This Row],[Total_sales]]-Cleaned_Data[[#This Row],[Discount_Amount]]</f>
        <v>3800</v>
      </c>
      <c r="P481" t="str">
        <f>TEXT(Cleaned_Data[[#This Row],[Order_Date]],"MMM-YYYY")</f>
        <v>Jun-2023</v>
      </c>
      <c r="Q481" t="str">
        <f>"Q"&amp;ROUNDUP(MONTH(Cleaned_Data[[#This Row],[Order_Date]])/3,0)&amp;"-2023"</f>
        <v>Q2-2023</v>
      </c>
      <c r="R481" t="str">
        <f>TEXT(Cleaned_Data[[#This Row],[Order_Date]],"DDD")</f>
        <v>Thu</v>
      </c>
      <c r="S481" t="str">
        <f>IF(Cleaned_Data[[#This Row],[Net_Sales]]&gt;=100000,"High",IF(Cleaned_Data[[#This Row],[Net_Sales]]&gt;=50000,"Medium","Low"))</f>
        <v>Low</v>
      </c>
    </row>
    <row r="482" spans="1:19" x14ac:dyDescent="0.3">
      <c r="A482" t="s">
        <v>630</v>
      </c>
      <c r="B482" s="1">
        <v>45092</v>
      </c>
      <c r="C482" t="s">
        <v>79</v>
      </c>
      <c r="D482" t="s">
        <v>80</v>
      </c>
      <c r="E482" t="s">
        <v>23</v>
      </c>
      <c r="F482" t="s">
        <v>24</v>
      </c>
      <c r="G482" t="s">
        <v>39</v>
      </c>
      <c r="H482" t="s">
        <v>68</v>
      </c>
      <c r="I482">
        <v>1</v>
      </c>
      <c r="J482" s="8">
        <v>35000</v>
      </c>
      <c r="K482">
        <v>0</v>
      </c>
      <c r="L482" t="s">
        <v>47</v>
      </c>
      <c r="M482" s="5">
        <f>Cleaned_Data[[#This Row],[Quantity]]*Cleaned_Data[[#This Row],[Unit_Price]]</f>
        <v>35000</v>
      </c>
      <c r="N482" s="7">
        <f>Cleaned_Data[[#This Row],[Total_sales]]*(Cleaned_Data[[#This Row],[Discount_Percent]]/100)</f>
        <v>0</v>
      </c>
      <c r="O482" s="7">
        <f>Cleaned_Data[[#This Row],[Total_sales]]-Cleaned_Data[[#This Row],[Discount_Amount]]</f>
        <v>35000</v>
      </c>
      <c r="P482" t="str">
        <f>TEXT(Cleaned_Data[[#This Row],[Order_Date]],"MMM-YYYY")</f>
        <v>Jun-2023</v>
      </c>
      <c r="Q482" t="str">
        <f>"Q"&amp;ROUNDUP(MONTH(Cleaned_Data[[#This Row],[Order_Date]])/3,0)&amp;"-2023"</f>
        <v>Q2-2023</v>
      </c>
      <c r="R482" t="str">
        <f>TEXT(Cleaned_Data[[#This Row],[Order_Date]],"DDD")</f>
        <v>Thu</v>
      </c>
      <c r="S482" t="str">
        <f>IF(Cleaned_Data[[#This Row],[Net_Sales]]&gt;=100000,"High",IF(Cleaned_Data[[#This Row],[Net_Sales]]&gt;=50000,"Medium","Low"))</f>
        <v>Low</v>
      </c>
    </row>
    <row r="483" spans="1:19" x14ac:dyDescent="0.3">
      <c r="A483" t="s">
        <v>631</v>
      </c>
      <c r="B483" s="1">
        <v>45092</v>
      </c>
      <c r="C483" t="s">
        <v>105</v>
      </c>
      <c r="D483" t="s">
        <v>106</v>
      </c>
      <c r="E483" t="s">
        <v>15</v>
      </c>
      <c r="F483" t="s">
        <v>16</v>
      </c>
      <c r="G483" t="s">
        <v>97</v>
      </c>
      <c r="H483" t="s">
        <v>174</v>
      </c>
      <c r="I483">
        <v>1</v>
      </c>
      <c r="J483" s="8">
        <v>70300</v>
      </c>
      <c r="K483">
        <v>5</v>
      </c>
      <c r="L483" t="s">
        <v>103</v>
      </c>
      <c r="M483" s="5">
        <f>Cleaned_Data[[#This Row],[Quantity]]*Cleaned_Data[[#This Row],[Unit_Price]]</f>
        <v>70300</v>
      </c>
      <c r="N483" s="7">
        <f>Cleaned_Data[[#This Row],[Total_sales]]*(Cleaned_Data[[#This Row],[Discount_Percent]]/100)</f>
        <v>3515</v>
      </c>
      <c r="O483" s="7">
        <f>Cleaned_Data[[#This Row],[Total_sales]]-Cleaned_Data[[#This Row],[Discount_Amount]]</f>
        <v>66785</v>
      </c>
      <c r="P483" t="str">
        <f>TEXT(Cleaned_Data[[#This Row],[Order_Date]],"MMM-YYYY")</f>
        <v>Jun-2023</v>
      </c>
      <c r="Q483" t="str">
        <f>"Q"&amp;ROUNDUP(MONTH(Cleaned_Data[[#This Row],[Order_Date]])/3,0)&amp;"-2023"</f>
        <v>Q2-2023</v>
      </c>
      <c r="R483" t="str">
        <f>TEXT(Cleaned_Data[[#This Row],[Order_Date]],"DDD")</f>
        <v>Thu</v>
      </c>
      <c r="S483" t="str">
        <f>IF(Cleaned_Data[[#This Row],[Net_Sales]]&gt;=100000,"High",IF(Cleaned_Data[[#This Row],[Net_Sales]]&gt;=50000,"Medium","Low"))</f>
        <v>Medium</v>
      </c>
    </row>
    <row r="484" spans="1:19" x14ac:dyDescent="0.3">
      <c r="A484" t="s">
        <v>632</v>
      </c>
      <c r="B484" s="1">
        <v>45092</v>
      </c>
      <c r="C484" t="s">
        <v>35</v>
      </c>
      <c r="D484" t="s">
        <v>36</v>
      </c>
      <c r="E484" t="s">
        <v>66</v>
      </c>
      <c r="F484" t="s">
        <v>92</v>
      </c>
      <c r="G484" t="s">
        <v>39</v>
      </c>
      <c r="H484" t="s">
        <v>57</v>
      </c>
      <c r="I484">
        <v>1</v>
      </c>
      <c r="J484" s="8">
        <v>21300</v>
      </c>
      <c r="K484">
        <v>0</v>
      </c>
      <c r="L484" t="s">
        <v>62</v>
      </c>
      <c r="M484" s="5">
        <f>Cleaned_Data[[#This Row],[Quantity]]*Cleaned_Data[[#This Row],[Unit_Price]]</f>
        <v>21300</v>
      </c>
      <c r="N484" s="7">
        <f>Cleaned_Data[[#This Row],[Total_sales]]*(Cleaned_Data[[#This Row],[Discount_Percent]]/100)</f>
        <v>0</v>
      </c>
      <c r="O484" s="7">
        <f>Cleaned_Data[[#This Row],[Total_sales]]-Cleaned_Data[[#This Row],[Discount_Amount]]</f>
        <v>21300</v>
      </c>
      <c r="P484" t="str">
        <f>TEXT(Cleaned_Data[[#This Row],[Order_Date]],"MMM-YYYY")</f>
        <v>Jun-2023</v>
      </c>
      <c r="Q484" t="str">
        <f>"Q"&amp;ROUNDUP(MONTH(Cleaned_Data[[#This Row],[Order_Date]])/3,0)&amp;"-2023"</f>
        <v>Q2-2023</v>
      </c>
      <c r="R484" t="str">
        <f>TEXT(Cleaned_Data[[#This Row],[Order_Date]],"DDD")</f>
        <v>Thu</v>
      </c>
      <c r="S484" t="str">
        <f>IF(Cleaned_Data[[#This Row],[Net_Sales]]&gt;=100000,"High",IF(Cleaned_Data[[#This Row],[Net_Sales]]&gt;=50000,"Medium","Low"))</f>
        <v>Low</v>
      </c>
    </row>
    <row r="485" spans="1:19" x14ac:dyDescent="0.3">
      <c r="A485" t="s">
        <v>633</v>
      </c>
      <c r="B485" s="1">
        <v>45122</v>
      </c>
      <c r="C485" t="s">
        <v>185</v>
      </c>
      <c r="D485" t="s">
        <v>186</v>
      </c>
      <c r="E485" t="s">
        <v>37</v>
      </c>
      <c r="F485" t="s">
        <v>101</v>
      </c>
      <c r="G485" t="s">
        <v>97</v>
      </c>
      <c r="H485" t="s">
        <v>171</v>
      </c>
      <c r="I485">
        <v>1</v>
      </c>
      <c r="J485" s="8">
        <v>53300</v>
      </c>
      <c r="K485">
        <v>5</v>
      </c>
      <c r="L485" t="s">
        <v>47</v>
      </c>
      <c r="M485" s="5">
        <f>Cleaned_Data[[#This Row],[Quantity]]*Cleaned_Data[[#This Row],[Unit_Price]]</f>
        <v>53300</v>
      </c>
      <c r="N485" s="7">
        <f>Cleaned_Data[[#This Row],[Total_sales]]*(Cleaned_Data[[#This Row],[Discount_Percent]]/100)</f>
        <v>2665</v>
      </c>
      <c r="O485" s="7">
        <f>Cleaned_Data[[#This Row],[Total_sales]]-Cleaned_Data[[#This Row],[Discount_Amount]]</f>
        <v>50635</v>
      </c>
      <c r="P485" t="str">
        <f>TEXT(Cleaned_Data[[#This Row],[Order_Date]],"MMM-YYYY")</f>
        <v>Jul-2023</v>
      </c>
      <c r="Q485" t="str">
        <f>"Q"&amp;ROUNDUP(MONTH(Cleaned_Data[[#This Row],[Order_Date]])/3,0)&amp;"-2023"</f>
        <v>Q3-2023</v>
      </c>
      <c r="R485" t="str">
        <f>TEXT(Cleaned_Data[[#This Row],[Order_Date]],"DDD")</f>
        <v>Sat</v>
      </c>
      <c r="S485" t="str">
        <f>IF(Cleaned_Data[[#This Row],[Net_Sales]]&gt;=100000,"High",IF(Cleaned_Data[[#This Row],[Net_Sales]]&gt;=50000,"Medium","Low"))</f>
        <v>Medium</v>
      </c>
    </row>
    <row r="486" spans="1:19" x14ac:dyDescent="0.3">
      <c r="A486" t="s">
        <v>634</v>
      </c>
      <c r="B486" s="1">
        <v>45153</v>
      </c>
      <c r="C486" t="s">
        <v>42</v>
      </c>
      <c r="D486" t="s">
        <v>43</v>
      </c>
      <c r="E486" t="s">
        <v>81</v>
      </c>
      <c r="F486" t="s">
        <v>160</v>
      </c>
      <c r="G486" t="s">
        <v>39</v>
      </c>
      <c r="H486" t="s">
        <v>102</v>
      </c>
      <c r="I486">
        <v>1</v>
      </c>
      <c r="J486" s="8">
        <v>25000</v>
      </c>
      <c r="K486">
        <v>10</v>
      </c>
      <c r="L486" t="s">
        <v>19</v>
      </c>
      <c r="M486" s="5">
        <f>Cleaned_Data[[#This Row],[Quantity]]*Cleaned_Data[[#This Row],[Unit_Price]]</f>
        <v>25000</v>
      </c>
      <c r="N486" s="7">
        <f>Cleaned_Data[[#This Row],[Total_sales]]*(Cleaned_Data[[#This Row],[Discount_Percent]]/100)</f>
        <v>2500</v>
      </c>
      <c r="O486" s="7">
        <f>Cleaned_Data[[#This Row],[Total_sales]]-Cleaned_Data[[#This Row],[Discount_Amount]]</f>
        <v>22500</v>
      </c>
      <c r="P486" t="str">
        <f>TEXT(Cleaned_Data[[#This Row],[Order_Date]],"MMM-YYYY")</f>
        <v>Aug-2023</v>
      </c>
      <c r="Q486" t="str">
        <f>"Q"&amp;ROUNDUP(MONTH(Cleaned_Data[[#This Row],[Order_Date]])/3,0)&amp;"-2023"</f>
        <v>Q3-2023</v>
      </c>
      <c r="R486" t="str">
        <f>TEXT(Cleaned_Data[[#This Row],[Order_Date]],"DDD")</f>
        <v>Tue</v>
      </c>
      <c r="S486" t="str">
        <f>IF(Cleaned_Data[[#This Row],[Net_Sales]]&gt;=100000,"High",IF(Cleaned_Data[[#This Row],[Net_Sales]]&gt;=50000,"Medium","Low"))</f>
        <v>Low</v>
      </c>
    </row>
    <row r="487" spans="1:19" x14ac:dyDescent="0.3">
      <c r="A487" t="s">
        <v>635</v>
      </c>
      <c r="B487" s="1">
        <v>45153</v>
      </c>
      <c r="C487" t="s">
        <v>64</v>
      </c>
      <c r="D487" t="s">
        <v>65</v>
      </c>
      <c r="E487" t="s">
        <v>37</v>
      </c>
      <c r="F487" t="s">
        <v>141</v>
      </c>
      <c r="G487" t="s">
        <v>25</v>
      </c>
      <c r="H487" t="s">
        <v>108</v>
      </c>
      <c r="I487">
        <v>2</v>
      </c>
      <c r="J487" s="8">
        <v>2000</v>
      </c>
      <c r="K487">
        <v>10</v>
      </c>
      <c r="L487" t="s">
        <v>62</v>
      </c>
      <c r="M487" s="5">
        <f>Cleaned_Data[[#This Row],[Quantity]]*Cleaned_Data[[#This Row],[Unit_Price]]</f>
        <v>4000</v>
      </c>
      <c r="N487" s="7">
        <f>Cleaned_Data[[#This Row],[Total_sales]]*(Cleaned_Data[[#This Row],[Discount_Percent]]/100)</f>
        <v>400</v>
      </c>
      <c r="O487" s="7">
        <f>Cleaned_Data[[#This Row],[Total_sales]]-Cleaned_Data[[#This Row],[Discount_Amount]]</f>
        <v>3600</v>
      </c>
      <c r="P487" t="str">
        <f>TEXT(Cleaned_Data[[#This Row],[Order_Date]],"MMM-YYYY")</f>
        <v>Aug-2023</v>
      </c>
      <c r="Q487" t="str">
        <f>"Q"&amp;ROUNDUP(MONTH(Cleaned_Data[[#This Row],[Order_Date]])/3,0)&amp;"-2023"</f>
        <v>Q3-2023</v>
      </c>
      <c r="R487" t="str">
        <f>TEXT(Cleaned_Data[[#This Row],[Order_Date]],"DDD")</f>
        <v>Tue</v>
      </c>
      <c r="S487" t="str">
        <f>IF(Cleaned_Data[[#This Row],[Net_Sales]]&gt;=100000,"High",IF(Cleaned_Data[[#This Row],[Net_Sales]]&gt;=50000,"Medium","Low"))</f>
        <v>Low</v>
      </c>
    </row>
    <row r="488" spans="1:19" x14ac:dyDescent="0.3">
      <c r="A488" t="s">
        <v>636</v>
      </c>
      <c r="B488" s="1">
        <v>45153</v>
      </c>
      <c r="C488" t="s">
        <v>203</v>
      </c>
      <c r="D488" t="s">
        <v>204</v>
      </c>
      <c r="E488" t="s">
        <v>15</v>
      </c>
      <c r="F488" t="s">
        <v>119</v>
      </c>
      <c r="G488" t="s">
        <v>39</v>
      </c>
      <c r="H488" t="s">
        <v>68</v>
      </c>
      <c r="I488">
        <v>1</v>
      </c>
      <c r="J488" s="8">
        <v>19400</v>
      </c>
      <c r="K488">
        <v>0</v>
      </c>
      <c r="L488" t="s">
        <v>73</v>
      </c>
      <c r="M488" s="5">
        <f>Cleaned_Data[[#This Row],[Quantity]]*Cleaned_Data[[#This Row],[Unit_Price]]</f>
        <v>19400</v>
      </c>
      <c r="N488" s="7">
        <f>Cleaned_Data[[#This Row],[Total_sales]]*(Cleaned_Data[[#This Row],[Discount_Percent]]/100)</f>
        <v>0</v>
      </c>
      <c r="O488" s="7">
        <f>Cleaned_Data[[#This Row],[Total_sales]]-Cleaned_Data[[#This Row],[Discount_Amount]]</f>
        <v>19400</v>
      </c>
      <c r="P488" t="str">
        <f>TEXT(Cleaned_Data[[#This Row],[Order_Date]],"MMM-YYYY")</f>
        <v>Aug-2023</v>
      </c>
      <c r="Q488" t="str">
        <f>"Q"&amp;ROUNDUP(MONTH(Cleaned_Data[[#This Row],[Order_Date]])/3,0)&amp;"-2023"</f>
        <v>Q3-2023</v>
      </c>
      <c r="R488" t="str">
        <f>TEXT(Cleaned_Data[[#This Row],[Order_Date]],"DDD")</f>
        <v>Tue</v>
      </c>
      <c r="S488" t="str">
        <f>IF(Cleaned_Data[[#This Row],[Net_Sales]]&gt;=100000,"High",IF(Cleaned_Data[[#This Row],[Net_Sales]]&gt;=50000,"Medium","Low"))</f>
        <v>Low</v>
      </c>
    </row>
    <row r="489" spans="1:19" x14ac:dyDescent="0.3">
      <c r="A489" t="s">
        <v>637</v>
      </c>
      <c r="B489" s="1">
        <v>45184</v>
      </c>
      <c r="C489" t="s">
        <v>115</v>
      </c>
      <c r="D489" t="s">
        <v>116</v>
      </c>
      <c r="E489" t="s">
        <v>81</v>
      </c>
      <c r="F489" t="s">
        <v>117</v>
      </c>
      <c r="G489" t="s">
        <v>39</v>
      </c>
      <c r="H489" t="s">
        <v>40</v>
      </c>
      <c r="I489">
        <v>1</v>
      </c>
      <c r="J489" s="8">
        <v>33600</v>
      </c>
      <c r="K489">
        <v>10</v>
      </c>
      <c r="L489" t="s">
        <v>33</v>
      </c>
      <c r="M489" s="5">
        <f>Cleaned_Data[[#This Row],[Quantity]]*Cleaned_Data[[#This Row],[Unit_Price]]</f>
        <v>33600</v>
      </c>
      <c r="N489" s="7">
        <f>Cleaned_Data[[#This Row],[Total_sales]]*(Cleaned_Data[[#This Row],[Discount_Percent]]/100)</f>
        <v>3360</v>
      </c>
      <c r="O489" s="7">
        <f>Cleaned_Data[[#This Row],[Total_sales]]-Cleaned_Data[[#This Row],[Discount_Amount]]</f>
        <v>30240</v>
      </c>
      <c r="P489" t="str">
        <f>TEXT(Cleaned_Data[[#This Row],[Order_Date]],"MMM-YYYY")</f>
        <v>Sep-2023</v>
      </c>
      <c r="Q489" t="str">
        <f>"Q"&amp;ROUNDUP(MONTH(Cleaned_Data[[#This Row],[Order_Date]])/3,0)&amp;"-2023"</f>
        <v>Q3-2023</v>
      </c>
      <c r="R489" t="str">
        <f>TEXT(Cleaned_Data[[#This Row],[Order_Date]],"DDD")</f>
        <v>Fri</v>
      </c>
      <c r="S489" t="str">
        <f>IF(Cleaned_Data[[#This Row],[Net_Sales]]&gt;=100000,"High",IF(Cleaned_Data[[#This Row],[Net_Sales]]&gt;=50000,"Medium","Low"))</f>
        <v>Low</v>
      </c>
    </row>
    <row r="490" spans="1:19" x14ac:dyDescent="0.3">
      <c r="A490" t="s">
        <v>638</v>
      </c>
      <c r="B490" s="1">
        <v>45184</v>
      </c>
      <c r="C490" t="s">
        <v>180</v>
      </c>
      <c r="D490" t="s">
        <v>181</v>
      </c>
      <c r="E490" t="s">
        <v>15</v>
      </c>
      <c r="F490" t="s">
        <v>119</v>
      </c>
      <c r="G490" t="s">
        <v>45</v>
      </c>
      <c r="H490" t="s">
        <v>46</v>
      </c>
      <c r="I490">
        <v>1</v>
      </c>
      <c r="J490" s="8">
        <v>43000</v>
      </c>
      <c r="K490">
        <v>10</v>
      </c>
      <c r="L490" t="s">
        <v>73</v>
      </c>
      <c r="M490" s="5">
        <f>Cleaned_Data[[#This Row],[Quantity]]*Cleaned_Data[[#This Row],[Unit_Price]]</f>
        <v>43000</v>
      </c>
      <c r="N490" s="7">
        <f>Cleaned_Data[[#This Row],[Total_sales]]*(Cleaned_Data[[#This Row],[Discount_Percent]]/100)</f>
        <v>4300</v>
      </c>
      <c r="O490" s="7">
        <f>Cleaned_Data[[#This Row],[Total_sales]]-Cleaned_Data[[#This Row],[Discount_Amount]]</f>
        <v>38700</v>
      </c>
      <c r="P490" t="str">
        <f>TEXT(Cleaned_Data[[#This Row],[Order_Date]],"MMM-YYYY")</f>
        <v>Sep-2023</v>
      </c>
      <c r="Q490" t="str">
        <f>"Q"&amp;ROUNDUP(MONTH(Cleaned_Data[[#This Row],[Order_Date]])/3,0)&amp;"-2023"</f>
        <v>Q3-2023</v>
      </c>
      <c r="R490" t="str">
        <f>TEXT(Cleaned_Data[[#This Row],[Order_Date]],"DDD")</f>
        <v>Fri</v>
      </c>
      <c r="S490" t="str">
        <f>IF(Cleaned_Data[[#This Row],[Net_Sales]]&gt;=100000,"High",IF(Cleaned_Data[[#This Row],[Net_Sales]]&gt;=50000,"Medium","Low"))</f>
        <v>Low</v>
      </c>
    </row>
    <row r="491" spans="1:19" x14ac:dyDescent="0.3">
      <c r="A491" t="s">
        <v>639</v>
      </c>
      <c r="B491" s="1">
        <v>45184</v>
      </c>
      <c r="C491" t="s">
        <v>75</v>
      </c>
      <c r="D491" t="s">
        <v>76</v>
      </c>
      <c r="E491" t="s">
        <v>15</v>
      </c>
      <c r="F491" t="s">
        <v>119</v>
      </c>
      <c r="G491" t="s">
        <v>17</v>
      </c>
      <c r="H491" t="s">
        <v>196</v>
      </c>
      <c r="I491">
        <v>1</v>
      </c>
      <c r="J491" s="8">
        <v>32200</v>
      </c>
      <c r="K491">
        <v>25</v>
      </c>
      <c r="L491" t="s">
        <v>47</v>
      </c>
      <c r="M491" s="5">
        <f>Cleaned_Data[[#This Row],[Quantity]]*Cleaned_Data[[#This Row],[Unit_Price]]</f>
        <v>32200</v>
      </c>
      <c r="N491" s="7">
        <f>Cleaned_Data[[#This Row],[Total_sales]]*(Cleaned_Data[[#This Row],[Discount_Percent]]/100)</f>
        <v>8050</v>
      </c>
      <c r="O491" s="7">
        <f>Cleaned_Data[[#This Row],[Total_sales]]-Cleaned_Data[[#This Row],[Discount_Amount]]</f>
        <v>24150</v>
      </c>
      <c r="P491" t="str">
        <f>TEXT(Cleaned_Data[[#This Row],[Order_Date]],"MMM-YYYY")</f>
        <v>Sep-2023</v>
      </c>
      <c r="Q491" t="str">
        <f>"Q"&amp;ROUNDUP(MONTH(Cleaned_Data[[#This Row],[Order_Date]])/3,0)&amp;"-2023"</f>
        <v>Q3-2023</v>
      </c>
      <c r="R491" t="str">
        <f>TEXT(Cleaned_Data[[#This Row],[Order_Date]],"DDD")</f>
        <v>Fri</v>
      </c>
      <c r="S491" t="str">
        <f>IF(Cleaned_Data[[#This Row],[Net_Sales]]&gt;=100000,"High",IF(Cleaned_Data[[#This Row],[Net_Sales]]&gt;=50000,"Medium","Low"))</f>
        <v>Low</v>
      </c>
    </row>
    <row r="492" spans="1:19" x14ac:dyDescent="0.3">
      <c r="A492" t="s">
        <v>640</v>
      </c>
      <c r="B492" s="1">
        <v>45214</v>
      </c>
      <c r="C492" t="s">
        <v>236</v>
      </c>
      <c r="D492" t="s">
        <v>237</v>
      </c>
      <c r="E492" t="s">
        <v>66</v>
      </c>
      <c r="F492" t="s">
        <v>72</v>
      </c>
      <c r="G492" t="s">
        <v>17</v>
      </c>
      <c r="H492" t="s">
        <v>196</v>
      </c>
      <c r="I492">
        <v>1</v>
      </c>
      <c r="J492" s="8">
        <v>35800</v>
      </c>
      <c r="K492">
        <v>10</v>
      </c>
      <c r="L492" t="s">
        <v>33</v>
      </c>
      <c r="M492" s="5">
        <f>Cleaned_Data[[#This Row],[Quantity]]*Cleaned_Data[[#This Row],[Unit_Price]]</f>
        <v>35800</v>
      </c>
      <c r="N492" s="7">
        <f>Cleaned_Data[[#This Row],[Total_sales]]*(Cleaned_Data[[#This Row],[Discount_Percent]]/100)</f>
        <v>3580</v>
      </c>
      <c r="O492" s="7">
        <f>Cleaned_Data[[#This Row],[Total_sales]]-Cleaned_Data[[#This Row],[Discount_Amount]]</f>
        <v>32220</v>
      </c>
      <c r="P492" t="str">
        <f>TEXT(Cleaned_Data[[#This Row],[Order_Date]],"MMM-YYYY")</f>
        <v>Oct-2023</v>
      </c>
      <c r="Q492" t="str">
        <f>"Q"&amp;ROUNDUP(MONTH(Cleaned_Data[[#This Row],[Order_Date]])/3,0)&amp;"-2023"</f>
        <v>Q4-2023</v>
      </c>
      <c r="R492" t="str">
        <f>TEXT(Cleaned_Data[[#This Row],[Order_Date]],"DDD")</f>
        <v>Sun</v>
      </c>
      <c r="S492" t="str">
        <f>IF(Cleaned_Data[[#This Row],[Net_Sales]]&gt;=100000,"High",IF(Cleaned_Data[[#This Row],[Net_Sales]]&gt;=50000,"Medium","Low"))</f>
        <v>Low</v>
      </c>
    </row>
    <row r="493" spans="1:19" x14ac:dyDescent="0.3">
      <c r="A493" t="s">
        <v>641</v>
      </c>
      <c r="B493" s="1">
        <v>45214</v>
      </c>
      <c r="C493" t="s">
        <v>176</v>
      </c>
      <c r="D493" t="s">
        <v>177</v>
      </c>
      <c r="E493" t="s">
        <v>23</v>
      </c>
      <c r="F493" t="s">
        <v>24</v>
      </c>
      <c r="G493" t="s">
        <v>97</v>
      </c>
      <c r="H493" t="s">
        <v>171</v>
      </c>
      <c r="I493">
        <v>1</v>
      </c>
      <c r="J493" s="8">
        <v>63300</v>
      </c>
      <c r="K493">
        <v>20</v>
      </c>
      <c r="L493" t="s">
        <v>53</v>
      </c>
      <c r="M493" s="5">
        <f>Cleaned_Data[[#This Row],[Quantity]]*Cleaned_Data[[#This Row],[Unit_Price]]</f>
        <v>63300</v>
      </c>
      <c r="N493" s="7">
        <f>Cleaned_Data[[#This Row],[Total_sales]]*(Cleaned_Data[[#This Row],[Discount_Percent]]/100)</f>
        <v>12660</v>
      </c>
      <c r="O493" s="7">
        <f>Cleaned_Data[[#This Row],[Total_sales]]-Cleaned_Data[[#This Row],[Discount_Amount]]</f>
        <v>50640</v>
      </c>
      <c r="P493" t="str">
        <f>TEXT(Cleaned_Data[[#This Row],[Order_Date]],"MMM-YYYY")</f>
        <v>Oct-2023</v>
      </c>
      <c r="Q493" t="str">
        <f>"Q"&amp;ROUNDUP(MONTH(Cleaned_Data[[#This Row],[Order_Date]])/3,0)&amp;"-2023"</f>
        <v>Q4-2023</v>
      </c>
      <c r="R493" t="str">
        <f>TEXT(Cleaned_Data[[#This Row],[Order_Date]],"DDD")</f>
        <v>Sun</v>
      </c>
      <c r="S493" t="str">
        <f>IF(Cleaned_Data[[#This Row],[Net_Sales]]&gt;=100000,"High",IF(Cleaned_Data[[#This Row],[Net_Sales]]&gt;=50000,"Medium","Low"))</f>
        <v>Medium</v>
      </c>
    </row>
    <row r="494" spans="1:19" x14ac:dyDescent="0.3">
      <c r="A494" t="s">
        <v>642</v>
      </c>
      <c r="B494" s="1">
        <v>45214</v>
      </c>
      <c r="C494" t="s">
        <v>250</v>
      </c>
      <c r="D494" t="s">
        <v>251</v>
      </c>
      <c r="E494" t="s">
        <v>15</v>
      </c>
      <c r="F494" t="s">
        <v>16</v>
      </c>
      <c r="G494" t="s">
        <v>45</v>
      </c>
      <c r="H494" t="s">
        <v>207</v>
      </c>
      <c r="I494">
        <v>1</v>
      </c>
      <c r="J494" s="8">
        <v>36800</v>
      </c>
      <c r="K494">
        <v>15</v>
      </c>
      <c r="L494" t="s">
        <v>53</v>
      </c>
      <c r="M494" s="5">
        <f>Cleaned_Data[[#This Row],[Quantity]]*Cleaned_Data[[#This Row],[Unit_Price]]</f>
        <v>36800</v>
      </c>
      <c r="N494" s="7">
        <f>Cleaned_Data[[#This Row],[Total_sales]]*(Cleaned_Data[[#This Row],[Discount_Percent]]/100)</f>
        <v>5520</v>
      </c>
      <c r="O494" s="7">
        <f>Cleaned_Data[[#This Row],[Total_sales]]-Cleaned_Data[[#This Row],[Discount_Amount]]</f>
        <v>31280</v>
      </c>
      <c r="P494" t="str">
        <f>TEXT(Cleaned_Data[[#This Row],[Order_Date]],"MMM-YYYY")</f>
        <v>Oct-2023</v>
      </c>
      <c r="Q494" t="str">
        <f>"Q"&amp;ROUNDUP(MONTH(Cleaned_Data[[#This Row],[Order_Date]])/3,0)&amp;"-2023"</f>
        <v>Q4-2023</v>
      </c>
      <c r="R494" t="str">
        <f>TEXT(Cleaned_Data[[#This Row],[Order_Date]],"DDD")</f>
        <v>Sun</v>
      </c>
      <c r="S494" t="str">
        <f>IF(Cleaned_Data[[#This Row],[Net_Sales]]&gt;=100000,"High",IF(Cleaned_Data[[#This Row],[Net_Sales]]&gt;=50000,"Medium","Low"))</f>
        <v>Low</v>
      </c>
    </row>
    <row r="495" spans="1:19" x14ac:dyDescent="0.3">
      <c r="A495" t="s">
        <v>643</v>
      </c>
      <c r="B495" s="1">
        <v>45245</v>
      </c>
      <c r="C495" t="s">
        <v>176</v>
      </c>
      <c r="D495" t="s">
        <v>177</v>
      </c>
      <c r="E495" t="s">
        <v>37</v>
      </c>
      <c r="F495" t="s">
        <v>101</v>
      </c>
      <c r="G495" t="s">
        <v>25</v>
      </c>
      <c r="H495" t="s">
        <v>108</v>
      </c>
      <c r="I495">
        <v>2</v>
      </c>
      <c r="J495" s="8">
        <v>1300</v>
      </c>
      <c r="K495">
        <v>20</v>
      </c>
      <c r="L495" t="s">
        <v>47</v>
      </c>
      <c r="M495" s="5">
        <f>Cleaned_Data[[#This Row],[Quantity]]*Cleaned_Data[[#This Row],[Unit_Price]]</f>
        <v>2600</v>
      </c>
      <c r="N495" s="7">
        <f>Cleaned_Data[[#This Row],[Total_sales]]*(Cleaned_Data[[#This Row],[Discount_Percent]]/100)</f>
        <v>520</v>
      </c>
      <c r="O495" s="7">
        <f>Cleaned_Data[[#This Row],[Total_sales]]-Cleaned_Data[[#This Row],[Discount_Amount]]</f>
        <v>2080</v>
      </c>
      <c r="P495" t="str">
        <f>TEXT(Cleaned_Data[[#This Row],[Order_Date]],"MMM-YYYY")</f>
        <v>Nov-2023</v>
      </c>
      <c r="Q495" t="str">
        <f>"Q"&amp;ROUNDUP(MONTH(Cleaned_Data[[#This Row],[Order_Date]])/3,0)&amp;"-2023"</f>
        <v>Q4-2023</v>
      </c>
      <c r="R495" t="str">
        <f>TEXT(Cleaned_Data[[#This Row],[Order_Date]],"DDD")</f>
        <v>Wed</v>
      </c>
      <c r="S495" t="str">
        <f>IF(Cleaned_Data[[#This Row],[Net_Sales]]&gt;=100000,"High",IF(Cleaned_Data[[#This Row],[Net_Sales]]&gt;=50000,"Medium","Low"))</f>
        <v>Low</v>
      </c>
    </row>
    <row r="496" spans="1:19" x14ac:dyDescent="0.3">
      <c r="A496" t="s">
        <v>644</v>
      </c>
      <c r="B496" s="1">
        <v>45245</v>
      </c>
      <c r="C496" t="s">
        <v>21</v>
      </c>
      <c r="D496" t="s">
        <v>22</v>
      </c>
      <c r="E496" t="s">
        <v>15</v>
      </c>
      <c r="F496" t="s">
        <v>128</v>
      </c>
      <c r="G496" t="s">
        <v>25</v>
      </c>
      <c r="H496" t="s">
        <v>26</v>
      </c>
      <c r="I496">
        <v>2</v>
      </c>
      <c r="J496" s="8">
        <v>1300</v>
      </c>
      <c r="K496">
        <v>20</v>
      </c>
      <c r="L496" t="s">
        <v>19</v>
      </c>
      <c r="M496" s="5">
        <f>Cleaned_Data[[#This Row],[Quantity]]*Cleaned_Data[[#This Row],[Unit_Price]]</f>
        <v>2600</v>
      </c>
      <c r="N496" s="7">
        <f>Cleaned_Data[[#This Row],[Total_sales]]*(Cleaned_Data[[#This Row],[Discount_Percent]]/100)</f>
        <v>520</v>
      </c>
      <c r="O496" s="7">
        <f>Cleaned_Data[[#This Row],[Total_sales]]-Cleaned_Data[[#This Row],[Discount_Amount]]</f>
        <v>2080</v>
      </c>
      <c r="P496" t="str">
        <f>TEXT(Cleaned_Data[[#This Row],[Order_Date]],"MMM-YYYY")</f>
        <v>Nov-2023</v>
      </c>
      <c r="Q496" t="str">
        <f>"Q"&amp;ROUNDUP(MONTH(Cleaned_Data[[#This Row],[Order_Date]])/3,0)&amp;"-2023"</f>
        <v>Q4-2023</v>
      </c>
      <c r="R496" t="str">
        <f>TEXT(Cleaned_Data[[#This Row],[Order_Date]],"DDD")</f>
        <v>Wed</v>
      </c>
      <c r="S496" t="str">
        <f>IF(Cleaned_Data[[#This Row],[Net_Sales]]&gt;=100000,"High",IF(Cleaned_Data[[#This Row],[Net_Sales]]&gt;=50000,"Medium","Low"))</f>
        <v>Low</v>
      </c>
    </row>
    <row r="497" spans="1:19" x14ac:dyDescent="0.3">
      <c r="A497" t="s">
        <v>645</v>
      </c>
      <c r="B497" s="1">
        <v>45245</v>
      </c>
      <c r="C497" t="s">
        <v>284</v>
      </c>
      <c r="D497" t="s">
        <v>285</v>
      </c>
      <c r="E497" t="s">
        <v>37</v>
      </c>
      <c r="F497" t="s">
        <v>141</v>
      </c>
      <c r="G497" t="s">
        <v>45</v>
      </c>
      <c r="H497" t="s">
        <v>156</v>
      </c>
      <c r="I497">
        <v>1</v>
      </c>
      <c r="J497" s="8">
        <v>32700</v>
      </c>
      <c r="K497">
        <v>5</v>
      </c>
      <c r="L497" t="s">
        <v>33</v>
      </c>
      <c r="M497" s="5">
        <f>Cleaned_Data[[#This Row],[Quantity]]*Cleaned_Data[[#This Row],[Unit_Price]]</f>
        <v>32700</v>
      </c>
      <c r="N497" s="7">
        <f>Cleaned_Data[[#This Row],[Total_sales]]*(Cleaned_Data[[#This Row],[Discount_Percent]]/100)</f>
        <v>1635</v>
      </c>
      <c r="O497" s="7">
        <f>Cleaned_Data[[#This Row],[Total_sales]]-Cleaned_Data[[#This Row],[Discount_Amount]]</f>
        <v>31065</v>
      </c>
      <c r="P497" t="str">
        <f>TEXT(Cleaned_Data[[#This Row],[Order_Date]],"MMM-YYYY")</f>
        <v>Nov-2023</v>
      </c>
      <c r="Q497" t="str">
        <f>"Q"&amp;ROUNDUP(MONTH(Cleaned_Data[[#This Row],[Order_Date]])/3,0)&amp;"-2023"</f>
        <v>Q4-2023</v>
      </c>
      <c r="R497" t="str">
        <f>TEXT(Cleaned_Data[[#This Row],[Order_Date]],"DDD")</f>
        <v>Wed</v>
      </c>
      <c r="S497" t="str">
        <f>IF(Cleaned_Data[[#This Row],[Net_Sales]]&gt;=100000,"High",IF(Cleaned_Data[[#This Row],[Net_Sales]]&gt;=50000,"Medium","Low"))</f>
        <v>Low</v>
      </c>
    </row>
    <row r="498" spans="1:19" x14ac:dyDescent="0.3">
      <c r="A498" t="s">
        <v>646</v>
      </c>
      <c r="B498" s="1">
        <v>45245</v>
      </c>
      <c r="C498" t="s">
        <v>105</v>
      </c>
      <c r="D498" t="s">
        <v>106</v>
      </c>
      <c r="E498" t="s">
        <v>37</v>
      </c>
      <c r="F498" t="s">
        <v>38</v>
      </c>
      <c r="G498" t="s">
        <v>17</v>
      </c>
      <c r="H498" t="s">
        <v>77</v>
      </c>
      <c r="I498">
        <v>1</v>
      </c>
      <c r="J498" s="8">
        <v>40100</v>
      </c>
      <c r="K498">
        <v>0</v>
      </c>
      <c r="L498" t="s">
        <v>33</v>
      </c>
      <c r="M498" s="5">
        <f>Cleaned_Data[[#This Row],[Quantity]]*Cleaned_Data[[#This Row],[Unit_Price]]</f>
        <v>40100</v>
      </c>
      <c r="N498" s="7">
        <f>Cleaned_Data[[#This Row],[Total_sales]]*(Cleaned_Data[[#This Row],[Discount_Percent]]/100)</f>
        <v>0</v>
      </c>
      <c r="O498" s="7">
        <f>Cleaned_Data[[#This Row],[Total_sales]]-Cleaned_Data[[#This Row],[Discount_Amount]]</f>
        <v>40100</v>
      </c>
      <c r="P498" t="str">
        <f>TEXT(Cleaned_Data[[#This Row],[Order_Date]],"MMM-YYYY")</f>
        <v>Nov-2023</v>
      </c>
      <c r="Q498" t="str">
        <f>"Q"&amp;ROUNDUP(MONTH(Cleaned_Data[[#This Row],[Order_Date]])/3,0)&amp;"-2023"</f>
        <v>Q4-2023</v>
      </c>
      <c r="R498" t="str">
        <f>TEXT(Cleaned_Data[[#This Row],[Order_Date]],"DDD")</f>
        <v>Wed</v>
      </c>
      <c r="S498" t="str">
        <f>IF(Cleaned_Data[[#This Row],[Net_Sales]]&gt;=100000,"High",IF(Cleaned_Data[[#This Row],[Net_Sales]]&gt;=50000,"Medium","Low"))</f>
        <v>Low</v>
      </c>
    </row>
    <row r="499" spans="1:19" x14ac:dyDescent="0.3">
      <c r="A499" t="s">
        <v>647</v>
      </c>
      <c r="B499" s="1">
        <v>45275</v>
      </c>
      <c r="C499" t="s">
        <v>158</v>
      </c>
      <c r="D499" t="s">
        <v>159</v>
      </c>
      <c r="E499" t="s">
        <v>23</v>
      </c>
      <c r="F499" t="s">
        <v>51</v>
      </c>
      <c r="G499" t="s">
        <v>45</v>
      </c>
      <c r="H499" t="s">
        <v>156</v>
      </c>
      <c r="I499">
        <v>1</v>
      </c>
      <c r="J499" s="8">
        <v>31200</v>
      </c>
      <c r="K499">
        <v>25</v>
      </c>
      <c r="L499" t="s">
        <v>62</v>
      </c>
      <c r="M499" s="5">
        <f>Cleaned_Data[[#This Row],[Quantity]]*Cleaned_Data[[#This Row],[Unit_Price]]</f>
        <v>31200</v>
      </c>
      <c r="N499" s="7">
        <f>Cleaned_Data[[#This Row],[Total_sales]]*(Cleaned_Data[[#This Row],[Discount_Percent]]/100)</f>
        <v>7800</v>
      </c>
      <c r="O499" s="7">
        <f>Cleaned_Data[[#This Row],[Total_sales]]-Cleaned_Data[[#This Row],[Discount_Amount]]</f>
        <v>23400</v>
      </c>
      <c r="P499" t="str">
        <f>TEXT(Cleaned_Data[[#This Row],[Order_Date]],"MMM-YYYY")</f>
        <v>Dec-2023</v>
      </c>
      <c r="Q499" t="str">
        <f>"Q"&amp;ROUNDUP(MONTH(Cleaned_Data[[#This Row],[Order_Date]])/3,0)&amp;"-2023"</f>
        <v>Q4-2023</v>
      </c>
      <c r="R499" t="str">
        <f>TEXT(Cleaned_Data[[#This Row],[Order_Date]],"DDD")</f>
        <v>Fri</v>
      </c>
      <c r="S499" t="str">
        <f>IF(Cleaned_Data[[#This Row],[Net_Sales]]&gt;=100000,"High",IF(Cleaned_Data[[#This Row],[Net_Sales]]&gt;=50000,"Medium","Low"))</f>
        <v>Low</v>
      </c>
    </row>
    <row r="500" spans="1:19" x14ac:dyDescent="0.3">
      <c r="A500" t="s">
        <v>648</v>
      </c>
      <c r="B500" s="1">
        <v>45275</v>
      </c>
      <c r="C500" t="s">
        <v>112</v>
      </c>
      <c r="D500" t="s">
        <v>113</v>
      </c>
      <c r="E500" t="s">
        <v>23</v>
      </c>
      <c r="F500" t="s">
        <v>44</v>
      </c>
      <c r="G500" t="s">
        <v>45</v>
      </c>
      <c r="H500" t="s">
        <v>207</v>
      </c>
      <c r="I500">
        <v>1</v>
      </c>
      <c r="J500" s="8">
        <v>44500</v>
      </c>
      <c r="K500">
        <v>10</v>
      </c>
      <c r="L500" t="s">
        <v>103</v>
      </c>
      <c r="M500" s="5">
        <f>Cleaned_Data[[#This Row],[Quantity]]*Cleaned_Data[[#This Row],[Unit_Price]]</f>
        <v>44500</v>
      </c>
      <c r="N500" s="7">
        <f>Cleaned_Data[[#This Row],[Total_sales]]*(Cleaned_Data[[#This Row],[Discount_Percent]]/100)</f>
        <v>4450</v>
      </c>
      <c r="O500" s="7">
        <f>Cleaned_Data[[#This Row],[Total_sales]]-Cleaned_Data[[#This Row],[Discount_Amount]]</f>
        <v>40050</v>
      </c>
      <c r="P500" t="str">
        <f>TEXT(Cleaned_Data[[#This Row],[Order_Date]],"MMM-YYYY")</f>
        <v>Dec-2023</v>
      </c>
      <c r="Q500" t="str">
        <f>"Q"&amp;ROUNDUP(MONTH(Cleaned_Data[[#This Row],[Order_Date]])/3,0)&amp;"-2023"</f>
        <v>Q4-2023</v>
      </c>
      <c r="R500" t="str">
        <f>TEXT(Cleaned_Data[[#This Row],[Order_Date]],"DDD")</f>
        <v>Fri</v>
      </c>
      <c r="S500" t="str">
        <f>IF(Cleaned_Data[[#This Row],[Net_Sales]]&gt;=100000,"High",IF(Cleaned_Data[[#This Row],[Net_Sales]]&gt;=50000,"Medium","Low"))</f>
        <v>Low</v>
      </c>
    </row>
    <row r="501" spans="1:19" x14ac:dyDescent="0.3">
      <c r="A501" t="s">
        <v>649</v>
      </c>
      <c r="B501" s="1">
        <v>45275</v>
      </c>
      <c r="C501" t="s">
        <v>250</v>
      </c>
      <c r="D501" t="s">
        <v>251</v>
      </c>
      <c r="E501" t="s">
        <v>15</v>
      </c>
      <c r="F501" t="s">
        <v>16</v>
      </c>
      <c r="G501" t="s">
        <v>45</v>
      </c>
      <c r="H501" t="s">
        <v>46</v>
      </c>
      <c r="I501">
        <v>1</v>
      </c>
      <c r="J501" s="8">
        <v>46500</v>
      </c>
      <c r="K501">
        <v>15</v>
      </c>
      <c r="L501" t="s">
        <v>73</v>
      </c>
      <c r="M501" s="5">
        <f>Cleaned_Data[[#This Row],[Quantity]]*Cleaned_Data[[#This Row],[Unit_Price]]</f>
        <v>46500</v>
      </c>
      <c r="N501" s="7">
        <f>Cleaned_Data[[#This Row],[Total_sales]]*(Cleaned_Data[[#This Row],[Discount_Percent]]/100)</f>
        <v>6975</v>
      </c>
      <c r="O501" s="7">
        <f>Cleaned_Data[[#This Row],[Total_sales]]-Cleaned_Data[[#This Row],[Discount_Amount]]</f>
        <v>39525</v>
      </c>
      <c r="P501" t="str">
        <f>TEXT(Cleaned_Data[[#This Row],[Order_Date]],"MMM-YYYY")</f>
        <v>Dec-2023</v>
      </c>
      <c r="Q501" t="str">
        <f>"Q"&amp;ROUNDUP(MONTH(Cleaned_Data[[#This Row],[Order_Date]])/3,0)&amp;"-2023"</f>
        <v>Q4-2023</v>
      </c>
      <c r="R501" t="str">
        <f>TEXT(Cleaned_Data[[#This Row],[Order_Date]],"DDD")</f>
        <v>Fri</v>
      </c>
      <c r="S501" t="str">
        <f>IF(Cleaned_Data[[#This Row],[Net_Sales]]&gt;=100000,"High",IF(Cleaned_Data[[#This Row],[Net_Sales]]&gt;=50000,"Medium","Low"))</f>
        <v>Low</v>
      </c>
    </row>
    <row r="502" spans="1:19" x14ac:dyDescent="0.3">
      <c r="A502" t="s">
        <v>650</v>
      </c>
      <c r="B502" s="1">
        <v>45275</v>
      </c>
      <c r="C502" t="s">
        <v>203</v>
      </c>
      <c r="D502" t="s">
        <v>204</v>
      </c>
      <c r="E502" t="s">
        <v>66</v>
      </c>
      <c r="F502" t="s">
        <v>87</v>
      </c>
      <c r="G502" t="s">
        <v>25</v>
      </c>
      <c r="H502" t="s">
        <v>108</v>
      </c>
      <c r="I502">
        <v>2</v>
      </c>
      <c r="J502" s="8">
        <v>2600</v>
      </c>
      <c r="K502">
        <v>20</v>
      </c>
      <c r="L502" t="s">
        <v>62</v>
      </c>
      <c r="M502" s="5">
        <f>Cleaned_Data[[#This Row],[Quantity]]*Cleaned_Data[[#This Row],[Unit_Price]]</f>
        <v>5200</v>
      </c>
      <c r="N502" s="7">
        <f>Cleaned_Data[[#This Row],[Total_sales]]*(Cleaned_Data[[#This Row],[Discount_Percent]]/100)</f>
        <v>1040</v>
      </c>
      <c r="O502" s="7">
        <f>Cleaned_Data[[#This Row],[Total_sales]]-Cleaned_Data[[#This Row],[Discount_Amount]]</f>
        <v>4160</v>
      </c>
      <c r="P502" t="str">
        <f>TEXT(Cleaned_Data[[#This Row],[Order_Date]],"MMM-YYYY")</f>
        <v>Dec-2023</v>
      </c>
      <c r="Q502" t="str">
        <f>"Q"&amp;ROUNDUP(MONTH(Cleaned_Data[[#This Row],[Order_Date]])/3,0)&amp;"-2023"</f>
        <v>Q4-2023</v>
      </c>
      <c r="R502" t="str">
        <f>TEXT(Cleaned_Data[[#This Row],[Order_Date]],"DDD")</f>
        <v>Fri</v>
      </c>
      <c r="S502" t="str">
        <f>IF(Cleaned_Data[[#This Row],[Net_Sales]]&gt;=100000,"High",IF(Cleaned_Data[[#This Row],[Net_Sales]]&gt;=50000,"Medium","Low"))</f>
        <v>Low</v>
      </c>
    </row>
    <row r="503" spans="1:19" x14ac:dyDescent="0.3">
      <c r="A503" t="s">
        <v>651</v>
      </c>
      <c r="B503" s="1">
        <v>44942</v>
      </c>
      <c r="C503" t="s">
        <v>105</v>
      </c>
      <c r="D503" t="s">
        <v>106</v>
      </c>
      <c r="E503" t="s">
        <v>81</v>
      </c>
      <c r="F503" t="s">
        <v>110</v>
      </c>
      <c r="G503" t="s">
        <v>45</v>
      </c>
      <c r="H503" t="s">
        <v>207</v>
      </c>
      <c r="I503">
        <v>1</v>
      </c>
      <c r="J503" s="8">
        <v>22500</v>
      </c>
      <c r="K503">
        <v>5</v>
      </c>
      <c r="L503" t="s">
        <v>19</v>
      </c>
      <c r="M503" s="5">
        <f>Cleaned_Data[[#This Row],[Quantity]]*Cleaned_Data[[#This Row],[Unit_Price]]</f>
        <v>22500</v>
      </c>
      <c r="N503" s="7">
        <f>Cleaned_Data[[#This Row],[Total_sales]]*(Cleaned_Data[[#This Row],[Discount_Percent]]/100)</f>
        <v>1125</v>
      </c>
      <c r="O503" s="7">
        <f>Cleaned_Data[[#This Row],[Total_sales]]-Cleaned_Data[[#This Row],[Discount_Amount]]</f>
        <v>21375</v>
      </c>
      <c r="P503" t="str">
        <f>TEXT(Cleaned_Data[[#This Row],[Order_Date]],"MMM-YYYY")</f>
        <v>Jan-2023</v>
      </c>
      <c r="Q503" t="str">
        <f>"Q"&amp;ROUNDUP(MONTH(Cleaned_Data[[#This Row],[Order_Date]])/3,0)&amp;"-2023"</f>
        <v>Q1-2023</v>
      </c>
      <c r="R503" t="str">
        <f>TEXT(Cleaned_Data[[#This Row],[Order_Date]],"DDD")</f>
        <v>Mon</v>
      </c>
      <c r="S503" t="str">
        <f>IF(Cleaned_Data[[#This Row],[Net_Sales]]&gt;=100000,"High",IF(Cleaned_Data[[#This Row],[Net_Sales]]&gt;=50000,"Medium","Low"))</f>
        <v>Low</v>
      </c>
    </row>
    <row r="504" spans="1:19" x14ac:dyDescent="0.3">
      <c r="A504" t="s">
        <v>652</v>
      </c>
      <c r="B504" s="1">
        <v>44973</v>
      </c>
      <c r="C504" t="s">
        <v>122</v>
      </c>
      <c r="D504" t="s">
        <v>123</v>
      </c>
      <c r="E504" t="s">
        <v>66</v>
      </c>
      <c r="F504" t="s">
        <v>67</v>
      </c>
      <c r="G504" t="s">
        <v>97</v>
      </c>
      <c r="H504" t="s">
        <v>133</v>
      </c>
      <c r="I504">
        <v>2</v>
      </c>
      <c r="J504" s="8">
        <v>62100</v>
      </c>
      <c r="K504">
        <v>0</v>
      </c>
      <c r="L504" t="s">
        <v>103</v>
      </c>
      <c r="M504" s="5">
        <f>Cleaned_Data[[#This Row],[Quantity]]*Cleaned_Data[[#This Row],[Unit_Price]]</f>
        <v>124200</v>
      </c>
      <c r="N504" s="7">
        <f>Cleaned_Data[[#This Row],[Total_sales]]*(Cleaned_Data[[#This Row],[Discount_Percent]]/100)</f>
        <v>0</v>
      </c>
      <c r="O504" s="7">
        <f>Cleaned_Data[[#This Row],[Total_sales]]-Cleaned_Data[[#This Row],[Discount_Amount]]</f>
        <v>124200</v>
      </c>
      <c r="P504" t="str">
        <f>TEXT(Cleaned_Data[[#This Row],[Order_Date]],"MMM-YYYY")</f>
        <v>Feb-2023</v>
      </c>
      <c r="Q504" t="str">
        <f>"Q"&amp;ROUNDUP(MONTH(Cleaned_Data[[#This Row],[Order_Date]])/3,0)&amp;"-2023"</f>
        <v>Q1-2023</v>
      </c>
      <c r="R504" t="str">
        <f>TEXT(Cleaned_Data[[#This Row],[Order_Date]],"DDD")</f>
        <v>Thu</v>
      </c>
      <c r="S504" t="str">
        <f>IF(Cleaned_Data[[#This Row],[Net_Sales]]&gt;=100000,"High",IF(Cleaned_Data[[#This Row],[Net_Sales]]&gt;=50000,"Medium","Low"))</f>
        <v>High</v>
      </c>
    </row>
    <row r="505" spans="1:19" x14ac:dyDescent="0.3">
      <c r="A505" t="s">
        <v>653</v>
      </c>
      <c r="B505" s="1">
        <v>44973</v>
      </c>
      <c r="C505" t="s">
        <v>75</v>
      </c>
      <c r="D505" t="s">
        <v>76</v>
      </c>
      <c r="E505" t="s">
        <v>23</v>
      </c>
      <c r="F505" t="s">
        <v>24</v>
      </c>
      <c r="G505" t="s">
        <v>25</v>
      </c>
      <c r="H505" t="s">
        <v>26</v>
      </c>
      <c r="I505">
        <v>2</v>
      </c>
      <c r="J505" s="8">
        <v>1600</v>
      </c>
      <c r="K505">
        <v>10</v>
      </c>
      <c r="L505" t="s">
        <v>103</v>
      </c>
      <c r="M505" s="5">
        <f>Cleaned_Data[[#This Row],[Quantity]]*Cleaned_Data[[#This Row],[Unit_Price]]</f>
        <v>3200</v>
      </c>
      <c r="N505" s="7">
        <f>Cleaned_Data[[#This Row],[Total_sales]]*(Cleaned_Data[[#This Row],[Discount_Percent]]/100)</f>
        <v>320</v>
      </c>
      <c r="O505" s="7">
        <f>Cleaned_Data[[#This Row],[Total_sales]]-Cleaned_Data[[#This Row],[Discount_Amount]]</f>
        <v>2880</v>
      </c>
      <c r="P505" t="str">
        <f>TEXT(Cleaned_Data[[#This Row],[Order_Date]],"MMM-YYYY")</f>
        <v>Feb-2023</v>
      </c>
      <c r="Q505" t="str">
        <f>"Q"&amp;ROUNDUP(MONTH(Cleaned_Data[[#This Row],[Order_Date]])/3,0)&amp;"-2023"</f>
        <v>Q1-2023</v>
      </c>
      <c r="R505" t="str">
        <f>TEXT(Cleaned_Data[[#This Row],[Order_Date]],"DDD")</f>
        <v>Thu</v>
      </c>
      <c r="S505" t="str">
        <f>IF(Cleaned_Data[[#This Row],[Net_Sales]]&gt;=100000,"High",IF(Cleaned_Data[[#This Row],[Net_Sales]]&gt;=50000,"Medium","Low"))</f>
        <v>Low</v>
      </c>
    </row>
    <row r="506" spans="1:19" x14ac:dyDescent="0.3">
      <c r="A506" t="s">
        <v>654</v>
      </c>
      <c r="B506" s="1">
        <v>44973</v>
      </c>
      <c r="C506" t="s">
        <v>70</v>
      </c>
      <c r="D506" t="s">
        <v>71</v>
      </c>
      <c r="E506" t="s">
        <v>37</v>
      </c>
      <c r="F506" t="s">
        <v>61</v>
      </c>
      <c r="G506" t="s">
        <v>17</v>
      </c>
      <c r="H506" t="s">
        <v>196</v>
      </c>
      <c r="I506">
        <v>1</v>
      </c>
      <c r="J506" s="8">
        <v>33300</v>
      </c>
      <c r="K506">
        <v>15</v>
      </c>
      <c r="L506" t="s">
        <v>27</v>
      </c>
      <c r="M506" s="5">
        <f>Cleaned_Data[[#This Row],[Quantity]]*Cleaned_Data[[#This Row],[Unit_Price]]</f>
        <v>33300</v>
      </c>
      <c r="N506" s="7">
        <f>Cleaned_Data[[#This Row],[Total_sales]]*(Cleaned_Data[[#This Row],[Discount_Percent]]/100)</f>
        <v>4995</v>
      </c>
      <c r="O506" s="7">
        <f>Cleaned_Data[[#This Row],[Total_sales]]-Cleaned_Data[[#This Row],[Discount_Amount]]</f>
        <v>28305</v>
      </c>
      <c r="P506" t="str">
        <f>TEXT(Cleaned_Data[[#This Row],[Order_Date]],"MMM-YYYY")</f>
        <v>Feb-2023</v>
      </c>
      <c r="Q506" t="str">
        <f>"Q"&amp;ROUNDUP(MONTH(Cleaned_Data[[#This Row],[Order_Date]])/3,0)&amp;"-2023"</f>
        <v>Q1-2023</v>
      </c>
      <c r="R506" t="str">
        <f>TEXT(Cleaned_Data[[#This Row],[Order_Date]],"DDD")</f>
        <v>Thu</v>
      </c>
      <c r="S506" t="str">
        <f>IF(Cleaned_Data[[#This Row],[Net_Sales]]&gt;=100000,"High",IF(Cleaned_Data[[#This Row],[Net_Sales]]&gt;=50000,"Medium","Low"))</f>
        <v>Low</v>
      </c>
    </row>
    <row r="507" spans="1:19" x14ac:dyDescent="0.3">
      <c r="A507" t="s">
        <v>655</v>
      </c>
      <c r="B507" s="1">
        <v>44973</v>
      </c>
      <c r="C507" t="s">
        <v>115</v>
      </c>
      <c r="D507" t="s">
        <v>116</v>
      </c>
      <c r="E507" t="s">
        <v>66</v>
      </c>
      <c r="F507" t="s">
        <v>92</v>
      </c>
      <c r="G507" t="s">
        <v>39</v>
      </c>
      <c r="H507" t="s">
        <v>57</v>
      </c>
      <c r="I507">
        <v>1</v>
      </c>
      <c r="J507" s="8">
        <v>21600</v>
      </c>
      <c r="K507">
        <v>10</v>
      </c>
      <c r="L507" t="s">
        <v>19</v>
      </c>
      <c r="M507" s="5">
        <f>Cleaned_Data[[#This Row],[Quantity]]*Cleaned_Data[[#This Row],[Unit_Price]]</f>
        <v>21600</v>
      </c>
      <c r="N507" s="7">
        <f>Cleaned_Data[[#This Row],[Total_sales]]*(Cleaned_Data[[#This Row],[Discount_Percent]]/100)</f>
        <v>2160</v>
      </c>
      <c r="O507" s="7">
        <f>Cleaned_Data[[#This Row],[Total_sales]]-Cleaned_Data[[#This Row],[Discount_Amount]]</f>
        <v>19440</v>
      </c>
      <c r="P507" t="str">
        <f>TEXT(Cleaned_Data[[#This Row],[Order_Date]],"MMM-YYYY")</f>
        <v>Feb-2023</v>
      </c>
      <c r="Q507" t="str">
        <f>"Q"&amp;ROUNDUP(MONTH(Cleaned_Data[[#This Row],[Order_Date]])/3,0)&amp;"-2023"</f>
        <v>Q1-2023</v>
      </c>
      <c r="R507" t="str">
        <f>TEXT(Cleaned_Data[[#This Row],[Order_Date]],"DDD")</f>
        <v>Thu</v>
      </c>
      <c r="S507" t="str">
        <f>IF(Cleaned_Data[[#This Row],[Net_Sales]]&gt;=100000,"High",IF(Cleaned_Data[[#This Row],[Net_Sales]]&gt;=50000,"Medium","Low"))</f>
        <v>Low</v>
      </c>
    </row>
    <row r="508" spans="1:19" x14ac:dyDescent="0.3">
      <c r="A508" t="s">
        <v>656</v>
      </c>
      <c r="B508" s="1">
        <v>44973</v>
      </c>
      <c r="C508" t="s">
        <v>95</v>
      </c>
      <c r="D508" t="s">
        <v>96</v>
      </c>
      <c r="E508" t="s">
        <v>15</v>
      </c>
      <c r="F508" t="s">
        <v>128</v>
      </c>
      <c r="G508" t="s">
        <v>25</v>
      </c>
      <c r="H508" t="s">
        <v>212</v>
      </c>
      <c r="I508">
        <v>2</v>
      </c>
      <c r="J508" s="8">
        <v>1200</v>
      </c>
      <c r="K508">
        <v>15</v>
      </c>
      <c r="L508" t="s">
        <v>62</v>
      </c>
      <c r="M508" s="5">
        <f>Cleaned_Data[[#This Row],[Quantity]]*Cleaned_Data[[#This Row],[Unit_Price]]</f>
        <v>2400</v>
      </c>
      <c r="N508" s="7">
        <f>Cleaned_Data[[#This Row],[Total_sales]]*(Cleaned_Data[[#This Row],[Discount_Percent]]/100)</f>
        <v>360</v>
      </c>
      <c r="O508" s="7">
        <f>Cleaned_Data[[#This Row],[Total_sales]]-Cleaned_Data[[#This Row],[Discount_Amount]]</f>
        <v>2040</v>
      </c>
      <c r="P508" t="str">
        <f>TEXT(Cleaned_Data[[#This Row],[Order_Date]],"MMM-YYYY")</f>
        <v>Feb-2023</v>
      </c>
      <c r="Q508" t="str">
        <f>"Q"&amp;ROUNDUP(MONTH(Cleaned_Data[[#This Row],[Order_Date]])/3,0)&amp;"-2023"</f>
        <v>Q1-2023</v>
      </c>
      <c r="R508" t="str">
        <f>TEXT(Cleaned_Data[[#This Row],[Order_Date]],"DDD")</f>
        <v>Thu</v>
      </c>
      <c r="S508" t="str">
        <f>IF(Cleaned_Data[[#This Row],[Net_Sales]]&gt;=100000,"High",IF(Cleaned_Data[[#This Row],[Net_Sales]]&gt;=50000,"Medium","Low"))</f>
        <v>Low</v>
      </c>
    </row>
    <row r="509" spans="1:19" x14ac:dyDescent="0.3">
      <c r="A509" t="s">
        <v>657</v>
      </c>
      <c r="B509" s="1">
        <v>44973</v>
      </c>
      <c r="C509" t="s">
        <v>95</v>
      </c>
      <c r="D509" t="s">
        <v>96</v>
      </c>
      <c r="E509" t="s">
        <v>15</v>
      </c>
      <c r="F509" t="s">
        <v>16</v>
      </c>
      <c r="G509" t="s">
        <v>39</v>
      </c>
      <c r="H509" t="s">
        <v>57</v>
      </c>
      <c r="I509">
        <v>1</v>
      </c>
      <c r="J509" s="8">
        <v>12100</v>
      </c>
      <c r="K509">
        <v>15</v>
      </c>
      <c r="L509" t="s">
        <v>53</v>
      </c>
      <c r="M509" s="5">
        <f>Cleaned_Data[[#This Row],[Quantity]]*Cleaned_Data[[#This Row],[Unit_Price]]</f>
        <v>12100</v>
      </c>
      <c r="N509" s="7">
        <f>Cleaned_Data[[#This Row],[Total_sales]]*(Cleaned_Data[[#This Row],[Discount_Percent]]/100)</f>
        <v>1815</v>
      </c>
      <c r="O509" s="7">
        <f>Cleaned_Data[[#This Row],[Total_sales]]-Cleaned_Data[[#This Row],[Discount_Amount]]</f>
        <v>10285</v>
      </c>
      <c r="P509" t="str">
        <f>TEXT(Cleaned_Data[[#This Row],[Order_Date]],"MMM-YYYY")</f>
        <v>Feb-2023</v>
      </c>
      <c r="Q509" t="str">
        <f>"Q"&amp;ROUNDUP(MONTH(Cleaned_Data[[#This Row],[Order_Date]])/3,0)&amp;"-2023"</f>
        <v>Q1-2023</v>
      </c>
      <c r="R509" t="str">
        <f>TEXT(Cleaned_Data[[#This Row],[Order_Date]],"DDD")</f>
        <v>Thu</v>
      </c>
      <c r="S509" t="str">
        <f>IF(Cleaned_Data[[#This Row],[Net_Sales]]&gt;=100000,"High",IF(Cleaned_Data[[#This Row],[Net_Sales]]&gt;=50000,"Medium","Low"))</f>
        <v>Low</v>
      </c>
    </row>
    <row r="510" spans="1:19" x14ac:dyDescent="0.3">
      <c r="A510" t="s">
        <v>658</v>
      </c>
      <c r="B510" s="1">
        <v>44973</v>
      </c>
      <c r="C510" t="s">
        <v>185</v>
      </c>
      <c r="D510" t="s">
        <v>186</v>
      </c>
      <c r="E510" t="s">
        <v>37</v>
      </c>
      <c r="F510" t="s">
        <v>61</v>
      </c>
      <c r="G510" t="s">
        <v>39</v>
      </c>
      <c r="H510" t="s">
        <v>40</v>
      </c>
      <c r="I510">
        <v>1</v>
      </c>
      <c r="J510" s="8">
        <v>26700</v>
      </c>
      <c r="K510">
        <v>10</v>
      </c>
      <c r="L510" t="s">
        <v>33</v>
      </c>
      <c r="M510" s="5">
        <f>Cleaned_Data[[#This Row],[Quantity]]*Cleaned_Data[[#This Row],[Unit_Price]]</f>
        <v>26700</v>
      </c>
      <c r="N510" s="7">
        <f>Cleaned_Data[[#This Row],[Total_sales]]*(Cleaned_Data[[#This Row],[Discount_Percent]]/100)</f>
        <v>2670</v>
      </c>
      <c r="O510" s="7">
        <f>Cleaned_Data[[#This Row],[Total_sales]]-Cleaned_Data[[#This Row],[Discount_Amount]]</f>
        <v>24030</v>
      </c>
      <c r="P510" t="str">
        <f>TEXT(Cleaned_Data[[#This Row],[Order_Date]],"MMM-YYYY")</f>
        <v>Feb-2023</v>
      </c>
      <c r="Q510" t="str">
        <f>"Q"&amp;ROUNDUP(MONTH(Cleaned_Data[[#This Row],[Order_Date]])/3,0)&amp;"-2023"</f>
        <v>Q1-2023</v>
      </c>
      <c r="R510" t="str">
        <f>TEXT(Cleaned_Data[[#This Row],[Order_Date]],"DDD")</f>
        <v>Thu</v>
      </c>
      <c r="S510" t="str">
        <f>IF(Cleaned_Data[[#This Row],[Net_Sales]]&gt;=100000,"High",IF(Cleaned_Data[[#This Row],[Net_Sales]]&gt;=50000,"Medium","Low"))</f>
        <v>Low</v>
      </c>
    </row>
    <row r="511" spans="1:19" x14ac:dyDescent="0.3">
      <c r="A511" t="s">
        <v>659</v>
      </c>
      <c r="B511" s="1">
        <v>44973</v>
      </c>
      <c r="C511" t="s">
        <v>112</v>
      </c>
      <c r="D511" t="s">
        <v>113</v>
      </c>
      <c r="E511" t="s">
        <v>15</v>
      </c>
      <c r="F511" t="s">
        <v>16</v>
      </c>
      <c r="G511" t="s">
        <v>97</v>
      </c>
      <c r="H511" t="s">
        <v>174</v>
      </c>
      <c r="I511">
        <v>1</v>
      </c>
      <c r="J511" s="8">
        <v>66700</v>
      </c>
      <c r="K511">
        <v>10</v>
      </c>
      <c r="L511" t="s">
        <v>19</v>
      </c>
      <c r="M511" s="5">
        <f>Cleaned_Data[[#This Row],[Quantity]]*Cleaned_Data[[#This Row],[Unit_Price]]</f>
        <v>66700</v>
      </c>
      <c r="N511" s="7">
        <f>Cleaned_Data[[#This Row],[Total_sales]]*(Cleaned_Data[[#This Row],[Discount_Percent]]/100)</f>
        <v>6670</v>
      </c>
      <c r="O511" s="7">
        <f>Cleaned_Data[[#This Row],[Total_sales]]-Cleaned_Data[[#This Row],[Discount_Amount]]</f>
        <v>60030</v>
      </c>
      <c r="P511" t="str">
        <f>TEXT(Cleaned_Data[[#This Row],[Order_Date]],"MMM-YYYY")</f>
        <v>Feb-2023</v>
      </c>
      <c r="Q511" t="str">
        <f>"Q"&amp;ROUNDUP(MONTH(Cleaned_Data[[#This Row],[Order_Date]])/3,0)&amp;"-2023"</f>
        <v>Q1-2023</v>
      </c>
      <c r="R511" t="str">
        <f>TEXT(Cleaned_Data[[#This Row],[Order_Date]],"DDD")</f>
        <v>Thu</v>
      </c>
      <c r="S511" t="str">
        <f>IF(Cleaned_Data[[#This Row],[Net_Sales]]&gt;=100000,"High",IF(Cleaned_Data[[#This Row],[Net_Sales]]&gt;=50000,"Medium","Low"))</f>
        <v>Medium</v>
      </c>
    </row>
    <row r="512" spans="1:19" x14ac:dyDescent="0.3">
      <c r="A512" t="s">
        <v>660</v>
      </c>
      <c r="B512" s="1">
        <v>45001</v>
      </c>
      <c r="C512" t="s">
        <v>84</v>
      </c>
      <c r="D512" t="s">
        <v>85</v>
      </c>
      <c r="E512" t="s">
        <v>81</v>
      </c>
      <c r="F512" t="s">
        <v>110</v>
      </c>
      <c r="G512" t="s">
        <v>45</v>
      </c>
      <c r="H512" t="s">
        <v>52</v>
      </c>
      <c r="I512">
        <v>1</v>
      </c>
      <c r="J512" s="8">
        <v>34900</v>
      </c>
      <c r="K512">
        <v>0</v>
      </c>
      <c r="L512" t="s">
        <v>103</v>
      </c>
      <c r="M512" s="5">
        <f>Cleaned_Data[[#This Row],[Quantity]]*Cleaned_Data[[#This Row],[Unit_Price]]</f>
        <v>34900</v>
      </c>
      <c r="N512" s="7">
        <f>Cleaned_Data[[#This Row],[Total_sales]]*(Cleaned_Data[[#This Row],[Discount_Percent]]/100)</f>
        <v>0</v>
      </c>
      <c r="O512" s="7">
        <f>Cleaned_Data[[#This Row],[Total_sales]]-Cleaned_Data[[#This Row],[Discount_Amount]]</f>
        <v>34900</v>
      </c>
      <c r="P512" t="str">
        <f>TEXT(Cleaned_Data[[#This Row],[Order_Date]],"MMM-YYYY")</f>
        <v>Mar-2023</v>
      </c>
      <c r="Q512" t="str">
        <f>"Q"&amp;ROUNDUP(MONTH(Cleaned_Data[[#This Row],[Order_Date]])/3,0)&amp;"-2023"</f>
        <v>Q1-2023</v>
      </c>
      <c r="R512" t="str">
        <f>TEXT(Cleaned_Data[[#This Row],[Order_Date]],"DDD")</f>
        <v>Thu</v>
      </c>
      <c r="S512" t="str">
        <f>IF(Cleaned_Data[[#This Row],[Net_Sales]]&gt;=100000,"High",IF(Cleaned_Data[[#This Row],[Net_Sales]]&gt;=50000,"Medium","Low"))</f>
        <v>Low</v>
      </c>
    </row>
    <row r="513" spans="1:19" x14ac:dyDescent="0.3">
      <c r="A513" t="s">
        <v>661</v>
      </c>
      <c r="B513" s="1">
        <v>45001</v>
      </c>
      <c r="C513" t="s">
        <v>75</v>
      </c>
      <c r="D513" t="s">
        <v>76</v>
      </c>
      <c r="E513" t="s">
        <v>37</v>
      </c>
      <c r="F513" t="s">
        <v>61</v>
      </c>
      <c r="G513" t="s">
        <v>17</v>
      </c>
      <c r="H513" t="s">
        <v>88</v>
      </c>
      <c r="I513">
        <v>1</v>
      </c>
      <c r="J513" s="8">
        <v>41000</v>
      </c>
      <c r="K513">
        <v>0</v>
      </c>
      <c r="L513" t="s">
        <v>103</v>
      </c>
      <c r="M513" s="5">
        <f>Cleaned_Data[[#This Row],[Quantity]]*Cleaned_Data[[#This Row],[Unit_Price]]</f>
        <v>41000</v>
      </c>
      <c r="N513" s="7">
        <f>Cleaned_Data[[#This Row],[Total_sales]]*(Cleaned_Data[[#This Row],[Discount_Percent]]/100)</f>
        <v>0</v>
      </c>
      <c r="O513" s="7">
        <f>Cleaned_Data[[#This Row],[Total_sales]]-Cleaned_Data[[#This Row],[Discount_Amount]]</f>
        <v>41000</v>
      </c>
      <c r="P513" t="str">
        <f>TEXT(Cleaned_Data[[#This Row],[Order_Date]],"MMM-YYYY")</f>
        <v>Mar-2023</v>
      </c>
      <c r="Q513" t="str">
        <f>"Q"&amp;ROUNDUP(MONTH(Cleaned_Data[[#This Row],[Order_Date]])/3,0)&amp;"-2023"</f>
        <v>Q1-2023</v>
      </c>
      <c r="R513" t="str">
        <f>TEXT(Cleaned_Data[[#This Row],[Order_Date]],"DDD")</f>
        <v>Thu</v>
      </c>
      <c r="S513" t="str">
        <f>IF(Cleaned_Data[[#This Row],[Net_Sales]]&gt;=100000,"High",IF(Cleaned_Data[[#This Row],[Net_Sales]]&gt;=50000,"Medium","Low"))</f>
        <v>Low</v>
      </c>
    </row>
    <row r="514" spans="1:19" x14ac:dyDescent="0.3">
      <c r="A514" t="s">
        <v>662</v>
      </c>
      <c r="B514" s="1">
        <v>45001</v>
      </c>
      <c r="C514" t="s">
        <v>143</v>
      </c>
      <c r="D514" t="s">
        <v>144</v>
      </c>
      <c r="E514" t="s">
        <v>15</v>
      </c>
      <c r="F514" t="s">
        <v>128</v>
      </c>
      <c r="G514" t="s">
        <v>25</v>
      </c>
      <c r="H514" t="s">
        <v>212</v>
      </c>
      <c r="I514">
        <v>2</v>
      </c>
      <c r="J514" s="8">
        <v>2500</v>
      </c>
      <c r="K514">
        <v>10</v>
      </c>
      <c r="L514" t="s">
        <v>73</v>
      </c>
      <c r="M514" s="5">
        <f>Cleaned_Data[[#This Row],[Quantity]]*Cleaned_Data[[#This Row],[Unit_Price]]</f>
        <v>5000</v>
      </c>
      <c r="N514" s="7">
        <f>Cleaned_Data[[#This Row],[Total_sales]]*(Cleaned_Data[[#This Row],[Discount_Percent]]/100)</f>
        <v>500</v>
      </c>
      <c r="O514" s="7">
        <f>Cleaned_Data[[#This Row],[Total_sales]]-Cleaned_Data[[#This Row],[Discount_Amount]]</f>
        <v>4500</v>
      </c>
      <c r="P514" t="str">
        <f>TEXT(Cleaned_Data[[#This Row],[Order_Date]],"MMM-YYYY")</f>
        <v>Mar-2023</v>
      </c>
      <c r="Q514" t="str">
        <f>"Q"&amp;ROUNDUP(MONTH(Cleaned_Data[[#This Row],[Order_Date]])/3,0)&amp;"-2023"</f>
        <v>Q1-2023</v>
      </c>
      <c r="R514" t="str">
        <f>TEXT(Cleaned_Data[[#This Row],[Order_Date]],"DDD")</f>
        <v>Thu</v>
      </c>
      <c r="S514" t="str">
        <f>IF(Cleaned_Data[[#This Row],[Net_Sales]]&gt;=100000,"High",IF(Cleaned_Data[[#This Row],[Net_Sales]]&gt;=50000,"Medium","Low"))</f>
        <v>Low</v>
      </c>
    </row>
    <row r="515" spans="1:19" x14ac:dyDescent="0.3">
      <c r="A515" t="s">
        <v>663</v>
      </c>
      <c r="B515" s="1">
        <v>45032</v>
      </c>
      <c r="C515" t="s">
        <v>112</v>
      </c>
      <c r="D515" t="s">
        <v>113</v>
      </c>
      <c r="E515" t="s">
        <v>15</v>
      </c>
      <c r="F515" t="s">
        <v>16</v>
      </c>
      <c r="G515" t="s">
        <v>39</v>
      </c>
      <c r="H515" t="s">
        <v>40</v>
      </c>
      <c r="I515">
        <v>1</v>
      </c>
      <c r="J515" s="8">
        <v>28500</v>
      </c>
      <c r="K515">
        <v>5</v>
      </c>
      <c r="L515" t="s">
        <v>47</v>
      </c>
      <c r="M515" s="5">
        <f>Cleaned_Data[[#This Row],[Quantity]]*Cleaned_Data[[#This Row],[Unit_Price]]</f>
        <v>28500</v>
      </c>
      <c r="N515" s="7">
        <f>Cleaned_Data[[#This Row],[Total_sales]]*(Cleaned_Data[[#This Row],[Discount_Percent]]/100)</f>
        <v>1425</v>
      </c>
      <c r="O515" s="7">
        <f>Cleaned_Data[[#This Row],[Total_sales]]-Cleaned_Data[[#This Row],[Discount_Amount]]</f>
        <v>27075</v>
      </c>
      <c r="P515" t="str">
        <f>TEXT(Cleaned_Data[[#This Row],[Order_Date]],"MMM-YYYY")</f>
        <v>Apr-2023</v>
      </c>
      <c r="Q515" t="str">
        <f>"Q"&amp;ROUNDUP(MONTH(Cleaned_Data[[#This Row],[Order_Date]])/3,0)&amp;"-2023"</f>
        <v>Q2-2023</v>
      </c>
      <c r="R515" t="str">
        <f>TEXT(Cleaned_Data[[#This Row],[Order_Date]],"DDD")</f>
        <v>Sun</v>
      </c>
      <c r="S515" t="str">
        <f>IF(Cleaned_Data[[#This Row],[Net_Sales]]&gt;=100000,"High",IF(Cleaned_Data[[#This Row],[Net_Sales]]&gt;=50000,"Medium","Low"))</f>
        <v>Low</v>
      </c>
    </row>
    <row r="516" spans="1:19" x14ac:dyDescent="0.3">
      <c r="A516" t="s">
        <v>664</v>
      </c>
      <c r="B516" s="1">
        <v>45062</v>
      </c>
      <c r="C516" t="s">
        <v>64</v>
      </c>
      <c r="D516" t="s">
        <v>65</v>
      </c>
      <c r="E516" t="s">
        <v>81</v>
      </c>
      <c r="F516" t="s">
        <v>110</v>
      </c>
      <c r="G516" t="s">
        <v>45</v>
      </c>
      <c r="H516" t="s">
        <v>207</v>
      </c>
      <c r="I516">
        <v>1</v>
      </c>
      <c r="J516" s="8">
        <v>28500</v>
      </c>
      <c r="K516">
        <v>10</v>
      </c>
      <c r="L516" t="s">
        <v>33</v>
      </c>
      <c r="M516" s="5">
        <f>Cleaned_Data[[#This Row],[Quantity]]*Cleaned_Data[[#This Row],[Unit_Price]]</f>
        <v>28500</v>
      </c>
      <c r="N516" s="7">
        <f>Cleaned_Data[[#This Row],[Total_sales]]*(Cleaned_Data[[#This Row],[Discount_Percent]]/100)</f>
        <v>2850</v>
      </c>
      <c r="O516" s="7">
        <f>Cleaned_Data[[#This Row],[Total_sales]]-Cleaned_Data[[#This Row],[Discount_Amount]]</f>
        <v>25650</v>
      </c>
      <c r="P516" t="str">
        <f>TEXT(Cleaned_Data[[#This Row],[Order_Date]],"MMM-YYYY")</f>
        <v>May-2023</v>
      </c>
      <c r="Q516" t="str">
        <f>"Q"&amp;ROUNDUP(MONTH(Cleaned_Data[[#This Row],[Order_Date]])/3,0)&amp;"-2023"</f>
        <v>Q2-2023</v>
      </c>
      <c r="R516" t="str">
        <f>TEXT(Cleaned_Data[[#This Row],[Order_Date]],"DDD")</f>
        <v>Tue</v>
      </c>
      <c r="S516" t="str">
        <f>IF(Cleaned_Data[[#This Row],[Net_Sales]]&gt;=100000,"High",IF(Cleaned_Data[[#This Row],[Net_Sales]]&gt;=50000,"Medium","Low"))</f>
        <v>Low</v>
      </c>
    </row>
    <row r="517" spans="1:19" x14ac:dyDescent="0.3">
      <c r="A517" t="s">
        <v>665</v>
      </c>
      <c r="B517" s="1">
        <v>45062</v>
      </c>
      <c r="C517" t="s">
        <v>236</v>
      </c>
      <c r="D517" t="s">
        <v>237</v>
      </c>
      <c r="E517" t="s">
        <v>81</v>
      </c>
      <c r="F517" t="s">
        <v>110</v>
      </c>
      <c r="G517" t="s">
        <v>97</v>
      </c>
      <c r="H517" t="s">
        <v>98</v>
      </c>
      <c r="I517">
        <v>1</v>
      </c>
      <c r="J517" s="8">
        <v>53700</v>
      </c>
      <c r="K517">
        <v>20</v>
      </c>
      <c r="L517" t="s">
        <v>53</v>
      </c>
      <c r="M517" s="5">
        <f>Cleaned_Data[[#This Row],[Quantity]]*Cleaned_Data[[#This Row],[Unit_Price]]</f>
        <v>53700</v>
      </c>
      <c r="N517" s="7">
        <f>Cleaned_Data[[#This Row],[Total_sales]]*(Cleaned_Data[[#This Row],[Discount_Percent]]/100)</f>
        <v>10740</v>
      </c>
      <c r="O517" s="7">
        <f>Cleaned_Data[[#This Row],[Total_sales]]-Cleaned_Data[[#This Row],[Discount_Amount]]</f>
        <v>42960</v>
      </c>
      <c r="P517" t="str">
        <f>TEXT(Cleaned_Data[[#This Row],[Order_Date]],"MMM-YYYY")</f>
        <v>May-2023</v>
      </c>
      <c r="Q517" t="str">
        <f>"Q"&amp;ROUNDUP(MONTH(Cleaned_Data[[#This Row],[Order_Date]])/3,0)&amp;"-2023"</f>
        <v>Q2-2023</v>
      </c>
      <c r="R517" t="str">
        <f>TEXT(Cleaned_Data[[#This Row],[Order_Date]],"DDD")</f>
        <v>Tue</v>
      </c>
      <c r="S517" t="str">
        <f>IF(Cleaned_Data[[#This Row],[Net_Sales]]&gt;=100000,"High",IF(Cleaned_Data[[#This Row],[Net_Sales]]&gt;=50000,"Medium","Low"))</f>
        <v>Low</v>
      </c>
    </row>
    <row r="518" spans="1:19" x14ac:dyDescent="0.3">
      <c r="A518" t="s">
        <v>666</v>
      </c>
      <c r="B518" s="1">
        <v>45062</v>
      </c>
      <c r="C518" t="s">
        <v>115</v>
      </c>
      <c r="D518" t="s">
        <v>116</v>
      </c>
      <c r="E518" t="s">
        <v>37</v>
      </c>
      <c r="F518" t="s">
        <v>38</v>
      </c>
      <c r="G518" t="s">
        <v>39</v>
      </c>
      <c r="H518" t="s">
        <v>40</v>
      </c>
      <c r="I518">
        <v>1</v>
      </c>
      <c r="J518" s="8">
        <v>23200</v>
      </c>
      <c r="K518">
        <v>25</v>
      </c>
      <c r="L518" t="s">
        <v>27</v>
      </c>
      <c r="M518" s="5">
        <f>Cleaned_Data[[#This Row],[Quantity]]*Cleaned_Data[[#This Row],[Unit_Price]]</f>
        <v>23200</v>
      </c>
      <c r="N518" s="7">
        <f>Cleaned_Data[[#This Row],[Total_sales]]*(Cleaned_Data[[#This Row],[Discount_Percent]]/100)</f>
        <v>5800</v>
      </c>
      <c r="O518" s="7">
        <f>Cleaned_Data[[#This Row],[Total_sales]]-Cleaned_Data[[#This Row],[Discount_Amount]]</f>
        <v>17400</v>
      </c>
      <c r="P518" t="str">
        <f>TEXT(Cleaned_Data[[#This Row],[Order_Date]],"MMM-YYYY")</f>
        <v>May-2023</v>
      </c>
      <c r="Q518" t="str">
        <f>"Q"&amp;ROUNDUP(MONTH(Cleaned_Data[[#This Row],[Order_Date]])/3,0)&amp;"-2023"</f>
        <v>Q2-2023</v>
      </c>
      <c r="R518" t="str">
        <f>TEXT(Cleaned_Data[[#This Row],[Order_Date]],"DDD")</f>
        <v>Tue</v>
      </c>
      <c r="S518" t="str">
        <f>IF(Cleaned_Data[[#This Row],[Net_Sales]]&gt;=100000,"High",IF(Cleaned_Data[[#This Row],[Net_Sales]]&gt;=50000,"Medium","Low"))</f>
        <v>Low</v>
      </c>
    </row>
    <row r="519" spans="1:19" x14ac:dyDescent="0.3">
      <c r="A519" t="s">
        <v>667</v>
      </c>
      <c r="B519" s="1">
        <v>45062</v>
      </c>
      <c r="C519" t="s">
        <v>112</v>
      </c>
      <c r="D519" t="s">
        <v>113</v>
      </c>
      <c r="E519" t="s">
        <v>66</v>
      </c>
      <c r="F519" t="s">
        <v>92</v>
      </c>
      <c r="G519" t="s">
        <v>25</v>
      </c>
      <c r="H519" t="s">
        <v>108</v>
      </c>
      <c r="I519">
        <v>2</v>
      </c>
      <c r="J519" s="8">
        <v>2600</v>
      </c>
      <c r="K519">
        <v>15</v>
      </c>
      <c r="L519" t="s">
        <v>33</v>
      </c>
      <c r="M519" s="5">
        <f>Cleaned_Data[[#This Row],[Quantity]]*Cleaned_Data[[#This Row],[Unit_Price]]</f>
        <v>5200</v>
      </c>
      <c r="N519" s="7">
        <f>Cleaned_Data[[#This Row],[Total_sales]]*(Cleaned_Data[[#This Row],[Discount_Percent]]/100)</f>
        <v>780</v>
      </c>
      <c r="O519" s="7">
        <f>Cleaned_Data[[#This Row],[Total_sales]]-Cleaned_Data[[#This Row],[Discount_Amount]]</f>
        <v>4420</v>
      </c>
      <c r="P519" t="str">
        <f>TEXT(Cleaned_Data[[#This Row],[Order_Date]],"MMM-YYYY")</f>
        <v>May-2023</v>
      </c>
      <c r="Q519" t="str">
        <f>"Q"&amp;ROUNDUP(MONTH(Cleaned_Data[[#This Row],[Order_Date]])/3,0)&amp;"-2023"</f>
        <v>Q2-2023</v>
      </c>
      <c r="R519" t="str">
        <f>TEXT(Cleaned_Data[[#This Row],[Order_Date]],"DDD")</f>
        <v>Tue</v>
      </c>
      <c r="S519" t="str">
        <f>IF(Cleaned_Data[[#This Row],[Net_Sales]]&gt;=100000,"High",IF(Cleaned_Data[[#This Row],[Net_Sales]]&gt;=50000,"Medium","Low"))</f>
        <v>Low</v>
      </c>
    </row>
    <row r="520" spans="1:19" x14ac:dyDescent="0.3">
      <c r="A520" t="s">
        <v>668</v>
      </c>
      <c r="B520" s="1">
        <v>45062</v>
      </c>
      <c r="C520" t="s">
        <v>185</v>
      </c>
      <c r="D520" t="s">
        <v>186</v>
      </c>
      <c r="E520" t="s">
        <v>15</v>
      </c>
      <c r="F520" t="s">
        <v>128</v>
      </c>
      <c r="G520" t="s">
        <v>97</v>
      </c>
      <c r="H520" t="s">
        <v>154</v>
      </c>
      <c r="I520">
        <v>1</v>
      </c>
      <c r="J520" s="8">
        <v>48200</v>
      </c>
      <c r="K520">
        <v>15</v>
      </c>
      <c r="L520" t="s">
        <v>27</v>
      </c>
      <c r="M520" s="5">
        <f>Cleaned_Data[[#This Row],[Quantity]]*Cleaned_Data[[#This Row],[Unit_Price]]</f>
        <v>48200</v>
      </c>
      <c r="N520" s="7">
        <f>Cleaned_Data[[#This Row],[Total_sales]]*(Cleaned_Data[[#This Row],[Discount_Percent]]/100)</f>
        <v>7230</v>
      </c>
      <c r="O520" s="7">
        <f>Cleaned_Data[[#This Row],[Total_sales]]-Cleaned_Data[[#This Row],[Discount_Amount]]</f>
        <v>40970</v>
      </c>
      <c r="P520" t="str">
        <f>TEXT(Cleaned_Data[[#This Row],[Order_Date]],"MMM-YYYY")</f>
        <v>May-2023</v>
      </c>
      <c r="Q520" t="str">
        <f>"Q"&amp;ROUNDUP(MONTH(Cleaned_Data[[#This Row],[Order_Date]])/3,0)&amp;"-2023"</f>
        <v>Q2-2023</v>
      </c>
      <c r="R520" t="str">
        <f>TEXT(Cleaned_Data[[#This Row],[Order_Date]],"DDD")</f>
        <v>Tue</v>
      </c>
      <c r="S520" t="str">
        <f>IF(Cleaned_Data[[#This Row],[Net_Sales]]&gt;=100000,"High",IF(Cleaned_Data[[#This Row],[Net_Sales]]&gt;=50000,"Medium","Low"))</f>
        <v>Low</v>
      </c>
    </row>
    <row r="521" spans="1:19" x14ac:dyDescent="0.3">
      <c r="A521" t="s">
        <v>669</v>
      </c>
      <c r="B521" s="1">
        <v>45093</v>
      </c>
      <c r="C521" t="s">
        <v>236</v>
      </c>
      <c r="D521" t="s">
        <v>237</v>
      </c>
      <c r="E521" t="s">
        <v>37</v>
      </c>
      <c r="F521" t="s">
        <v>101</v>
      </c>
      <c r="G521" t="s">
        <v>17</v>
      </c>
      <c r="H521" t="s">
        <v>77</v>
      </c>
      <c r="I521">
        <v>1</v>
      </c>
      <c r="J521" s="8">
        <v>43600</v>
      </c>
      <c r="K521">
        <v>5</v>
      </c>
      <c r="L521" t="s">
        <v>33</v>
      </c>
      <c r="M521" s="5">
        <f>Cleaned_Data[[#This Row],[Quantity]]*Cleaned_Data[[#This Row],[Unit_Price]]</f>
        <v>43600</v>
      </c>
      <c r="N521" s="7">
        <f>Cleaned_Data[[#This Row],[Total_sales]]*(Cleaned_Data[[#This Row],[Discount_Percent]]/100)</f>
        <v>2180</v>
      </c>
      <c r="O521" s="7">
        <f>Cleaned_Data[[#This Row],[Total_sales]]-Cleaned_Data[[#This Row],[Discount_Amount]]</f>
        <v>41420</v>
      </c>
      <c r="P521" t="str">
        <f>TEXT(Cleaned_Data[[#This Row],[Order_Date]],"MMM-YYYY")</f>
        <v>Jun-2023</v>
      </c>
      <c r="Q521" t="str">
        <f>"Q"&amp;ROUNDUP(MONTH(Cleaned_Data[[#This Row],[Order_Date]])/3,0)&amp;"-2023"</f>
        <v>Q2-2023</v>
      </c>
      <c r="R521" t="str">
        <f>TEXT(Cleaned_Data[[#This Row],[Order_Date]],"DDD")</f>
        <v>Fri</v>
      </c>
      <c r="S521" t="str">
        <f>IF(Cleaned_Data[[#This Row],[Net_Sales]]&gt;=100000,"High",IF(Cleaned_Data[[#This Row],[Net_Sales]]&gt;=50000,"Medium","Low"))</f>
        <v>Low</v>
      </c>
    </row>
    <row r="522" spans="1:19" x14ac:dyDescent="0.3">
      <c r="A522" t="s">
        <v>670</v>
      </c>
      <c r="B522" s="1">
        <v>45123</v>
      </c>
      <c r="C522" t="s">
        <v>176</v>
      </c>
      <c r="D522" t="s">
        <v>177</v>
      </c>
      <c r="E522" t="s">
        <v>66</v>
      </c>
      <c r="F522" t="s">
        <v>92</v>
      </c>
      <c r="G522" t="s">
        <v>25</v>
      </c>
      <c r="H522" t="s">
        <v>212</v>
      </c>
      <c r="I522">
        <v>2</v>
      </c>
      <c r="J522" s="8">
        <v>1800</v>
      </c>
      <c r="K522">
        <v>15</v>
      </c>
      <c r="L522" t="s">
        <v>103</v>
      </c>
      <c r="M522" s="5">
        <f>Cleaned_Data[[#This Row],[Quantity]]*Cleaned_Data[[#This Row],[Unit_Price]]</f>
        <v>3600</v>
      </c>
      <c r="N522" s="7">
        <f>Cleaned_Data[[#This Row],[Total_sales]]*(Cleaned_Data[[#This Row],[Discount_Percent]]/100)</f>
        <v>540</v>
      </c>
      <c r="O522" s="7">
        <f>Cleaned_Data[[#This Row],[Total_sales]]-Cleaned_Data[[#This Row],[Discount_Amount]]</f>
        <v>3060</v>
      </c>
      <c r="P522" t="str">
        <f>TEXT(Cleaned_Data[[#This Row],[Order_Date]],"MMM-YYYY")</f>
        <v>Jul-2023</v>
      </c>
      <c r="Q522" t="str">
        <f>"Q"&amp;ROUNDUP(MONTH(Cleaned_Data[[#This Row],[Order_Date]])/3,0)&amp;"-2023"</f>
        <v>Q3-2023</v>
      </c>
      <c r="R522" t="str">
        <f>TEXT(Cleaned_Data[[#This Row],[Order_Date]],"DDD")</f>
        <v>Sun</v>
      </c>
      <c r="S522" t="str">
        <f>IF(Cleaned_Data[[#This Row],[Net_Sales]]&gt;=100000,"High",IF(Cleaned_Data[[#This Row],[Net_Sales]]&gt;=50000,"Medium","Low"))</f>
        <v>Low</v>
      </c>
    </row>
    <row r="523" spans="1:19" x14ac:dyDescent="0.3">
      <c r="A523" t="s">
        <v>671</v>
      </c>
      <c r="B523" s="1">
        <v>45123</v>
      </c>
      <c r="C523" t="s">
        <v>122</v>
      </c>
      <c r="D523" t="s">
        <v>123</v>
      </c>
      <c r="E523" t="s">
        <v>15</v>
      </c>
      <c r="F523" t="s">
        <v>16</v>
      </c>
      <c r="G523" t="s">
        <v>17</v>
      </c>
      <c r="H523" t="s">
        <v>88</v>
      </c>
      <c r="I523">
        <v>1</v>
      </c>
      <c r="J523" s="8">
        <v>46100</v>
      </c>
      <c r="K523">
        <v>0</v>
      </c>
      <c r="L523" t="s">
        <v>47</v>
      </c>
      <c r="M523" s="5">
        <f>Cleaned_Data[[#This Row],[Quantity]]*Cleaned_Data[[#This Row],[Unit_Price]]</f>
        <v>46100</v>
      </c>
      <c r="N523" s="7">
        <f>Cleaned_Data[[#This Row],[Total_sales]]*(Cleaned_Data[[#This Row],[Discount_Percent]]/100)</f>
        <v>0</v>
      </c>
      <c r="O523" s="7">
        <f>Cleaned_Data[[#This Row],[Total_sales]]-Cleaned_Data[[#This Row],[Discount_Amount]]</f>
        <v>46100</v>
      </c>
      <c r="P523" t="str">
        <f>TEXT(Cleaned_Data[[#This Row],[Order_Date]],"MMM-YYYY")</f>
        <v>Jul-2023</v>
      </c>
      <c r="Q523" t="str">
        <f>"Q"&amp;ROUNDUP(MONTH(Cleaned_Data[[#This Row],[Order_Date]])/3,0)&amp;"-2023"</f>
        <v>Q3-2023</v>
      </c>
      <c r="R523" t="str">
        <f>TEXT(Cleaned_Data[[#This Row],[Order_Date]],"DDD")</f>
        <v>Sun</v>
      </c>
      <c r="S523" t="str">
        <f>IF(Cleaned_Data[[#This Row],[Net_Sales]]&gt;=100000,"High",IF(Cleaned_Data[[#This Row],[Net_Sales]]&gt;=50000,"Medium","Low"))</f>
        <v>Low</v>
      </c>
    </row>
    <row r="524" spans="1:19" x14ac:dyDescent="0.3">
      <c r="A524" t="s">
        <v>672</v>
      </c>
      <c r="B524" s="1">
        <v>45154</v>
      </c>
      <c r="C524" t="s">
        <v>143</v>
      </c>
      <c r="D524" t="s">
        <v>144</v>
      </c>
      <c r="E524" t="s">
        <v>15</v>
      </c>
      <c r="F524" t="s">
        <v>16</v>
      </c>
      <c r="G524" t="s">
        <v>25</v>
      </c>
      <c r="H524" t="s">
        <v>32</v>
      </c>
      <c r="I524">
        <v>2</v>
      </c>
      <c r="J524" s="8">
        <v>2100</v>
      </c>
      <c r="K524">
        <v>20</v>
      </c>
      <c r="L524" t="s">
        <v>47</v>
      </c>
      <c r="M524" s="5">
        <f>Cleaned_Data[[#This Row],[Quantity]]*Cleaned_Data[[#This Row],[Unit_Price]]</f>
        <v>4200</v>
      </c>
      <c r="N524" s="7">
        <f>Cleaned_Data[[#This Row],[Total_sales]]*(Cleaned_Data[[#This Row],[Discount_Percent]]/100)</f>
        <v>840</v>
      </c>
      <c r="O524" s="7">
        <f>Cleaned_Data[[#This Row],[Total_sales]]-Cleaned_Data[[#This Row],[Discount_Amount]]</f>
        <v>3360</v>
      </c>
      <c r="P524" t="str">
        <f>TEXT(Cleaned_Data[[#This Row],[Order_Date]],"MMM-YYYY")</f>
        <v>Aug-2023</v>
      </c>
      <c r="Q524" t="str">
        <f>"Q"&amp;ROUNDUP(MONTH(Cleaned_Data[[#This Row],[Order_Date]])/3,0)&amp;"-2023"</f>
        <v>Q3-2023</v>
      </c>
      <c r="R524" t="str">
        <f>TEXT(Cleaned_Data[[#This Row],[Order_Date]],"DDD")</f>
        <v>Wed</v>
      </c>
      <c r="S524" t="str">
        <f>IF(Cleaned_Data[[#This Row],[Net_Sales]]&gt;=100000,"High",IF(Cleaned_Data[[#This Row],[Net_Sales]]&gt;=50000,"Medium","Low"))</f>
        <v>Low</v>
      </c>
    </row>
    <row r="525" spans="1:19" x14ac:dyDescent="0.3">
      <c r="A525" t="s">
        <v>673</v>
      </c>
      <c r="B525" s="1">
        <v>45154</v>
      </c>
      <c r="C525" t="s">
        <v>70</v>
      </c>
      <c r="D525" t="s">
        <v>71</v>
      </c>
      <c r="E525" t="s">
        <v>23</v>
      </c>
      <c r="F525" t="s">
        <v>51</v>
      </c>
      <c r="G525" t="s">
        <v>39</v>
      </c>
      <c r="H525" t="s">
        <v>40</v>
      </c>
      <c r="I525">
        <v>1</v>
      </c>
      <c r="J525" s="8">
        <v>26700</v>
      </c>
      <c r="K525">
        <v>10</v>
      </c>
      <c r="L525" t="s">
        <v>47</v>
      </c>
      <c r="M525" s="5">
        <f>Cleaned_Data[[#This Row],[Quantity]]*Cleaned_Data[[#This Row],[Unit_Price]]</f>
        <v>26700</v>
      </c>
      <c r="N525" s="7">
        <f>Cleaned_Data[[#This Row],[Total_sales]]*(Cleaned_Data[[#This Row],[Discount_Percent]]/100)</f>
        <v>2670</v>
      </c>
      <c r="O525" s="7">
        <f>Cleaned_Data[[#This Row],[Total_sales]]-Cleaned_Data[[#This Row],[Discount_Amount]]</f>
        <v>24030</v>
      </c>
      <c r="P525" t="str">
        <f>TEXT(Cleaned_Data[[#This Row],[Order_Date]],"MMM-YYYY")</f>
        <v>Aug-2023</v>
      </c>
      <c r="Q525" t="str">
        <f>"Q"&amp;ROUNDUP(MONTH(Cleaned_Data[[#This Row],[Order_Date]])/3,0)&amp;"-2023"</f>
        <v>Q3-2023</v>
      </c>
      <c r="R525" t="str">
        <f>TEXT(Cleaned_Data[[#This Row],[Order_Date]],"DDD")</f>
        <v>Wed</v>
      </c>
      <c r="S525" t="str">
        <f>IF(Cleaned_Data[[#This Row],[Net_Sales]]&gt;=100000,"High",IF(Cleaned_Data[[#This Row],[Net_Sales]]&gt;=50000,"Medium","Low"))</f>
        <v>Low</v>
      </c>
    </row>
    <row r="526" spans="1:19" x14ac:dyDescent="0.3">
      <c r="A526" t="s">
        <v>674</v>
      </c>
      <c r="B526" s="1">
        <v>45185</v>
      </c>
      <c r="C526" t="s">
        <v>49</v>
      </c>
      <c r="D526" t="s">
        <v>50</v>
      </c>
      <c r="E526" t="s">
        <v>15</v>
      </c>
      <c r="F526" t="s">
        <v>119</v>
      </c>
      <c r="G526" t="s">
        <v>97</v>
      </c>
      <c r="H526" t="s">
        <v>174</v>
      </c>
      <c r="I526">
        <v>1</v>
      </c>
      <c r="J526" s="8">
        <v>69900</v>
      </c>
      <c r="K526">
        <v>20</v>
      </c>
      <c r="L526" t="s">
        <v>27</v>
      </c>
      <c r="M526" s="5">
        <f>Cleaned_Data[[#This Row],[Quantity]]*Cleaned_Data[[#This Row],[Unit_Price]]</f>
        <v>69900</v>
      </c>
      <c r="N526" s="7">
        <f>Cleaned_Data[[#This Row],[Total_sales]]*(Cleaned_Data[[#This Row],[Discount_Percent]]/100)</f>
        <v>13980</v>
      </c>
      <c r="O526" s="7">
        <f>Cleaned_Data[[#This Row],[Total_sales]]-Cleaned_Data[[#This Row],[Discount_Amount]]</f>
        <v>55920</v>
      </c>
      <c r="P526" t="str">
        <f>TEXT(Cleaned_Data[[#This Row],[Order_Date]],"MMM-YYYY")</f>
        <v>Sep-2023</v>
      </c>
      <c r="Q526" t="str">
        <f>"Q"&amp;ROUNDUP(MONTH(Cleaned_Data[[#This Row],[Order_Date]])/3,0)&amp;"-2023"</f>
        <v>Q3-2023</v>
      </c>
      <c r="R526" t="str">
        <f>TEXT(Cleaned_Data[[#This Row],[Order_Date]],"DDD")</f>
        <v>Sat</v>
      </c>
      <c r="S526" t="str">
        <f>IF(Cleaned_Data[[#This Row],[Net_Sales]]&gt;=100000,"High",IF(Cleaned_Data[[#This Row],[Net_Sales]]&gt;=50000,"Medium","Low"))</f>
        <v>Medium</v>
      </c>
    </row>
    <row r="527" spans="1:19" x14ac:dyDescent="0.3">
      <c r="A527" t="s">
        <v>675</v>
      </c>
      <c r="B527" s="1">
        <v>45185</v>
      </c>
      <c r="C527" t="s">
        <v>35</v>
      </c>
      <c r="D527" t="s">
        <v>36</v>
      </c>
      <c r="E527" t="s">
        <v>15</v>
      </c>
      <c r="F527" t="s">
        <v>131</v>
      </c>
      <c r="G527" t="s">
        <v>97</v>
      </c>
      <c r="H527" t="s">
        <v>154</v>
      </c>
      <c r="I527">
        <v>1</v>
      </c>
      <c r="J527" s="8">
        <v>49000</v>
      </c>
      <c r="K527">
        <v>0</v>
      </c>
      <c r="L527" t="s">
        <v>33</v>
      </c>
      <c r="M527" s="5">
        <f>Cleaned_Data[[#This Row],[Quantity]]*Cleaned_Data[[#This Row],[Unit_Price]]</f>
        <v>49000</v>
      </c>
      <c r="N527" s="7">
        <f>Cleaned_Data[[#This Row],[Total_sales]]*(Cleaned_Data[[#This Row],[Discount_Percent]]/100)</f>
        <v>0</v>
      </c>
      <c r="O527" s="7">
        <f>Cleaned_Data[[#This Row],[Total_sales]]-Cleaned_Data[[#This Row],[Discount_Amount]]</f>
        <v>49000</v>
      </c>
      <c r="P527" t="str">
        <f>TEXT(Cleaned_Data[[#This Row],[Order_Date]],"MMM-YYYY")</f>
        <v>Sep-2023</v>
      </c>
      <c r="Q527" t="str">
        <f>"Q"&amp;ROUNDUP(MONTH(Cleaned_Data[[#This Row],[Order_Date]])/3,0)&amp;"-2023"</f>
        <v>Q3-2023</v>
      </c>
      <c r="R527" t="str">
        <f>TEXT(Cleaned_Data[[#This Row],[Order_Date]],"DDD")</f>
        <v>Sat</v>
      </c>
      <c r="S527" t="str">
        <f>IF(Cleaned_Data[[#This Row],[Net_Sales]]&gt;=100000,"High",IF(Cleaned_Data[[#This Row],[Net_Sales]]&gt;=50000,"Medium","Low"))</f>
        <v>Low</v>
      </c>
    </row>
    <row r="528" spans="1:19" x14ac:dyDescent="0.3">
      <c r="A528" t="s">
        <v>676</v>
      </c>
      <c r="B528" s="1">
        <v>45185</v>
      </c>
      <c r="C528" t="s">
        <v>59</v>
      </c>
      <c r="D528" t="s">
        <v>60</v>
      </c>
      <c r="E528" t="s">
        <v>81</v>
      </c>
      <c r="F528" t="s">
        <v>110</v>
      </c>
      <c r="G528" t="s">
        <v>39</v>
      </c>
      <c r="H528" t="s">
        <v>40</v>
      </c>
      <c r="I528">
        <v>1</v>
      </c>
      <c r="J528" s="8">
        <v>24100</v>
      </c>
      <c r="K528">
        <v>5</v>
      </c>
      <c r="L528" t="s">
        <v>27</v>
      </c>
      <c r="M528" s="5">
        <f>Cleaned_Data[[#This Row],[Quantity]]*Cleaned_Data[[#This Row],[Unit_Price]]</f>
        <v>24100</v>
      </c>
      <c r="N528" s="7">
        <f>Cleaned_Data[[#This Row],[Total_sales]]*(Cleaned_Data[[#This Row],[Discount_Percent]]/100)</f>
        <v>1205</v>
      </c>
      <c r="O528" s="7">
        <f>Cleaned_Data[[#This Row],[Total_sales]]-Cleaned_Data[[#This Row],[Discount_Amount]]</f>
        <v>22895</v>
      </c>
      <c r="P528" t="str">
        <f>TEXT(Cleaned_Data[[#This Row],[Order_Date]],"MMM-YYYY")</f>
        <v>Sep-2023</v>
      </c>
      <c r="Q528" t="str">
        <f>"Q"&amp;ROUNDUP(MONTH(Cleaned_Data[[#This Row],[Order_Date]])/3,0)&amp;"-2023"</f>
        <v>Q3-2023</v>
      </c>
      <c r="R528" t="str">
        <f>TEXT(Cleaned_Data[[#This Row],[Order_Date]],"DDD")</f>
        <v>Sat</v>
      </c>
      <c r="S528" t="str">
        <f>IF(Cleaned_Data[[#This Row],[Net_Sales]]&gt;=100000,"High",IF(Cleaned_Data[[#This Row],[Net_Sales]]&gt;=50000,"Medium","Low"))</f>
        <v>Low</v>
      </c>
    </row>
    <row r="529" spans="1:19" x14ac:dyDescent="0.3">
      <c r="A529" t="s">
        <v>677</v>
      </c>
      <c r="B529" s="1">
        <v>45185</v>
      </c>
      <c r="C529" t="s">
        <v>64</v>
      </c>
      <c r="D529" t="s">
        <v>65</v>
      </c>
      <c r="E529" t="s">
        <v>66</v>
      </c>
      <c r="F529" t="s">
        <v>87</v>
      </c>
      <c r="G529" t="s">
        <v>17</v>
      </c>
      <c r="H529" t="s">
        <v>18</v>
      </c>
      <c r="I529">
        <v>2</v>
      </c>
      <c r="J529" s="8">
        <v>47400</v>
      </c>
      <c r="K529">
        <v>10</v>
      </c>
      <c r="L529" t="s">
        <v>103</v>
      </c>
      <c r="M529" s="5">
        <f>Cleaned_Data[[#This Row],[Quantity]]*Cleaned_Data[[#This Row],[Unit_Price]]</f>
        <v>94800</v>
      </c>
      <c r="N529" s="7">
        <f>Cleaned_Data[[#This Row],[Total_sales]]*(Cleaned_Data[[#This Row],[Discount_Percent]]/100)</f>
        <v>9480</v>
      </c>
      <c r="O529" s="7">
        <f>Cleaned_Data[[#This Row],[Total_sales]]-Cleaned_Data[[#This Row],[Discount_Amount]]</f>
        <v>85320</v>
      </c>
      <c r="P529" t="str">
        <f>TEXT(Cleaned_Data[[#This Row],[Order_Date]],"MMM-YYYY")</f>
        <v>Sep-2023</v>
      </c>
      <c r="Q529" t="str">
        <f>"Q"&amp;ROUNDUP(MONTH(Cleaned_Data[[#This Row],[Order_Date]])/3,0)&amp;"-2023"</f>
        <v>Q3-2023</v>
      </c>
      <c r="R529" t="str">
        <f>TEXT(Cleaned_Data[[#This Row],[Order_Date]],"DDD")</f>
        <v>Sat</v>
      </c>
      <c r="S529" t="str">
        <f>IF(Cleaned_Data[[#This Row],[Net_Sales]]&gt;=100000,"High",IF(Cleaned_Data[[#This Row],[Net_Sales]]&gt;=50000,"Medium","Low"))</f>
        <v>Medium</v>
      </c>
    </row>
    <row r="530" spans="1:19" x14ac:dyDescent="0.3">
      <c r="A530" t="s">
        <v>678</v>
      </c>
      <c r="B530" s="1">
        <v>45185</v>
      </c>
      <c r="C530" t="s">
        <v>115</v>
      </c>
      <c r="D530" t="s">
        <v>116</v>
      </c>
      <c r="E530" t="s">
        <v>81</v>
      </c>
      <c r="F530" t="s">
        <v>160</v>
      </c>
      <c r="G530" t="s">
        <v>39</v>
      </c>
      <c r="H530" t="s">
        <v>102</v>
      </c>
      <c r="I530">
        <v>1</v>
      </c>
      <c r="J530" s="8">
        <v>31300</v>
      </c>
      <c r="K530">
        <v>0</v>
      </c>
      <c r="L530" t="s">
        <v>19</v>
      </c>
      <c r="M530" s="5">
        <f>Cleaned_Data[[#This Row],[Quantity]]*Cleaned_Data[[#This Row],[Unit_Price]]</f>
        <v>31300</v>
      </c>
      <c r="N530" s="7">
        <f>Cleaned_Data[[#This Row],[Total_sales]]*(Cleaned_Data[[#This Row],[Discount_Percent]]/100)</f>
        <v>0</v>
      </c>
      <c r="O530" s="7">
        <f>Cleaned_Data[[#This Row],[Total_sales]]-Cleaned_Data[[#This Row],[Discount_Amount]]</f>
        <v>31300</v>
      </c>
      <c r="P530" t="str">
        <f>TEXT(Cleaned_Data[[#This Row],[Order_Date]],"MMM-YYYY")</f>
        <v>Sep-2023</v>
      </c>
      <c r="Q530" t="str">
        <f>"Q"&amp;ROUNDUP(MONTH(Cleaned_Data[[#This Row],[Order_Date]])/3,0)&amp;"-2023"</f>
        <v>Q3-2023</v>
      </c>
      <c r="R530" t="str">
        <f>TEXT(Cleaned_Data[[#This Row],[Order_Date]],"DDD")</f>
        <v>Sat</v>
      </c>
      <c r="S530" t="str">
        <f>IF(Cleaned_Data[[#This Row],[Net_Sales]]&gt;=100000,"High",IF(Cleaned_Data[[#This Row],[Net_Sales]]&gt;=50000,"Medium","Low"))</f>
        <v>Low</v>
      </c>
    </row>
    <row r="531" spans="1:19" x14ac:dyDescent="0.3">
      <c r="A531" t="s">
        <v>679</v>
      </c>
      <c r="B531" s="1">
        <v>45215</v>
      </c>
      <c r="C531" t="s">
        <v>284</v>
      </c>
      <c r="D531" t="s">
        <v>285</v>
      </c>
      <c r="E531" t="s">
        <v>23</v>
      </c>
      <c r="F531" t="s">
        <v>24</v>
      </c>
      <c r="G531" t="s">
        <v>39</v>
      </c>
      <c r="H531" t="s">
        <v>57</v>
      </c>
      <c r="I531">
        <v>1</v>
      </c>
      <c r="J531" s="8">
        <v>19900</v>
      </c>
      <c r="K531">
        <v>25</v>
      </c>
      <c r="L531" t="s">
        <v>62</v>
      </c>
      <c r="M531" s="5">
        <f>Cleaned_Data[[#This Row],[Quantity]]*Cleaned_Data[[#This Row],[Unit_Price]]</f>
        <v>19900</v>
      </c>
      <c r="N531" s="7">
        <f>Cleaned_Data[[#This Row],[Total_sales]]*(Cleaned_Data[[#This Row],[Discount_Percent]]/100)</f>
        <v>4975</v>
      </c>
      <c r="O531" s="7">
        <f>Cleaned_Data[[#This Row],[Total_sales]]-Cleaned_Data[[#This Row],[Discount_Amount]]</f>
        <v>14925</v>
      </c>
      <c r="P531" t="str">
        <f>TEXT(Cleaned_Data[[#This Row],[Order_Date]],"MMM-YYYY")</f>
        <v>Oct-2023</v>
      </c>
      <c r="Q531" t="str">
        <f>"Q"&amp;ROUNDUP(MONTH(Cleaned_Data[[#This Row],[Order_Date]])/3,0)&amp;"-2023"</f>
        <v>Q4-2023</v>
      </c>
      <c r="R531" t="str">
        <f>TEXT(Cleaned_Data[[#This Row],[Order_Date]],"DDD")</f>
        <v>Mon</v>
      </c>
      <c r="S531" t="str">
        <f>IF(Cleaned_Data[[#This Row],[Net_Sales]]&gt;=100000,"High",IF(Cleaned_Data[[#This Row],[Net_Sales]]&gt;=50000,"Medium","Low"))</f>
        <v>Low</v>
      </c>
    </row>
    <row r="532" spans="1:19" x14ac:dyDescent="0.3">
      <c r="A532" t="s">
        <v>680</v>
      </c>
      <c r="B532" s="1">
        <v>45215</v>
      </c>
      <c r="C532" t="s">
        <v>105</v>
      </c>
      <c r="D532" t="s">
        <v>106</v>
      </c>
      <c r="E532" t="s">
        <v>81</v>
      </c>
      <c r="F532" t="s">
        <v>82</v>
      </c>
      <c r="G532" t="s">
        <v>25</v>
      </c>
      <c r="H532" t="s">
        <v>108</v>
      </c>
      <c r="I532">
        <v>2</v>
      </c>
      <c r="J532" s="8">
        <v>1000</v>
      </c>
      <c r="K532">
        <v>0</v>
      </c>
      <c r="L532" t="s">
        <v>103</v>
      </c>
      <c r="M532" s="5">
        <f>Cleaned_Data[[#This Row],[Quantity]]*Cleaned_Data[[#This Row],[Unit_Price]]</f>
        <v>2000</v>
      </c>
      <c r="N532" s="7">
        <f>Cleaned_Data[[#This Row],[Total_sales]]*(Cleaned_Data[[#This Row],[Discount_Percent]]/100)</f>
        <v>0</v>
      </c>
      <c r="O532" s="7">
        <f>Cleaned_Data[[#This Row],[Total_sales]]-Cleaned_Data[[#This Row],[Discount_Amount]]</f>
        <v>2000</v>
      </c>
      <c r="P532" t="str">
        <f>TEXT(Cleaned_Data[[#This Row],[Order_Date]],"MMM-YYYY")</f>
        <v>Oct-2023</v>
      </c>
      <c r="Q532" t="str">
        <f>"Q"&amp;ROUNDUP(MONTH(Cleaned_Data[[#This Row],[Order_Date]])/3,0)&amp;"-2023"</f>
        <v>Q4-2023</v>
      </c>
      <c r="R532" t="str">
        <f>TEXT(Cleaned_Data[[#This Row],[Order_Date]],"DDD")</f>
        <v>Mon</v>
      </c>
      <c r="S532" t="str">
        <f>IF(Cleaned_Data[[#This Row],[Net_Sales]]&gt;=100000,"High",IF(Cleaned_Data[[#This Row],[Net_Sales]]&gt;=50000,"Medium","Low"))</f>
        <v>Low</v>
      </c>
    </row>
    <row r="533" spans="1:19" x14ac:dyDescent="0.3">
      <c r="A533" t="s">
        <v>681</v>
      </c>
      <c r="B533" s="1">
        <v>45215</v>
      </c>
      <c r="C533" t="s">
        <v>126</v>
      </c>
      <c r="D533" t="s">
        <v>127</v>
      </c>
      <c r="E533" t="s">
        <v>23</v>
      </c>
      <c r="F533" t="s">
        <v>44</v>
      </c>
      <c r="G533" t="s">
        <v>45</v>
      </c>
      <c r="H533" t="s">
        <v>207</v>
      </c>
      <c r="I533">
        <v>1</v>
      </c>
      <c r="J533" s="8">
        <v>31900</v>
      </c>
      <c r="K533">
        <v>10</v>
      </c>
      <c r="L533" t="s">
        <v>103</v>
      </c>
      <c r="M533" s="5">
        <f>Cleaned_Data[[#This Row],[Quantity]]*Cleaned_Data[[#This Row],[Unit_Price]]</f>
        <v>31900</v>
      </c>
      <c r="N533" s="7">
        <f>Cleaned_Data[[#This Row],[Total_sales]]*(Cleaned_Data[[#This Row],[Discount_Percent]]/100)</f>
        <v>3190</v>
      </c>
      <c r="O533" s="7">
        <f>Cleaned_Data[[#This Row],[Total_sales]]-Cleaned_Data[[#This Row],[Discount_Amount]]</f>
        <v>28710</v>
      </c>
      <c r="P533" t="str">
        <f>TEXT(Cleaned_Data[[#This Row],[Order_Date]],"MMM-YYYY")</f>
        <v>Oct-2023</v>
      </c>
      <c r="Q533" t="str">
        <f>"Q"&amp;ROUNDUP(MONTH(Cleaned_Data[[#This Row],[Order_Date]])/3,0)&amp;"-2023"</f>
        <v>Q4-2023</v>
      </c>
      <c r="R533" t="str">
        <f>TEXT(Cleaned_Data[[#This Row],[Order_Date]],"DDD")</f>
        <v>Mon</v>
      </c>
      <c r="S533" t="str">
        <f>IF(Cleaned_Data[[#This Row],[Net_Sales]]&gt;=100000,"High",IF(Cleaned_Data[[#This Row],[Net_Sales]]&gt;=50000,"Medium","Low"))</f>
        <v>Low</v>
      </c>
    </row>
    <row r="534" spans="1:19" x14ac:dyDescent="0.3">
      <c r="A534" t="s">
        <v>682</v>
      </c>
      <c r="B534" s="1">
        <v>45246</v>
      </c>
      <c r="C534" t="s">
        <v>158</v>
      </c>
      <c r="D534" t="s">
        <v>159</v>
      </c>
      <c r="E534" t="s">
        <v>37</v>
      </c>
      <c r="F534" t="s">
        <v>141</v>
      </c>
      <c r="G534" t="s">
        <v>39</v>
      </c>
      <c r="H534" t="s">
        <v>68</v>
      </c>
      <c r="I534">
        <v>1</v>
      </c>
      <c r="J534" s="8">
        <v>24800</v>
      </c>
      <c r="K534">
        <v>20</v>
      </c>
      <c r="L534" t="s">
        <v>27</v>
      </c>
      <c r="M534" s="5">
        <f>Cleaned_Data[[#This Row],[Quantity]]*Cleaned_Data[[#This Row],[Unit_Price]]</f>
        <v>24800</v>
      </c>
      <c r="N534" s="7">
        <f>Cleaned_Data[[#This Row],[Total_sales]]*(Cleaned_Data[[#This Row],[Discount_Percent]]/100)</f>
        <v>4960</v>
      </c>
      <c r="O534" s="7">
        <f>Cleaned_Data[[#This Row],[Total_sales]]-Cleaned_Data[[#This Row],[Discount_Amount]]</f>
        <v>19840</v>
      </c>
      <c r="P534" t="str">
        <f>TEXT(Cleaned_Data[[#This Row],[Order_Date]],"MMM-YYYY")</f>
        <v>Nov-2023</v>
      </c>
      <c r="Q534" t="str">
        <f>"Q"&amp;ROUNDUP(MONTH(Cleaned_Data[[#This Row],[Order_Date]])/3,0)&amp;"-2023"</f>
        <v>Q4-2023</v>
      </c>
      <c r="R534" t="str">
        <f>TEXT(Cleaned_Data[[#This Row],[Order_Date]],"DDD")</f>
        <v>Thu</v>
      </c>
      <c r="S534" t="str">
        <f>IF(Cleaned_Data[[#This Row],[Net_Sales]]&gt;=100000,"High",IF(Cleaned_Data[[#This Row],[Net_Sales]]&gt;=50000,"Medium","Low"))</f>
        <v>Low</v>
      </c>
    </row>
    <row r="535" spans="1:19" x14ac:dyDescent="0.3">
      <c r="A535" t="s">
        <v>683</v>
      </c>
      <c r="B535" s="1">
        <v>45246</v>
      </c>
      <c r="C535" t="s">
        <v>188</v>
      </c>
      <c r="D535" t="s">
        <v>189</v>
      </c>
      <c r="E535" t="s">
        <v>15</v>
      </c>
      <c r="F535" t="s">
        <v>131</v>
      </c>
      <c r="G535" t="s">
        <v>17</v>
      </c>
      <c r="H535" t="s">
        <v>88</v>
      </c>
      <c r="I535">
        <v>1</v>
      </c>
      <c r="J535" s="8">
        <v>35400</v>
      </c>
      <c r="K535">
        <v>10</v>
      </c>
      <c r="L535" t="s">
        <v>53</v>
      </c>
      <c r="M535" s="5">
        <f>Cleaned_Data[[#This Row],[Quantity]]*Cleaned_Data[[#This Row],[Unit_Price]]</f>
        <v>35400</v>
      </c>
      <c r="N535" s="7">
        <f>Cleaned_Data[[#This Row],[Total_sales]]*(Cleaned_Data[[#This Row],[Discount_Percent]]/100)</f>
        <v>3540</v>
      </c>
      <c r="O535" s="7">
        <f>Cleaned_Data[[#This Row],[Total_sales]]-Cleaned_Data[[#This Row],[Discount_Amount]]</f>
        <v>31860</v>
      </c>
      <c r="P535" t="str">
        <f>TEXT(Cleaned_Data[[#This Row],[Order_Date]],"MMM-YYYY")</f>
        <v>Nov-2023</v>
      </c>
      <c r="Q535" t="str">
        <f>"Q"&amp;ROUNDUP(MONTH(Cleaned_Data[[#This Row],[Order_Date]])/3,0)&amp;"-2023"</f>
        <v>Q4-2023</v>
      </c>
      <c r="R535" t="str">
        <f>TEXT(Cleaned_Data[[#This Row],[Order_Date]],"DDD")</f>
        <v>Thu</v>
      </c>
      <c r="S535" t="str">
        <f>IF(Cleaned_Data[[#This Row],[Net_Sales]]&gt;=100000,"High",IF(Cleaned_Data[[#This Row],[Net_Sales]]&gt;=50000,"Medium","Low"))</f>
        <v>Low</v>
      </c>
    </row>
    <row r="536" spans="1:19" x14ac:dyDescent="0.3">
      <c r="A536" t="s">
        <v>684</v>
      </c>
      <c r="B536" s="1">
        <v>45276</v>
      </c>
      <c r="C536" t="s">
        <v>284</v>
      </c>
      <c r="D536" t="s">
        <v>285</v>
      </c>
      <c r="E536" t="s">
        <v>81</v>
      </c>
      <c r="F536" t="s">
        <v>117</v>
      </c>
      <c r="G536" t="s">
        <v>97</v>
      </c>
      <c r="H536" t="s">
        <v>98</v>
      </c>
      <c r="I536">
        <v>1</v>
      </c>
      <c r="J536" s="8">
        <v>35000</v>
      </c>
      <c r="K536">
        <v>5</v>
      </c>
      <c r="L536" t="s">
        <v>103</v>
      </c>
      <c r="M536" s="5">
        <f>Cleaned_Data[[#This Row],[Quantity]]*Cleaned_Data[[#This Row],[Unit_Price]]</f>
        <v>35000</v>
      </c>
      <c r="N536" s="7">
        <f>Cleaned_Data[[#This Row],[Total_sales]]*(Cleaned_Data[[#This Row],[Discount_Percent]]/100)</f>
        <v>1750</v>
      </c>
      <c r="O536" s="7">
        <f>Cleaned_Data[[#This Row],[Total_sales]]-Cleaned_Data[[#This Row],[Discount_Amount]]</f>
        <v>33250</v>
      </c>
      <c r="P536" t="str">
        <f>TEXT(Cleaned_Data[[#This Row],[Order_Date]],"MMM-YYYY")</f>
        <v>Dec-2023</v>
      </c>
      <c r="Q536" t="str">
        <f>"Q"&amp;ROUNDUP(MONTH(Cleaned_Data[[#This Row],[Order_Date]])/3,0)&amp;"-2023"</f>
        <v>Q4-2023</v>
      </c>
      <c r="R536" t="str">
        <f>TEXT(Cleaned_Data[[#This Row],[Order_Date]],"DDD")</f>
        <v>Sat</v>
      </c>
      <c r="S536" t="str">
        <f>IF(Cleaned_Data[[#This Row],[Net_Sales]]&gt;=100000,"High",IF(Cleaned_Data[[#This Row],[Net_Sales]]&gt;=50000,"Medium","Low"))</f>
        <v>Low</v>
      </c>
    </row>
    <row r="537" spans="1:19" x14ac:dyDescent="0.3">
      <c r="A537" t="s">
        <v>685</v>
      </c>
      <c r="B537" s="1">
        <v>45276</v>
      </c>
      <c r="C537" t="s">
        <v>284</v>
      </c>
      <c r="D537" t="s">
        <v>285</v>
      </c>
      <c r="E537" t="s">
        <v>81</v>
      </c>
      <c r="F537" t="s">
        <v>110</v>
      </c>
      <c r="G537" t="s">
        <v>97</v>
      </c>
      <c r="H537" t="s">
        <v>174</v>
      </c>
      <c r="I537">
        <v>1</v>
      </c>
      <c r="J537" s="8">
        <v>41300</v>
      </c>
      <c r="K537">
        <v>10</v>
      </c>
      <c r="L537" t="s">
        <v>53</v>
      </c>
      <c r="M537" s="5">
        <f>Cleaned_Data[[#This Row],[Quantity]]*Cleaned_Data[[#This Row],[Unit_Price]]</f>
        <v>41300</v>
      </c>
      <c r="N537" s="7">
        <f>Cleaned_Data[[#This Row],[Total_sales]]*(Cleaned_Data[[#This Row],[Discount_Percent]]/100)</f>
        <v>4130</v>
      </c>
      <c r="O537" s="7">
        <f>Cleaned_Data[[#This Row],[Total_sales]]-Cleaned_Data[[#This Row],[Discount_Amount]]</f>
        <v>37170</v>
      </c>
      <c r="P537" t="str">
        <f>TEXT(Cleaned_Data[[#This Row],[Order_Date]],"MMM-YYYY")</f>
        <v>Dec-2023</v>
      </c>
      <c r="Q537" t="str">
        <f>"Q"&amp;ROUNDUP(MONTH(Cleaned_Data[[#This Row],[Order_Date]])/3,0)&amp;"-2023"</f>
        <v>Q4-2023</v>
      </c>
      <c r="R537" t="str">
        <f>TEXT(Cleaned_Data[[#This Row],[Order_Date]],"DDD")</f>
        <v>Sat</v>
      </c>
      <c r="S537" t="str">
        <f>IF(Cleaned_Data[[#This Row],[Net_Sales]]&gt;=100000,"High",IF(Cleaned_Data[[#This Row],[Net_Sales]]&gt;=50000,"Medium","Low"))</f>
        <v>Low</v>
      </c>
    </row>
    <row r="538" spans="1:19" x14ac:dyDescent="0.3">
      <c r="A538" t="s">
        <v>686</v>
      </c>
      <c r="B538" s="1">
        <v>45276</v>
      </c>
      <c r="C538" t="s">
        <v>284</v>
      </c>
      <c r="D538" t="s">
        <v>285</v>
      </c>
      <c r="E538" t="s">
        <v>81</v>
      </c>
      <c r="F538" t="s">
        <v>110</v>
      </c>
      <c r="G538" t="s">
        <v>97</v>
      </c>
      <c r="H538" t="s">
        <v>133</v>
      </c>
      <c r="I538">
        <v>1</v>
      </c>
      <c r="J538" s="8">
        <v>62300</v>
      </c>
      <c r="K538">
        <v>5</v>
      </c>
      <c r="L538" t="s">
        <v>47</v>
      </c>
      <c r="M538" s="5">
        <f>Cleaned_Data[[#This Row],[Quantity]]*Cleaned_Data[[#This Row],[Unit_Price]]</f>
        <v>62300</v>
      </c>
      <c r="N538" s="7">
        <f>Cleaned_Data[[#This Row],[Total_sales]]*(Cleaned_Data[[#This Row],[Discount_Percent]]/100)</f>
        <v>3115</v>
      </c>
      <c r="O538" s="7">
        <f>Cleaned_Data[[#This Row],[Total_sales]]-Cleaned_Data[[#This Row],[Discount_Amount]]</f>
        <v>59185</v>
      </c>
      <c r="P538" t="str">
        <f>TEXT(Cleaned_Data[[#This Row],[Order_Date]],"MMM-YYYY")</f>
        <v>Dec-2023</v>
      </c>
      <c r="Q538" t="str">
        <f>"Q"&amp;ROUNDUP(MONTH(Cleaned_Data[[#This Row],[Order_Date]])/3,0)&amp;"-2023"</f>
        <v>Q4-2023</v>
      </c>
      <c r="R538" t="str">
        <f>TEXT(Cleaned_Data[[#This Row],[Order_Date]],"DDD")</f>
        <v>Sat</v>
      </c>
      <c r="S538" t="str">
        <f>IF(Cleaned_Data[[#This Row],[Net_Sales]]&gt;=100000,"High",IF(Cleaned_Data[[#This Row],[Net_Sales]]&gt;=50000,"Medium","Low"))</f>
        <v>Medium</v>
      </c>
    </row>
    <row r="539" spans="1:19" x14ac:dyDescent="0.3">
      <c r="A539" t="s">
        <v>687</v>
      </c>
      <c r="B539" s="1">
        <v>44943</v>
      </c>
      <c r="C539" t="s">
        <v>183</v>
      </c>
      <c r="D539" t="s">
        <v>27</v>
      </c>
      <c r="E539" t="s">
        <v>66</v>
      </c>
      <c r="F539" t="s">
        <v>67</v>
      </c>
      <c r="G539" t="s">
        <v>17</v>
      </c>
      <c r="H539" t="s">
        <v>196</v>
      </c>
      <c r="I539">
        <v>1</v>
      </c>
      <c r="J539" s="8">
        <v>50400</v>
      </c>
      <c r="K539">
        <v>0</v>
      </c>
      <c r="L539" t="s">
        <v>103</v>
      </c>
      <c r="M539" s="5">
        <f>Cleaned_Data[[#This Row],[Quantity]]*Cleaned_Data[[#This Row],[Unit_Price]]</f>
        <v>50400</v>
      </c>
      <c r="N539" s="7">
        <f>Cleaned_Data[[#This Row],[Total_sales]]*(Cleaned_Data[[#This Row],[Discount_Percent]]/100)</f>
        <v>0</v>
      </c>
      <c r="O539" s="7">
        <f>Cleaned_Data[[#This Row],[Total_sales]]-Cleaned_Data[[#This Row],[Discount_Amount]]</f>
        <v>50400</v>
      </c>
      <c r="P539" t="str">
        <f>TEXT(Cleaned_Data[[#This Row],[Order_Date]],"MMM-YYYY")</f>
        <v>Jan-2023</v>
      </c>
      <c r="Q539" t="str">
        <f>"Q"&amp;ROUNDUP(MONTH(Cleaned_Data[[#This Row],[Order_Date]])/3,0)&amp;"-2023"</f>
        <v>Q1-2023</v>
      </c>
      <c r="R539" t="str">
        <f>TEXT(Cleaned_Data[[#This Row],[Order_Date]],"DDD")</f>
        <v>Tue</v>
      </c>
      <c r="S539" t="str">
        <f>IF(Cleaned_Data[[#This Row],[Net_Sales]]&gt;=100000,"High",IF(Cleaned_Data[[#This Row],[Net_Sales]]&gt;=50000,"Medium","Low"))</f>
        <v>Medium</v>
      </c>
    </row>
    <row r="540" spans="1:19" x14ac:dyDescent="0.3">
      <c r="A540" t="s">
        <v>688</v>
      </c>
      <c r="B540" s="1">
        <v>44974</v>
      </c>
      <c r="C540" t="s">
        <v>79</v>
      </c>
      <c r="D540" t="s">
        <v>80</v>
      </c>
      <c r="E540" t="s">
        <v>81</v>
      </c>
      <c r="F540" t="s">
        <v>160</v>
      </c>
      <c r="G540" t="s">
        <v>17</v>
      </c>
      <c r="H540" t="s">
        <v>88</v>
      </c>
      <c r="I540">
        <v>1</v>
      </c>
      <c r="J540" s="8">
        <v>31500</v>
      </c>
      <c r="K540">
        <v>10</v>
      </c>
      <c r="L540" t="s">
        <v>73</v>
      </c>
      <c r="M540" s="5">
        <f>Cleaned_Data[[#This Row],[Quantity]]*Cleaned_Data[[#This Row],[Unit_Price]]</f>
        <v>31500</v>
      </c>
      <c r="N540" s="7">
        <f>Cleaned_Data[[#This Row],[Total_sales]]*(Cleaned_Data[[#This Row],[Discount_Percent]]/100)</f>
        <v>3150</v>
      </c>
      <c r="O540" s="7">
        <f>Cleaned_Data[[#This Row],[Total_sales]]-Cleaned_Data[[#This Row],[Discount_Amount]]</f>
        <v>28350</v>
      </c>
      <c r="P540" t="str">
        <f>TEXT(Cleaned_Data[[#This Row],[Order_Date]],"MMM-YYYY")</f>
        <v>Feb-2023</v>
      </c>
      <c r="Q540" t="str">
        <f>"Q"&amp;ROUNDUP(MONTH(Cleaned_Data[[#This Row],[Order_Date]])/3,0)&amp;"-2023"</f>
        <v>Q1-2023</v>
      </c>
      <c r="R540" t="str">
        <f>TEXT(Cleaned_Data[[#This Row],[Order_Date]],"DDD")</f>
        <v>Fri</v>
      </c>
      <c r="S540" t="str">
        <f>IF(Cleaned_Data[[#This Row],[Net_Sales]]&gt;=100000,"High",IF(Cleaned_Data[[#This Row],[Net_Sales]]&gt;=50000,"Medium","Low"))</f>
        <v>Low</v>
      </c>
    </row>
    <row r="541" spans="1:19" x14ac:dyDescent="0.3">
      <c r="A541" t="s">
        <v>689</v>
      </c>
      <c r="B541" s="1">
        <v>44974</v>
      </c>
      <c r="C541" t="s">
        <v>35</v>
      </c>
      <c r="D541" t="s">
        <v>36</v>
      </c>
      <c r="E541" t="s">
        <v>66</v>
      </c>
      <c r="F541" t="s">
        <v>87</v>
      </c>
      <c r="G541" t="s">
        <v>39</v>
      </c>
      <c r="H541" t="s">
        <v>102</v>
      </c>
      <c r="I541">
        <v>1</v>
      </c>
      <c r="J541" s="8">
        <v>27800</v>
      </c>
      <c r="K541">
        <v>10</v>
      </c>
      <c r="L541" t="s">
        <v>27</v>
      </c>
      <c r="M541" s="5">
        <f>Cleaned_Data[[#This Row],[Quantity]]*Cleaned_Data[[#This Row],[Unit_Price]]</f>
        <v>27800</v>
      </c>
      <c r="N541" s="7">
        <f>Cleaned_Data[[#This Row],[Total_sales]]*(Cleaned_Data[[#This Row],[Discount_Percent]]/100)</f>
        <v>2780</v>
      </c>
      <c r="O541" s="7">
        <f>Cleaned_Data[[#This Row],[Total_sales]]-Cleaned_Data[[#This Row],[Discount_Amount]]</f>
        <v>25020</v>
      </c>
      <c r="P541" t="str">
        <f>TEXT(Cleaned_Data[[#This Row],[Order_Date]],"MMM-YYYY")</f>
        <v>Feb-2023</v>
      </c>
      <c r="Q541" t="str">
        <f>"Q"&amp;ROUNDUP(MONTH(Cleaned_Data[[#This Row],[Order_Date]])/3,0)&amp;"-2023"</f>
        <v>Q1-2023</v>
      </c>
      <c r="R541" t="str">
        <f>TEXT(Cleaned_Data[[#This Row],[Order_Date]],"DDD")</f>
        <v>Fri</v>
      </c>
      <c r="S541" t="str">
        <f>IF(Cleaned_Data[[#This Row],[Net_Sales]]&gt;=100000,"High",IF(Cleaned_Data[[#This Row],[Net_Sales]]&gt;=50000,"Medium","Low"))</f>
        <v>Low</v>
      </c>
    </row>
    <row r="542" spans="1:19" x14ac:dyDescent="0.3">
      <c r="A542" t="s">
        <v>690</v>
      </c>
      <c r="B542" s="1">
        <v>44974</v>
      </c>
      <c r="C542" t="s">
        <v>203</v>
      </c>
      <c r="D542" t="s">
        <v>204</v>
      </c>
      <c r="E542" t="s">
        <v>66</v>
      </c>
      <c r="F542" t="s">
        <v>67</v>
      </c>
      <c r="G542" t="s">
        <v>25</v>
      </c>
      <c r="H542" t="s">
        <v>124</v>
      </c>
      <c r="I542">
        <v>3</v>
      </c>
      <c r="J542" s="8">
        <v>2100</v>
      </c>
      <c r="K542">
        <v>15</v>
      </c>
      <c r="L542" t="s">
        <v>33</v>
      </c>
      <c r="M542" s="5">
        <f>Cleaned_Data[[#This Row],[Quantity]]*Cleaned_Data[[#This Row],[Unit_Price]]</f>
        <v>6300</v>
      </c>
      <c r="N542" s="7">
        <f>Cleaned_Data[[#This Row],[Total_sales]]*(Cleaned_Data[[#This Row],[Discount_Percent]]/100)</f>
        <v>945</v>
      </c>
      <c r="O542" s="7">
        <f>Cleaned_Data[[#This Row],[Total_sales]]-Cleaned_Data[[#This Row],[Discount_Amount]]</f>
        <v>5355</v>
      </c>
      <c r="P542" t="str">
        <f>TEXT(Cleaned_Data[[#This Row],[Order_Date]],"MMM-YYYY")</f>
        <v>Feb-2023</v>
      </c>
      <c r="Q542" t="str">
        <f>"Q"&amp;ROUNDUP(MONTH(Cleaned_Data[[#This Row],[Order_Date]])/3,0)&amp;"-2023"</f>
        <v>Q1-2023</v>
      </c>
      <c r="R542" t="str">
        <f>TEXT(Cleaned_Data[[#This Row],[Order_Date]],"DDD")</f>
        <v>Fri</v>
      </c>
      <c r="S542" t="str">
        <f>IF(Cleaned_Data[[#This Row],[Net_Sales]]&gt;=100000,"High",IF(Cleaned_Data[[#This Row],[Net_Sales]]&gt;=50000,"Medium","Low"))</f>
        <v>Low</v>
      </c>
    </row>
    <row r="543" spans="1:19" x14ac:dyDescent="0.3">
      <c r="A543" t="s">
        <v>691</v>
      </c>
      <c r="B543" s="1">
        <v>45002</v>
      </c>
      <c r="C543" t="s">
        <v>180</v>
      </c>
      <c r="D543" t="s">
        <v>181</v>
      </c>
      <c r="E543" t="s">
        <v>66</v>
      </c>
      <c r="F543" t="s">
        <v>67</v>
      </c>
      <c r="G543" t="s">
        <v>97</v>
      </c>
      <c r="H543" t="s">
        <v>98</v>
      </c>
      <c r="I543">
        <v>1</v>
      </c>
      <c r="J543" s="8">
        <v>46400</v>
      </c>
      <c r="K543">
        <v>15</v>
      </c>
      <c r="L543" t="s">
        <v>33</v>
      </c>
      <c r="M543" s="5">
        <f>Cleaned_Data[[#This Row],[Quantity]]*Cleaned_Data[[#This Row],[Unit_Price]]</f>
        <v>46400</v>
      </c>
      <c r="N543" s="7">
        <f>Cleaned_Data[[#This Row],[Total_sales]]*(Cleaned_Data[[#This Row],[Discount_Percent]]/100)</f>
        <v>6960</v>
      </c>
      <c r="O543" s="7">
        <f>Cleaned_Data[[#This Row],[Total_sales]]-Cleaned_Data[[#This Row],[Discount_Amount]]</f>
        <v>39440</v>
      </c>
      <c r="P543" t="str">
        <f>TEXT(Cleaned_Data[[#This Row],[Order_Date]],"MMM-YYYY")</f>
        <v>Mar-2023</v>
      </c>
      <c r="Q543" t="str">
        <f>"Q"&amp;ROUNDUP(MONTH(Cleaned_Data[[#This Row],[Order_Date]])/3,0)&amp;"-2023"</f>
        <v>Q1-2023</v>
      </c>
      <c r="R543" t="str">
        <f>TEXT(Cleaned_Data[[#This Row],[Order_Date]],"DDD")</f>
        <v>Fri</v>
      </c>
      <c r="S543" t="str">
        <f>IF(Cleaned_Data[[#This Row],[Net_Sales]]&gt;=100000,"High",IF(Cleaned_Data[[#This Row],[Net_Sales]]&gt;=50000,"Medium","Low"))</f>
        <v>Low</v>
      </c>
    </row>
    <row r="544" spans="1:19" x14ac:dyDescent="0.3">
      <c r="A544" t="s">
        <v>692</v>
      </c>
      <c r="B544" s="1">
        <v>45002</v>
      </c>
      <c r="C544" t="s">
        <v>13</v>
      </c>
      <c r="D544" t="s">
        <v>14</v>
      </c>
      <c r="E544" t="s">
        <v>23</v>
      </c>
      <c r="F544" t="s">
        <v>31</v>
      </c>
      <c r="G544" t="s">
        <v>97</v>
      </c>
      <c r="H544" t="s">
        <v>171</v>
      </c>
      <c r="I544">
        <v>1</v>
      </c>
      <c r="J544" s="8">
        <v>53300</v>
      </c>
      <c r="K544">
        <v>5</v>
      </c>
      <c r="L544" t="s">
        <v>62</v>
      </c>
      <c r="M544" s="5">
        <f>Cleaned_Data[[#This Row],[Quantity]]*Cleaned_Data[[#This Row],[Unit_Price]]</f>
        <v>53300</v>
      </c>
      <c r="N544" s="7">
        <f>Cleaned_Data[[#This Row],[Total_sales]]*(Cleaned_Data[[#This Row],[Discount_Percent]]/100)</f>
        <v>2665</v>
      </c>
      <c r="O544" s="7">
        <f>Cleaned_Data[[#This Row],[Total_sales]]-Cleaned_Data[[#This Row],[Discount_Amount]]</f>
        <v>50635</v>
      </c>
      <c r="P544" t="str">
        <f>TEXT(Cleaned_Data[[#This Row],[Order_Date]],"MMM-YYYY")</f>
        <v>Mar-2023</v>
      </c>
      <c r="Q544" t="str">
        <f>"Q"&amp;ROUNDUP(MONTH(Cleaned_Data[[#This Row],[Order_Date]])/3,0)&amp;"-2023"</f>
        <v>Q1-2023</v>
      </c>
      <c r="R544" t="str">
        <f>TEXT(Cleaned_Data[[#This Row],[Order_Date]],"DDD")</f>
        <v>Fri</v>
      </c>
      <c r="S544" t="str">
        <f>IF(Cleaned_Data[[#This Row],[Net_Sales]]&gt;=100000,"High",IF(Cleaned_Data[[#This Row],[Net_Sales]]&gt;=50000,"Medium","Low"))</f>
        <v>Medium</v>
      </c>
    </row>
    <row r="545" spans="1:19" x14ac:dyDescent="0.3">
      <c r="A545" t="s">
        <v>693</v>
      </c>
      <c r="B545" s="1">
        <v>45002</v>
      </c>
      <c r="C545" t="s">
        <v>135</v>
      </c>
      <c r="D545" t="s">
        <v>136</v>
      </c>
      <c r="E545" t="s">
        <v>37</v>
      </c>
      <c r="F545" t="s">
        <v>101</v>
      </c>
      <c r="G545" t="s">
        <v>39</v>
      </c>
      <c r="H545" t="s">
        <v>102</v>
      </c>
      <c r="I545">
        <v>1</v>
      </c>
      <c r="J545" s="8">
        <v>22200</v>
      </c>
      <c r="K545">
        <v>5</v>
      </c>
      <c r="L545" t="s">
        <v>73</v>
      </c>
      <c r="M545" s="5">
        <f>Cleaned_Data[[#This Row],[Quantity]]*Cleaned_Data[[#This Row],[Unit_Price]]</f>
        <v>22200</v>
      </c>
      <c r="N545" s="7">
        <f>Cleaned_Data[[#This Row],[Total_sales]]*(Cleaned_Data[[#This Row],[Discount_Percent]]/100)</f>
        <v>1110</v>
      </c>
      <c r="O545" s="7">
        <f>Cleaned_Data[[#This Row],[Total_sales]]-Cleaned_Data[[#This Row],[Discount_Amount]]</f>
        <v>21090</v>
      </c>
      <c r="P545" t="str">
        <f>TEXT(Cleaned_Data[[#This Row],[Order_Date]],"MMM-YYYY")</f>
        <v>Mar-2023</v>
      </c>
      <c r="Q545" t="str">
        <f>"Q"&amp;ROUNDUP(MONTH(Cleaned_Data[[#This Row],[Order_Date]])/3,0)&amp;"-2023"</f>
        <v>Q1-2023</v>
      </c>
      <c r="R545" t="str">
        <f>TEXT(Cleaned_Data[[#This Row],[Order_Date]],"DDD")</f>
        <v>Fri</v>
      </c>
      <c r="S545" t="str">
        <f>IF(Cleaned_Data[[#This Row],[Net_Sales]]&gt;=100000,"High",IF(Cleaned_Data[[#This Row],[Net_Sales]]&gt;=50000,"Medium","Low"))</f>
        <v>Low</v>
      </c>
    </row>
    <row r="546" spans="1:19" x14ac:dyDescent="0.3">
      <c r="A546" t="s">
        <v>694</v>
      </c>
      <c r="B546" s="1">
        <v>45002</v>
      </c>
      <c r="C546" t="s">
        <v>147</v>
      </c>
      <c r="D546" t="s">
        <v>148</v>
      </c>
      <c r="E546" t="s">
        <v>15</v>
      </c>
      <c r="F546" t="s">
        <v>131</v>
      </c>
      <c r="G546" t="s">
        <v>97</v>
      </c>
      <c r="H546" t="s">
        <v>154</v>
      </c>
      <c r="I546">
        <v>1</v>
      </c>
      <c r="J546" s="8">
        <v>60600</v>
      </c>
      <c r="K546">
        <v>0</v>
      </c>
      <c r="L546" t="s">
        <v>53</v>
      </c>
      <c r="M546" s="5">
        <f>Cleaned_Data[[#This Row],[Quantity]]*Cleaned_Data[[#This Row],[Unit_Price]]</f>
        <v>60600</v>
      </c>
      <c r="N546" s="7">
        <f>Cleaned_Data[[#This Row],[Total_sales]]*(Cleaned_Data[[#This Row],[Discount_Percent]]/100)</f>
        <v>0</v>
      </c>
      <c r="O546" s="7">
        <f>Cleaned_Data[[#This Row],[Total_sales]]-Cleaned_Data[[#This Row],[Discount_Amount]]</f>
        <v>60600</v>
      </c>
      <c r="P546" t="str">
        <f>TEXT(Cleaned_Data[[#This Row],[Order_Date]],"MMM-YYYY")</f>
        <v>Mar-2023</v>
      </c>
      <c r="Q546" t="str">
        <f>"Q"&amp;ROUNDUP(MONTH(Cleaned_Data[[#This Row],[Order_Date]])/3,0)&amp;"-2023"</f>
        <v>Q1-2023</v>
      </c>
      <c r="R546" t="str">
        <f>TEXT(Cleaned_Data[[#This Row],[Order_Date]],"DDD")</f>
        <v>Fri</v>
      </c>
      <c r="S546" t="str">
        <f>IF(Cleaned_Data[[#This Row],[Net_Sales]]&gt;=100000,"High",IF(Cleaned_Data[[#This Row],[Net_Sales]]&gt;=50000,"Medium","Low"))</f>
        <v>Medium</v>
      </c>
    </row>
    <row r="547" spans="1:19" x14ac:dyDescent="0.3">
      <c r="A547" t="s">
        <v>695</v>
      </c>
      <c r="B547" s="1">
        <v>45033</v>
      </c>
      <c r="C547" t="s">
        <v>185</v>
      </c>
      <c r="D547" t="s">
        <v>186</v>
      </c>
      <c r="E547" t="s">
        <v>15</v>
      </c>
      <c r="F547" t="s">
        <v>128</v>
      </c>
      <c r="G547" t="s">
        <v>25</v>
      </c>
      <c r="H547" t="s">
        <v>26</v>
      </c>
      <c r="I547">
        <v>2</v>
      </c>
      <c r="J547" s="8">
        <v>1800</v>
      </c>
      <c r="K547">
        <v>5</v>
      </c>
      <c r="L547" t="s">
        <v>33</v>
      </c>
      <c r="M547" s="5">
        <f>Cleaned_Data[[#This Row],[Quantity]]*Cleaned_Data[[#This Row],[Unit_Price]]</f>
        <v>3600</v>
      </c>
      <c r="N547" s="7">
        <f>Cleaned_Data[[#This Row],[Total_sales]]*(Cleaned_Data[[#This Row],[Discount_Percent]]/100)</f>
        <v>180</v>
      </c>
      <c r="O547" s="7">
        <f>Cleaned_Data[[#This Row],[Total_sales]]-Cleaned_Data[[#This Row],[Discount_Amount]]</f>
        <v>3420</v>
      </c>
      <c r="P547" t="str">
        <f>TEXT(Cleaned_Data[[#This Row],[Order_Date]],"MMM-YYYY")</f>
        <v>Apr-2023</v>
      </c>
      <c r="Q547" t="str">
        <f>"Q"&amp;ROUNDUP(MONTH(Cleaned_Data[[#This Row],[Order_Date]])/3,0)&amp;"-2023"</f>
        <v>Q2-2023</v>
      </c>
      <c r="R547" t="str">
        <f>TEXT(Cleaned_Data[[#This Row],[Order_Date]],"DDD")</f>
        <v>Mon</v>
      </c>
      <c r="S547" t="str">
        <f>IF(Cleaned_Data[[#This Row],[Net_Sales]]&gt;=100000,"High",IF(Cleaned_Data[[#This Row],[Net_Sales]]&gt;=50000,"Medium","Low"))</f>
        <v>Low</v>
      </c>
    </row>
    <row r="548" spans="1:19" x14ac:dyDescent="0.3">
      <c r="A548" t="s">
        <v>696</v>
      </c>
      <c r="B548" s="1">
        <v>45033</v>
      </c>
      <c r="C548" t="s">
        <v>130</v>
      </c>
      <c r="D548" t="s">
        <v>53</v>
      </c>
      <c r="E548" t="s">
        <v>66</v>
      </c>
      <c r="F548" t="s">
        <v>92</v>
      </c>
      <c r="G548" t="s">
        <v>25</v>
      </c>
      <c r="H548" t="s">
        <v>124</v>
      </c>
      <c r="I548">
        <v>3</v>
      </c>
      <c r="J548" s="8">
        <v>1500</v>
      </c>
      <c r="K548">
        <v>0</v>
      </c>
      <c r="L548" t="s">
        <v>62</v>
      </c>
      <c r="M548" s="5">
        <f>Cleaned_Data[[#This Row],[Quantity]]*Cleaned_Data[[#This Row],[Unit_Price]]</f>
        <v>4500</v>
      </c>
      <c r="N548" s="7">
        <f>Cleaned_Data[[#This Row],[Total_sales]]*(Cleaned_Data[[#This Row],[Discount_Percent]]/100)</f>
        <v>0</v>
      </c>
      <c r="O548" s="7">
        <f>Cleaned_Data[[#This Row],[Total_sales]]-Cleaned_Data[[#This Row],[Discount_Amount]]</f>
        <v>4500</v>
      </c>
      <c r="P548" t="str">
        <f>TEXT(Cleaned_Data[[#This Row],[Order_Date]],"MMM-YYYY")</f>
        <v>Apr-2023</v>
      </c>
      <c r="Q548" t="str">
        <f>"Q"&amp;ROUNDUP(MONTH(Cleaned_Data[[#This Row],[Order_Date]])/3,0)&amp;"-2023"</f>
        <v>Q2-2023</v>
      </c>
      <c r="R548" t="str">
        <f>TEXT(Cleaned_Data[[#This Row],[Order_Date]],"DDD")</f>
        <v>Mon</v>
      </c>
      <c r="S548" t="str">
        <f>IF(Cleaned_Data[[#This Row],[Net_Sales]]&gt;=100000,"High",IF(Cleaned_Data[[#This Row],[Net_Sales]]&gt;=50000,"Medium","Low"))</f>
        <v>Low</v>
      </c>
    </row>
    <row r="549" spans="1:19" x14ac:dyDescent="0.3">
      <c r="A549" t="s">
        <v>697</v>
      </c>
      <c r="B549" s="1">
        <v>45033</v>
      </c>
      <c r="C549" t="s">
        <v>130</v>
      </c>
      <c r="D549" t="s">
        <v>53</v>
      </c>
      <c r="E549" t="s">
        <v>66</v>
      </c>
      <c r="F549" t="s">
        <v>92</v>
      </c>
      <c r="G549" t="s">
        <v>17</v>
      </c>
      <c r="H549" t="s">
        <v>88</v>
      </c>
      <c r="I549">
        <v>1</v>
      </c>
      <c r="J549" s="8">
        <v>43900</v>
      </c>
      <c r="K549">
        <v>0</v>
      </c>
      <c r="L549" t="s">
        <v>19</v>
      </c>
      <c r="M549" s="5">
        <f>Cleaned_Data[[#This Row],[Quantity]]*Cleaned_Data[[#This Row],[Unit_Price]]</f>
        <v>43900</v>
      </c>
      <c r="N549" s="7">
        <f>Cleaned_Data[[#This Row],[Total_sales]]*(Cleaned_Data[[#This Row],[Discount_Percent]]/100)</f>
        <v>0</v>
      </c>
      <c r="O549" s="7">
        <f>Cleaned_Data[[#This Row],[Total_sales]]-Cleaned_Data[[#This Row],[Discount_Amount]]</f>
        <v>43900</v>
      </c>
      <c r="P549" t="str">
        <f>TEXT(Cleaned_Data[[#This Row],[Order_Date]],"MMM-YYYY")</f>
        <v>Apr-2023</v>
      </c>
      <c r="Q549" t="str">
        <f>"Q"&amp;ROUNDUP(MONTH(Cleaned_Data[[#This Row],[Order_Date]])/3,0)&amp;"-2023"</f>
        <v>Q2-2023</v>
      </c>
      <c r="R549" t="str">
        <f>TEXT(Cleaned_Data[[#This Row],[Order_Date]],"DDD")</f>
        <v>Mon</v>
      </c>
      <c r="S549" t="str">
        <f>IF(Cleaned_Data[[#This Row],[Net_Sales]]&gt;=100000,"High",IF(Cleaned_Data[[#This Row],[Net_Sales]]&gt;=50000,"Medium","Low"))</f>
        <v>Low</v>
      </c>
    </row>
    <row r="550" spans="1:19" x14ac:dyDescent="0.3">
      <c r="A550" t="s">
        <v>698</v>
      </c>
      <c r="B550" s="1">
        <v>45033</v>
      </c>
      <c r="C550" t="s">
        <v>232</v>
      </c>
      <c r="D550" t="s">
        <v>233</v>
      </c>
      <c r="E550" t="s">
        <v>15</v>
      </c>
      <c r="F550" t="s">
        <v>16</v>
      </c>
      <c r="G550" t="s">
        <v>45</v>
      </c>
      <c r="H550" t="s">
        <v>207</v>
      </c>
      <c r="I550">
        <v>1</v>
      </c>
      <c r="J550" s="8">
        <v>42000</v>
      </c>
      <c r="K550">
        <v>0</v>
      </c>
      <c r="L550" t="s">
        <v>103</v>
      </c>
      <c r="M550" s="5">
        <f>Cleaned_Data[[#This Row],[Quantity]]*Cleaned_Data[[#This Row],[Unit_Price]]</f>
        <v>42000</v>
      </c>
      <c r="N550" s="7">
        <f>Cleaned_Data[[#This Row],[Total_sales]]*(Cleaned_Data[[#This Row],[Discount_Percent]]/100)</f>
        <v>0</v>
      </c>
      <c r="O550" s="7">
        <f>Cleaned_Data[[#This Row],[Total_sales]]-Cleaned_Data[[#This Row],[Discount_Amount]]</f>
        <v>42000</v>
      </c>
      <c r="P550" t="str">
        <f>TEXT(Cleaned_Data[[#This Row],[Order_Date]],"MMM-YYYY")</f>
        <v>Apr-2023</v>
      </c>
      <c r="Q550" t="str">
        <f>"Q"&amp;ROUNDUP(MONTH(Cleaned_Data[[#This Row],[Order_Date]])/3,0)&amp;"-2023"</f>
        <v>Q2-2023</v>
      </c>
      <c r="R550" t="str">
        <f>TEXT(Cleaned_Data[[#This Row],[Order_Date]],"DDD")</f>
        <v>Mon</v>
      </c>
      <c r="S550" t="str">
        <f>IF(Cleaned_Data[[#This Row],[Net_Sales]]&gt;=100000,"High",IF(Cleaned_Data[[#This Row],[Net_Sales]]&gt;=50000,"Medium","Low"))</f>
        <v>Low</v>
      </c>
    </row>
    <row r="551" spans="1:19" x14ac:dyDescent="0.3">
      <c r="A551" t="s">
        <v>699</v>
      </c>
      <c r="B551" s="1">
        <v>45033</v>
      </c>
      <c r="C551" t="s">
        <v>210</v>
      </c>
      <c r="D551" t="s">
        <v>211</v>
      </c>
      <c r="E551" t="s">
        <v>81</v>
      </c>
      <c r="F551" t="s">
        <v>110</v>
      </c>
      <c r="G551" t="s">
        <v>39</v>
      </c>
      <c r="H551" t="s">
        <v>40</v>
      </c>
      <c r="I551">
        <v>1</v>
      </c>
      <c r="J551" s="8">
        <v>26700</v>
      </c>
      <c r="K551">
        <v>0</v>
      </c>
      <c r="L551" t="s">
        <v>27</v>
      </c>
      <c r="M551" s="5">
        <f>Cleaned_Data[[#This Row],[Quantity]]*Cleaned_Data[[#This Row],[Unit_Price]]</f>
        <v>26700</v>
      </c>
      <c r="N551" s="7">
        <f>Cleaned_Data[[#This Row],[Total_sales]]*(Cleaned_Data[[#This Row],[Discount_Percent]]/100)</f>
        <v>0</v>
      </c>
      <c r="O551" s="7">
        <f>Cleaned_Data[[#This Row],[Total_sales]]-Cleaned_Data[[#This Row],[Discount_Amount]]</f>
        <v>26700</v>
      </c>
      <c r="P551" t="str">
        <f>TEXT(Cleaned_Data[[#This Row],[Order_Date]],"MMM-YYYY")</f>
        <v>Apr-2023</v>
      </c>
      <c r="Q551" t="str">
        <f>"Q"&amp;ROUNDUP(MONTH(Cleaned_Data[[#This Row],[Order_Date]])/3,0)&amp;"-2023"</f>
        <v>Q2-2023</v>
      </c>
      <c r="R551" t="str">
        <f>TEXT(Cleaned_Data[[#This Row],[Order_Date]],"DDD")</f>
        <v>Mon</v>
      </c>
      <c r="S551" t="str">
        <f>IF(Cleaned_Data[[#This Row],[Net_Sales]]&gt;=100000,"High",IF(Cleaned_Data[[#This Row],[Net_Sales]]&gt;=50000,"Medium","Low"))</f>
        <v>Low</v>
      </c>
    </row>
    <row r="552" spans="1:19" x14ac:dyDescent="0.3">
      <c r="A552" t="s">
        <v>700</v>
      </c>
      <c r="B552" s="1">
        <v>45063</v>
      </c>
      <c r="C552" t="s">
        <v>188</v>
      </c>
      <c r="D552" t="s">
        <v>189</v>
      </c>
      <c r="E552" t="s">
        <v>15</v>
      </c>
      <c r="F552" t="s">
        <v>119</v>
      </c>
      <c r="G552" t="s">
        <v>45</v>
      </c>
      <c r="H552" t="s">
        <v>207</v>
      </c>
      <c r="I552">
        <v>1</v>
      </c>
      <c r="J552" s="8">
        <v>33200</v>
      </c>
      <c r="K552">
        <v>0</v>
      </c>
      <c r="L552" t="s">
        <v>53</v>
      </c>
      <c r="M552" s="5">
        <f>Cleaned_Data[[#This Row],[Quantity]]*Cleaned_Data[[#This Row],[Unit_Price]]</f>
        <v>33200</v>
      </c>
      <c r="N552" s="7">
        <f>Cleaned_Data[[#This Row],[Total_sales]]*(Cleaned_Data[[#This Row],[Discount_Percent]]/100)</f>
        <v>0</v>
      </c>
      <c r="O552" s="7">
        <f>Cleaned_Data[[#This Row],[Total_sales]]-Cleaned_Data[[#This Row],[Discount_Amount]]</f>
        <v>33200</v>
      </c>
      <c r="P552" t="str">
        <f>TEXT(Cleaned_Data[[#This Row],[Order_Date]],"MMM-YYYY")</f>
        <v>May-2023</v>
      </c>
      <c r="Q552" t="str">
        <f>"Q"&amp;ROUNDUP(MONTH(Cleaned_Data[[#This Row],[Order_Date]])/3,0)&amp;"-2023"</f>
        <v>Q2-2023</v>
      </c>
      <c r="R552" t="str">
        <f>TEXT(Cleaned_Data[[#This Row],[Order_Date]],"DDD")</f>
        <v>Wed</v>
      </c>
      <c r="S552" t="str">
        <f>IF(Cleaned_Data[[#This Row],[Net_Sales]]&gt;=100000,"High",IF(Cleaned_Data[[#This Row],[Net_Sales]]&gt;=50000,"Medium","Low"))</f>
        <v>Low</v>
      </c>
    </row>
    <row r="553" spans="1:19" x14ac:dyDescent="0.3">
      <c r="A553" t="s">
        <v>701</v>
      </c>
      <c r="B553" s="1">
        <v>45063</v>
      </c>
      <c r="C553" t="s">
        <v>188</v>
      </c>
      <c r="D553" t="s">
        <v>189</v>
      </c>
      <c r="E553" t="s">
        <v>81</v>
      </c>
      <c r="F553" t="s">
        <v>160</v>
      </c>
      <c r="G553" t="s">
        <v>39</v>
      </c>
      <c r="H553" t="s">
        <v>102</v>
      </c>
      <c r="I553">
        <v>1</v>
      </c>
      <c r="J553" s="8">
        <v>18700</v>
      </c>
      <c r="K553">
        <v>5</v>
      </c>
      <c r="L553" t="s">
        <v>33</v>
      </c>
      <c r="M553" s="5">
        <f>Cleaned_Data[[#This Row],[Quantity]]*Cleaned_Data[[#This Row],[Unit_Price]]</f>
        <v>18700</v>
      </c>
      <c r="N553" s="7">
        <f>Cleaned_Data[[#This Row],[Total_sales]]*(Cleaned_Data[[#This Row],[Discount_Percent]]/100)</f>
        <v>935</v>
      </c>
      <c r="O553" s="7">
        <f>Cleaned_Data[[#This Row],[Total_sales]]-Cleaned_Data[[#This Row],[Discount_Amount]]</f>
        <v>17765</v>
      </c>
      <c r="P553" t="str">
        <f>TEXT(Cleaned_Data[[#This Row],[Order_Date]],"MMM-YYYY")</f>
        <v>May-2023</v>
      </c>
      <c r="Q553" t="str">
        <f>"Q"&amp;ROUNDUP(MONTH(Cleaned_Data[[#This Row],[Order_Date]])/3,0)&amp;"-2023"</f>
        <v>Q2-2023</v>
      </c>
      <c r="R553" t="str">
        <f>TEXT(Cleaned_Data[[#This Row],[Order_Date]],"DDD")</f>
        <v>Wed</v>
      </c>
      <c r="S553" t="str">
        <f>IF(Cleaned_Data[[#This Row],[Net_Sales]]&gt;=100000,"High",IF(Cleaned_Data[[#This Row],[Net_Sales]]&gt;=50000,"Medium","Low"))</f>
        <v>Low</v>
      </c>
    </row>
    <row r="554" spans="1:19" x14ac:dyDescent="0.3">
      <c r="A554" t="s">
        <v>702</v>
      </c>
      <c r="B554" s="1">
        <v>45063</v>
      </c>
      <c r="C554" t="s">
        <v>143</v>
      </c>
      <c r="D554" t="s">
        <v>144</v>
      </c>
      <c r="E554" t="s">
        <v>81</v>
      </c>
      <c r="F554" t="s">
        <v>117</v>
      </c>
      <c r="G554" t="s">
        <v>45</v>
      </c>
      <c r="H554" t="s">
        <v>46</v>
      </c>
      <c r="I554">
        <v>1</v>
      </c>
      <c r="J554" s="8">
        <v>31900</v>
      </c>
      <c r="K554">
        <v>10</v>
      </c>
      <c r="L554" t="s">
        <v>19</v>
      </c>
      <c r="M554" s="5">
        <f>Cleaned_Data[[#This Row],[Quantity]]*Cleaned_Data[[#This Row],[Unit_Price]]</f>
        <v>31900</v>
      </c>
      <c r="N554" s="7">
        <f>Cleaned_Data[[#This Row],[Total_sales]]*(Cleaned_Data[[#This Row],[Discount_Percent]]/100)</f>
        <v>3190</v>
      </c>
      <c r="O554" s="7">
        <f>Cleaned_Data[[#This Row],[Total_sales]]-Cleaned_Data[[#This Row],[Discount_Amount]]</f>
        <v>28710</v>
      </c>
      <c r="P554" t="str">
        <f>TEXT(Cleaned_Data[[#This Row],[Order_Date]],"MMM-YYYY")</f>
        <v>May-2023</v>
      </c>
      <c r="Q554" t="str">
        <f>"Q"&amp;ROUNDUP(MONTH(Cleaned_Data[[#This Row],[Order_Date]])/3,0)&amp;"-2023"</f>
        <v>Q2-2023</v>
      </c>
      <c r="R554" t="str">
        <f>TEXT(Cleaned_Data[[#This Row],[Order_Date]],"DDD")</f>
        <v>Wed</v>
      </c>
      <c r="S554" t="str">
        <f>IF(Cleaned_Data[[#This Row],[Net_Sales]]&gt;=100000,"High",IF(Cleaned_Data[[#This Row],[Net_Sales]]&gt;=50000,"Medium","Low"))</f>
        <v>Low</v>
      </c>
    </row>
    <row r="555" spans="1:19" x14ac:dyDescent="0.3">
      <c r="A555" t="s">
        <v>703</v>
      </c>
      <c r="B555" s="1">
        <v>45063</v>
      </c>
      <c r="C555" t="s">
        <v>236</v>
      </c>
      <c r="D555" t="s">
        <v>237</v>
      </c>
      <c r="E555" t="s">
        <v>23</v>
      </c>
      <c r="F555" t="s">
        <v>44</v>
      </c>
      <c r="G555" t="s">
        <v>39</v>
      </c>
      <c r="H555" t="s">
        <v>102</v>
      </c>
      <c r="I555">
        <v>1</v>
      </c>
      <c r="J555" s="8">
        <v>17100</v>
      </c>
      <c r="K555">
        <v>10</v>
      </c>
      <c r="L555" t="s">
        <v>27</v>
      </c>
      <c r="M555" s="5">
        <f>Cleaned_Data[[#This Row],[Quantity]]*Cleaned_Data[[#This Row],[Unit_Price]]</f>
        <v>17100</v>
      </c>
      <c r="N555" s="7">
        <f>Cleaned_Data[[#This Row],[Total_sales]]*(Cleaned_Data[[#This Row],[Discount_Percent]]/100)</f>
        <v>1710</v>
      </c>
      <c r="O555" s="7">
        <f>Cleaned_Data[[#This Row],[Total_sales]]-Cleaned_Data[[#This Row],[Discount_Amount]]</f>
        <v>15390</v>
      </c>
      <c r="P555" t="str">
        <f>TEXT(Cleaned_Data[[#This Row],[Order_Date]],"MMM-YYYY")</f>
        <v>May-2023</v>
      </c>
      <c r="Q555" t="str">
        <f>"Q"&amp;ROUNDUP(MONTH(Cleaned_Data[[#This Row],[Order_Date]])/3,0)&amp;"-2023"</f>
        <v>Q2-2023</v>
      </c>
      <c r="R555" t="str">
        <f>TEXT(Cleaned_Data[[#This Row],[Order_Date]],"DDD")</f>
        <v>Wed</v>
      </c>
      <c r="S555" t="str">
        <f>IF(Cleaned_Data[[#This Row],[Net_Sales]]&gt;=100000,"High",IF(Cleaned_Data[[#This Row],[Net_Sales]]&gt;=50000,"Medium","Low"))</f>
        <v>Low</v>
      </c>
    </row>
    <row r="556" spans="1:19" x14ac:dyDescent="0.3">
      <c r="A556" t="s">
        <v>704</v>
      </c>
      <c r="B556" s="1">
        <v>45094</v>
      </c>
      <c r="C556" t="s">
        <v>59</v>
      </c>
      <c r="D556" t="s">
        <v>60</v>
      </c>
      <c r="E556" t="s">
        <v>66</v>
      </c>
      <c r="F556" t="s">
        <v>92</v>
      </c>
      <c r="G556" t="s">
        <v>39</v>
      </c>
      <c r="H556" t="s">
        <v>57</v>
      </c>
      <c r="I556">
        <v>1</v>
      </c>
      <c r="J556" s="8">
        <v>35000</v>
      </c>
      <c r="K556">
        <v>5</v>
      </c>
      <c r="L556" t="s">
        <v>27</v>
      </c>
      <c r="M556" s="5">
        <f>Cleaned_Data[[#This Row],[Quantity]]*Cleaned_Data[[#This Row],[Unit_Price]]</f>
        <v>35000</v>
      </c>
      <c r="N556" s="7">
        <f>Cleaned_Data[[#This Row],[Total_sales]]*(Cleaned_Data[[#This Row],[Discount_Percent]]/100)</f>
        <v>1750</v>
      </c>
      <c r="O556" s="7">
        <f>Cleaned_Data[[#This Row],[Total_sales]]-Cleaned_Data[[#This Row],[Discount_Amount]]</f>
        <v>33250</v>
      </c>
      <c r="P556" t="str">
        <f>TEXT(Cleaned_Data[[#This Row],[Order_Date]],"MMM-YYYY")</f>
        <v>Jun-2023</v>
      </c>
      <c r="Q556" t="str">
        <f>"Q"&amp;ROUNDUP(MONTH(Cleaned_Data[[#This Row],[Order_Date]])/3,0)&amp;"-2023"</f>
        <v>Q2-2023</v>
      </c>
      <c r="R556" t="str">
        <f>TEXT(Cleaned_Data[[#This Row],[Order_Date]],"DDD")</f>
        <v>Sat</v>
      </c>
      <c r="S556" t="str">
        <f>IF(Cleaned_Data[[#This Row],[Net_Sales]]&gt;=100000,"High",IF(Cleaned_Data[[#This Row],[Net_Sales]]&gt;=50000,"Medium","Low"))</f>
        <v>Low</v>
      </c>
    </row>
    <row r="557" spans="1:19" x14ac:dyDescent="0.3">
      <c r="A557" t="s">
        <v>705</v>
      </c>
      <c r="B557" s="1">
        <v>45094</v>
      </c>
      <c r="C557" t="s">
        <v>151</v>
      </c>
      <c r="D557" t="s">
        <v>152</v>
      </c>
      <c r="E557" t="s">
        <v>23</v>
      </c>
      <c r="F557" t="s">
        <v>31</v>
      </c>
      <c r="G557" t="s">
        <v>25</v>
      </c>
      <c r="H557" t="s">
        <v>212</v>
      </c>
      <c r="I557">
        <v>2</v>
      </c>
      <c r="J557" s="8">
        <v>800</v>
      </c>
      <c r="K557">
        <v>5</v>
      </c>
      <c r="L557" t="s">
        <v>27</v>
      </c>
      <c r="M557" s="5">
        <f>Cleaned_Data[[#This Row],[Quantity]]*Cleaned_Data[[#This Row],[Unit_Price]]</f>
        <v>1600</v>
      </c>
      <c r="N557" s="7">
        <f>Cleaned_Data[[#This Row],[Total_sales]]*(Cleaned_Data[[#This Row],[Discount_Percent]]/100)</f>
        <v>80</v>
      </c>
      <c r="O557" s="7">
        <f>Cleaned_Data[[#This Row],[Total_sales]]-Cleaned_Data[[#This Row],[Discount_Amount]]</f>
        <v>1520</v>
      </c>
      <c r="P557" t="str">
        <f>TEXT(Cleaned_Data[[#This Row],[Order_Date]],"MMM-YYYY")</f>
        <v>Jun-2023</v>
      </c>
      <c r="Q557" t="str">
        <f>"Q"&amp;ROUNDUP(MONTH(Cleaned_Data[[#This Row],[Order_Date]])/3,0)&amp;"-2023"</f>
        <v>Q2-2023</v>
      </c>
      <c r="R557" t="str">
        <f>TEXT(Cleaned_Data[[#This Row],[Order_Date]],"DDD")</f>
        <v>Sat</v>
      </c>
      <c r="S557" t="str">
        <f>IF(Cleaned_Data[[#This Row],[Net_Sales]]&gt;=100000,"High",IF(Cleaned_Data[[#This Row],[Net_Sales]]&gt;=50000,"Medium","Low"))</f>
        <v>Low</v>
      </c>
    </row>
    <row r="558" spans="1:19" x14ac:dyDescent="0.3">
      <c r="A558" t="s">
        <v>706</v>
      </c>
      <c r="B558" s="1">
        <v>45124</v>
      </c>
      <c r="C558" t="s">
        <v>244</v>
      </c>
      <c r="D558" t="s">
        <v>245</v>
      </c>
      <c r="E558" t="s">
        <v>23</v>
      </c>
      <c r="F558" t="s">
        <v>31</v>
      </c>
      <c r="G558" t="s">
        <v>25</v>
      </c>
      <c r="H558" t="s">
        <v>212</v>
      </c>
      <c r="I558">
        <v>3</v>
      </c>
      <c r="J558" s="8">
        <v>1800</v>
      </c>
      <c r="K558">
        <v>0</v>
      </c>
      <c r="L558" t="s">
        <v>33</v>
      </c>
      <c r="M558" s="5">
        <f>Cleaned_Data[[#This Row],[Quantity]]*Cleaned_Data[[#This Row],[Unit_Price]]</f>
        <v>5400</v>
      </c>
      <c r="N558" s="7">
        <f>Cleaned_Data[[#This Row],[Total_sales]]*(Cleaned_Data[[#This Row],[Discount_Percent]]/100)</f>
        <v>0</v>
      </c>
      <c r="O558" s="7">
        <f>Cleaned_Data[[#This Row],[Total_sales]]-Cleaned_Data[[#This Row],[Discount_Amount]]</f>
        <v>5400</v>
      </c>
      <c r="P558" t="str">
        <f>TEXT(Cleaned_Data[[#This Row],[Order_Date]],"MMM-YYYY")</f>
        <v>Jul-2023</v>
      </c>
      <c r="Q558" t="str">
        <f>"Q"&amp;ROUNDUP(MONTH(Cleaned_Data[[#This Row],[Order_Date]])/3,0)&amp;"-2023"</f>
        <v>Q3-2023</v>
      </c>
      <c r="R558" t="str">
        <f>TEXT(Cleaned_Data[[#This Row],[Order_Date]],"DDD")</f>
        <v>Mon</v>
      </c>
      <c r="S558" t="str">
        <f>IF(Cleaned_Data[[#This Row],[Net_Sales]]&gt;=100000,"High",IF(Cleaned_Data[[#This Row],[Net_Sales]]&gt;=50000,"Medium","Low"))</f>
        <v>Low</v>
      </c>
    </row>
    <row r="559" spans="1:19" x14ac:dyDescent="0.3">
      <c r="A559" t="s">
        <v>707</v>
      </c>
      <c r="B559" s="1">
        <v>45124</v>
      </c>
      <c r="C559" t="s">
        <v>35</v>
      </c>
      <c r="D559" t="s">
        <v>36</v>
      </c>
      <c r="E559" t="s">
        <v>81</v>
      </c>
      <c r="F559" t="s">
        <v>117</v>
      </c>
      <c r="G559" t="s">
        <v>25</v>
      </c>
      <c r="H559" t="s">
        <v>212</v>
      </c>
      <c r="I559">
        <v>1</v>
      </c>
      <c r="J559" s="8">
        <v>500</v>
      </c>
      <c r="K559">
        <v>10</v>
      </c>
      <c r="L559" t="s">
        <v>47</v>
      </c>
      <c r="M559" s="5">
        <f>Cleaned_Data[[#This Row],[Quantity]]*Cleaned_Data[[#This Row],[Unit_Price]]</f>
        <v>500</v>
      </c>
      <c r="N559" s="7">
        <f>Cleaned_Data[[#This Row],[Total_sales]]*(Cleaned_Data[[#This Row],[Discount_Percent]]/100)</f>
        <v>50</v>
      </c>
      <c r="O559" s="7">
        <f>Cleaned_Data[[#This Row],[Total_sales]]-Cleaned_Data[[#This Row],[Discount_Amount]]</f>
        <v>450</v>
      </c>
      <c r="P559" t="str">
        <f>TEXT(Cleaned_Data[[#This Row],[Order_Date]],"MMM-YYYY")</f>
        <v>Jul-2023</v>
      </c>
      <c r="Q559" t="str">
        <f>"Q"&amp;ROUNDUP(MONTH(Cleaned_Data[[#This Row],[Order_Date]])/3,0)&amp;"-2023"</f>
        <v>Q3-2023</v>
      </c>
      <c r="R559" t="str">
        <f>TEXT(Cleaned_Data[[#This Row],[Order_Date]],"DDD")</f>
        <v>Mon</v>
      </c>
      <c r="S559" t="str">
        <f>IF(Cleaned_Data[[#This Row],[Net_Sales]]&gt;=100000,"High",IF(Cleaned_Data[[#This Row],[Net_Sales]]&gt;=50000,"Medium","Low"))</f>
        <v>Low</v>
      </c>
    </row>
    <row r="560" spans="1:19" x14ac:dyDescent="0.3">
      <c r="A560" t="s">
        <v>708</v>
      </c>
      <c r="B560" s="1">
        <v>45155</v>
      </c>
      <c r="C560" t="s">
        <v>29</v>
      </c>
      <c r="D560" t="s">
        <v>30</v>
      </c>
      <c r="E560" t="s">
        <v>81</v>
      </c>
      <c r="F560" t="s">
        <v>82</v>
      </c>
      <c r="G560" t="s">
        <v>45</v>
      </c>
      <c r="H560" t="s">
        <v>207</v>
      </c>
      <c r="I560">
        <v>1</v>
      </c>
      <c r="J560" s="8">
        <v>47800</v>
      </c>
      <c r="K560">
        <v>25</v>
      </c>
      <c r="L560" t="s">
        <v>33</v>
      </c>
      <c r="M560" s="5">
        <f>Cleaned_Data[[#This Row],[Quantity]]*Cleaned_Data[[#This Row],[Unit_Price]]</f>
        <v>47800</v>
      </c>
      <c r="N560" s="7">
        <f>Cleaned_Data[[#This Row],[Total_sales]]*(Cleaned_Data[[#This Row],[Discount_Percent]]/100)</f>
        <v>11950</v>
      </c>
      <c r="O560" s="7">
        <f>Cleaned_Data[[#This Row],[Total_sales]]-Cleaned_Data[[#This Row],[Discount_Amount]]</f>
        <v>35850</v>
      </c>
      <c r="P560" t="str">
        <f>TEXT(Cleaned_Data[[#This Row],[Order_Date]],"MMM-YYYY")</f>
        <v>Aug-2023</v>
      </c>
      <c r="Q560" t="str">
        <f>"Q"&amp;ROUNDUP(MONTH(Cleaned_Data[[#This Row],[Order_Date]])/3,0)&amp;"-2023"</f>
        <v>Q3-2023</v>
      </c>
      <c r="R560" t="str">
        <f>TEXT(Cleaned_Data[[#This Row],[Order_Date]],"DDD")</f>
        <v>Thu</v>
      </c>
      <c r="S560" t="str">
        <f>IF(Cleaned_Data[[#This Row],[Net_Sales]]&gt;=100000,"High",IF(Cleaned_Data[[#This Row],[Net_Sales]]&gt;=50000,"Medium","Low"))</f>
        <v>Low</v>
      </c>
    </row>
    <row r="561" spans="1:19" x14ac:dyDescent="0.3">
      <c r="A561" t="s">
        <v>709</v>
      </c>
      <c r="B561" s="1">
        <v>45155</v>
      </c>
      <c r="C561" t="s">
        <v>112</v>
      </c>
      <c r="D561" t="s">
        <v>113</v>
      </c>
      <c r="E561" t="s">
        <v>81</v>
      </c>
      <c r="F561" t="s">
        <v>110</v>
      </c>
      <c r="G561" t="s">
        <v>25</v>
      </c>
      <c r="H561" t="s">
        <v>108</v>
      </c>
      <c r="I561">
        <v>1</v>
      </c>
      <c r="J561" s="8">
        <v>2200</v>
      </c>
      <c r="K561">
        <v>20</v>
      </c>
      <c r="L561" t="s">
        <v>53</v>
      </c>
      <c r="M561" s="5">
        <f>Cleaned_Data[[#This Row],[Quantity]]*Cleaned_Data[[#This Row],[Unit_Price]]</f>
        <v>2200</v>
      </c>
      <c r="N561" s="7">
        <f>Cleaned_Data[[#This Row],[Total_sales]]*(Cleaned_Data[[#This Row],[Discount_Percent]]/100)</f>
        <v>440</v>
      </c>
      <c r="O561" s="7">
        <f>Cleaned_Data[[#This Row],[Total_sales]]-Cleaned_Data[[#This Row],[Discount_Amount]]</f>
        <v>1760</v>
      </c>
      <c r="P561" t="str">
        <f>TEXT(Cleaned_Data[[#This Row],[Order_Date]],"MMM-YYYY")</f>
        <v>Aug-2023</v>
      </c>
      <c r="Q561" t="str">
        <f>"Q"&amp;ROUNDUP(MONTH(Cleaned_Data[[#This Row],[Order_Date]])/3,0)&amp;"-2023"</f>
        <v>Q3-2023</v>
      </c>
      <c r="R561" t="str">
        <f>TEXT(Cleaned_Data[[#This Row],[Order_Date]],"DDD")</f>
        <v>Thu</v>
      </c>
      <c r="S561" t="str">
        <f>IF(Cleaned_Data[[#This Row],[Net_Sales]]&gt;=100000,"High",IF(Cleaned_Data[[#This Row],[Net_Sales]]&gt;=50000,"Medium","Low"))</f>
        <v>Low</v>
      </c>
    </row>
    <row r="562" spans="1:19" x14ac:dyDescent="0.3">
      <c r="A562" t="s">
        <v>710</v>
      </c>
      <c r="B562" s="1">
        <v>45155</v>
      </c>
      <c r="C562" t="s">
        <v>158</v>
      </c>
      <c r="D562" t="s">
        <v>159</v>
      </c>
      <c r="E562" t="s">
        <v>15</v>
      </c>
      <c r="F562" t="s">
        <v>131</v>
      </c>
      <c r="G562" t="s">
        <v>17</v>
      </c>
      <c r="H562" t="s">
        <v>88</v>
      </c>
      <c r="I562">
        <v>1</v>
      </c>
      <c r="J562" s="8">
        <v>32800</v>
      </c>
      <c r="K562">
        <v>10</v>
      </c>
      <c r="L562" t="s">
        <v>33</v>
      </c>
      <c r="M562" s="5">
        <f>Cleaned_Data[[#This Row],[Quantity]]*Cleaned_Data[[#This Row],[Unit_Price]]</f>
        <v>32800</v>
      </c>
      <c r="N562" s="7">
        <f>Cleaned_Data[[#This Row],[Total_sales]]*(Cleaned_Data[[#This Row],[Discount_Percent]]/100)</f>
        <v>3280</v>
      </c>
      <c r="O562" s="7">
        <f>Cleaned_Data[[#This Row],[Total_sales]]-Cleaned_Data[[#This Row],[Discount_Amount]]</f>
        <v>29520</v>
      </c>
      <c r="P562" t="str">
        <f>TEXT(Cleaned_Data[[#This Row],[Order_Date]],"MMM-YYYY")</f>
        <v>Aug-2023</v>
      </c>
      <c r="Q562" t="str">
        <f>"Q"&amp;ROUNDUP(MONTH(Cleaned_Data[[#This Row],[Order_Date]])/3,0)&amp;"-2023"</f>
        <v>Q3-2023</v>
      </c>
      <c r="R562" t="str">
        <f>TEXT(Cleaned_Data[[#This Row],[Order_Date]],"DDD")</f>
        <v>Thu</v>
      </c>
      <c r="S562" t="str">
        <f>IF(Cleaned_Data[[#This Row],[Net_Sales]]&gt;=100000,"High",IF(Cleaned_Data[[#This Row],[Net_Sales]]&gt;=50000,"Medium","Low"))</f>
        <v>Low</v>
      </c>
    </row>
    <row r="563" spans="1:19" x14ac:dyDescent="0.3">
      <c r="A563" t="s">
        <v>711</v>
      </c>
      <c r="B563" s="1">
        <v>45186</v>
      </c>
      <c r="C563" t="s">
        <v>236</v>
      </c>
      <c r="D563" t="s">
        <v>237</v>
      </c>
      <c r="E563" t="s">
        <v>15</v>
      </c>
      <c r="F563" t="s">
        <v>131</v>
      </c>
      <c r="G563" t="s">
        <v>45</v>
      </c>
      <c r="H563" t="s">
        <v>46</v>
      </c>
      <c r="I563">
        <v>1</v>
      </c>
      <c r="J563" s="8">
        <v>49100</v>
      </c>
      <c r="K563">
        <v>25</v>
      </c>
      <c r="L563" t="s">
        <v>62</v>
      </c>
      <c r="M563" s="5">
        <f>Cleaned_Data[[#This Row],[Quantity]]*Cleaned_Data[[#This Row],[Unit_Price]]</f>
        <v>49100</v>
      </c>
      <c r="N563" s="7">
        <f>Cleaned_Data[[#This Row],[Total_sales]]*(Cleaned_Data[[#This Row],[Discount_Percent]]/100)</f>
        <v>12275</v>
      </c>
      <c r="O563" s="7">
        <f>Cleaned_Data[[#This Row],[Total_sales]]-Cleaned_Data[[#This Row],[Discount_Amount]]</f>
        <v>36825</v>
      </c>
      <c r="P563" t="str">
        <f>TEXT(Cleaned_Data[[#This Row],[Order_Date]],"MMM-YYYY")</f>
        <v>Sep-2023</v>
      </c>
      <c r="Q563" t="str">
        <f>"Q"&amp;ROUNDUP(MONTH(Cleaned_Data[[#This Row],[Order_Date]])/3,0)&amp;"-2023"</f>
        <v>Q3-2023</v>
      </c>
      <c r="R563" t="str">
        <f>TEXT(Cleaned_Data[[#This Row],[Order_Date]],"DDD")</f>
        <v>Sun</v>
      </c>
      <c r="S563" t="str">
        <f>IF(Cleaned_Data[[#This Row],[Net_Sales]]&gt;=100000,"High",IF(Cleaned_Data[[#This Row],[Net_Sales]]&gt;=50000,"Medium","Low"))</f>
        <v>Low</v>
      </c>
    </row>
    <row r="564" spans="1:19" x14ac:dyDescent="0.3">
      <c r="A564" t="s">
        <v>712</v>
      </c>
      <c r="B564" s="1">
        <v>45186</v>
      </c>
      <c r="C564" t="s">
        <v>284</v>
      </c>
      <c r="D564" t="s">
        <v>285</v>
      </c>
      <c r="E564" t="s">
        <v>81</v>
      </c>
      <c r="F564" t="s">
        <v>110</v>
      </c>
      <c r="G564" t="s">
        <v>25</v>
      </c>
      <c r="H564" t="s">
        <v>212</v>
      </c>
      <c r="I564">
        <v>2</v>
      </c>
      <c r="J564" s="8">
        <v>1600</v>
      </c>
      <c r="K564">
        <v>0</v>
      </c>
      <c r="L564" t="s">
        <v>62</v>
      </c>
      <c r="M564" s="5">
        <f>Cleaned_Data[[#This Row],[Quantity]]*Cleaned_Data[[#This Row],[Unit_Price]]</f>
        <v>3200</v>
      </c>
      <c r="N564" s="7">
        <f>Cleaned_Data[[#This Row],[Total_sales]]*(Cleaned_Data[[#This Row],[Discount_Percent]]/100)</f>
        <v>0</v>
      </c>
      <c r="O564" s="7">
        <f>Cleaned_Data[[#This Row],[Total_sales]]-Cleaned_Data[[#This Row],[Discount_Amount]]</f>
        <v>3200</v>
      </c>
      <c r="P564" t="str">
        <f>TEXT(Cleaned_Data[[#This Row],[Order_Date]],"MMM-YYYY")</f>
        <v>Sep-2023</v>
      </c>
      <c r="Q564" t="str">
        <f>"Q"&amp;ROUNDUP(MONTH(Cleaned_Data[[#This Row],[Order_Date]])/3,0)&amp;"-2023"</f>
        <v>Q3-2023</v>
      </c>
      <c r="R564" t="str">
        <f>TEXT(Cleaned_Data[[#This Row],[Order_Date]],"DDD")</f>
        <v>Sun</v>
      </c>
      <c r="S564" t="str">
        <f>IF(Cleaned_Data[[#This Row],[Net_Sales]]&gt;=100000,"High",IF(Cleaned_Data[[#This Row],[Net_Sales]]&gt;=50000,"Medium","Low"))</f>
        <v>Low</v>
      </c>
    </row>
    <row r="565" spans="1:19" x14ac:dyDescent="0.3">
      <c r="A565" t="s">
        <v>713</v>
      </c>
      <c r="B565" s="1">
        <v>45186</v>
      </c>
      <c r="C565" t="s">
        <v>188</v>
      </c>
      <c r="D565" t="s">
        <v>189</v>
      </c>
      <c r="E565" t="s">
        <v>23</v>
      </c>
      <c r="F565" t="s">
        <v>31</v>
      </c>
      <c r="G565" t="s">
        <v>39</v>
      </c>
      <c r="H565" t="s">
        <v>57</v>
      </c>
      <c r="I565">
        <v>1</v>
      </c>
      <c r="J565" s="8">
        <v>14900</v>
      </c>
      <c r="K565">
        <v>0</v>
      </c>
      <c r="L565" t="s">
        <v>62</v>
      </c>
      <c r="M565" s="5">
        <f>Cleaned_Data[[#This Row],[Quantity]]*Cleaned_Data[[#This Row],[Unit_Price]]</f>
        <v>14900</v>
      </c>
      <c r="N565" s="7">
        <f>Cleaned_Data[[#This Row],[Total_sales]]*(Cleaned_Data[[#This Row],[Discount_Percent]]/100)</f>
        <v>0</v>
      </c>
      <c r="O565" s="7">
        <f>Cleaned_Data[[#This Row],[Total_sales]]-Cleaned_Data[[#This Row],[Discount_Amount]]</f>
        <v>14900</v>
      </c>
      <c r="P565" t="str">
        <f>TEXT(Cleaned_Data[[#This Row],[Order_Date]],"MMM-YYYY")</f>
        <v>Sep-2023</v>
      </c>
      <c r="Q565" t="str">
        <f>"Q"&amp;ROUNDUP(MONTH(Cleaned_Data[[#This Row],[Order_Date]])/3,0)&amp;"-2023"</f>
        <v>Q3-2023</v>
      </c>
      <c r="R565" t="str">
        <f>TEXT(Cleaned_Data[[#This Row],[Order_Date]],"DDD")</f>
        <v>Sun</v>
      </c>
      <c r="S565" t="str">
        <f>IF(Cleaned_Data[[#This Row],[Net_Sales]]&gt;=100000,"High",IF(Cleaned_Data[[#This Row],[Net_Sales]]&gt;=50000,"Medium","Low"))</f>
        <v>Low</v>
      </c>
    </row>
    <row r="566" spans="1:19" x14ac:dyDescent="0.3">
      <c r="A566" t="s">
        <v>714</v>
      </c>
      <c r="B566" s="1">
        <v>45216</v>
      </c>
      <c r="C566" t="s">
        <v>143</v>
      </c>
      <c r="D566" t="s">
        <v>144</v>
      </c>
      <c r="E566" t="s">
        <v>23</v>
      </c>
      <c r="F566" t="s">
        <v>51</v>
      </c>
      <c r="G566" t="s">
        <v>45</v>
      </c>
      <c r="H566" t="s">
        <v>156</v>
      </c>
      <c r="I566">
        <v>1</v>
      </c>
      <c r="J566" s="8">
        <v>22500</v>
      </c>
      <c r="K566">
        <v>0</v>
      </c>
      <c r="L566" t="s">
        <v>62</v>
      </c>
      <c r="M566" s="5">
        <f>Cleaned_Data[[#This Row],[Quantity]]*Cleaned_Data[[#This Row],[Unit_Price]]</f>
        <v>22500</v>
      </c>
      <c r="N566" s="7">
        <f>Cleaned_Data[[#This Row],[Total_sales]]*(Cleaned_Data[[#This Row],[Discount_Percent]]/100)</f>
        <v>0</v>
      </c>
      <c r="O566" s="7">
        <f>Cleaned_Data[[#This Row],[Total_sales]]-Cleaned_Data[[#This Row],[Discount_Amount]]</f>
        <v>22500</v>
      </c>
      <c r="P566" t="str">
        <f>TEXT(Cleaned_Data[[#This Row],[Order_Date]],"MMM-YYYY")</f>
        <v>Oct-2023</v>
      </c>
      <c r="Q566" t="str">
        <f>"Q"&amp;ROUNDUP(MONTH(Cleaned_Data[[#This Row],[Order_Date]])/3,0)&amp;"-2023"</f>
        <v>Q4-2023</v>
      </c>
      <c r="R566" t="str">
        <f>TEXT(Cleaned_Data[[#This Row],[Order_Date]],"DDD")</f>
        <v>Tue</v>
      </c>
      <c r="S566" t="str">
        <f>IF(Cleaned_Data[[#This Row],[Net_Sales]]&gt;=100000,"High",IF(Cleaned_Data[[#This Row],[Net_Sales]]&gt;=50000,"Medium","Low"))</f>
        <v>Low</v>
      </c>
    </row>
    <row r="567" spans="1:19" x14ac:dyDescent="0.3">
      <c r="A567" t="s">
        <v>715</v>
      </c>
      <c r="B567" s="1">
        <v>45216</v>
      </c>
      <c r="C567" t="s">
        <v>55</v>
      </c>
      <c r="D567" t="s">
        <v>56</v>
      </c>
      <c r="E567" t="s">
        <v>66</v>
      </c>
      <c r="F567" t="s">
        <v>92</v>
      </c>
      <c r="G567" t="s">
        <v>97</v>
      </c>
      <c r="H567" t="s">
        <v>174</v>
      </c>
      <c r="I567">
        <v>1</v>
      </c>
      <c r="J567" s="8">
        <v>49300</v>
      </c>
      <c r="K567">
        <v>0</v>
      </c>
      <c r="L567" t="s">
        <v>103</v>
      </c>
      <c r="M567" s="5">
        <f>Cleaned_Data[[#This Row],[Quantity]]*Cleaned_Data[[#This Row],[Unit_Price]]</f>
        <v>49300</v>
      </c>
      <c r="N567" s="7">
        <f>Cleaned_Data[[#This Row],[Total_sales]]*(Cleaned_Data[[#This Row],[Discount_Percent]]/100)</f>
        <v>0</v>
      </c>
      <c r="O567" s="7">
        <f>Cleaned_Data[[#This Row],[Total_sales]]-Cleaned_Data[[#This Row],[Discount_Amount]]</f>
        <v>49300</v>
      </c>
      <c r="P567" t="str">
        <f>TEXT(Cleaned_Data[[#This Row],[Order_Date]],"MMM-YYYY")</f>
        <v>Oct-2023</v>
      </c>
      <c r="Q567" t="str">
        <f>"Q"&amp;ROUNDUP(MONTH(Cleaned_Data[[#This Row],[Order_Date]])/3,0)&amp;"-2023"</f>
        <v>Q4-2023</v>
      </c>
      <c r="R567" t="str">
        <f>TEXT(Cleaned_Data[[#This Row],[Order_Date]],"DDD")</f>
        <v>Tue</v>
      </c>
      <c r="S567" t="str">
        <f>IF(Cleaned_Data[[#This Row],[Net_Sales]]&gt;=100000,"High",IF(Cleaned_Data[[#This Row],[Net_Sales]]&gt;=50000,"Medium","Low"))</f>
        <v>Low</v>
      </c>
    </row>
    <row r="568" spans="1:19" x14ac:dyDescent="0.3">
      <c r="A568" t="s">
        <v>716</v>
      </c>
      <c r="B568" s="1">
        <v>45247</v>
      </c>
      <c r="C568" t="s">
        <v>13</v>
      </c>
      <c r="D568" t="s">
        <v>14</v>
      </c>
      <c r="E568" t="s">
        <v>37</v>
      </c>
      <c r="F568" t="s">
        <v>61</v>
      </c>
      <c r="G568" t="s">
        <v>97</v>
      </c>
      <c r="H568" t="s">
        <v>171</v>
      </c>
      <c r="I568">
        <v>1</v>
      </c>
      <c r="J568" s="8">
        <v>44600</v>
      </c>
      <c r="K568">
        <v>5</v>
      </c>
      <c r="L568" t="s">
        <v>19</v>
      </c>
      <c r="M568" s="5">
        <f>Cleaned_Data[[#This Row],[Quantity]]*Cleaned_Data[[#This Row],[Unit_Price]]</f>
        <v>44600</v>
      </c>
      <c r="N568" s="7">
        <f>Cleaned_Data[[#This Row],[Total_sales]]*(Cleaned_Data[[#This Row],[Discount_Percent]]/100)</f>
        <v>2230</v>
      </c>
      <c r="O568" s="7">
        <f>Cleaned_Data[[#This Row],[Total_sales]]-Cleaned_Data[[#This Row],[Discount_Amount]]</f>
        <v>42370</v>
      </c>
      <c r="P568" t="str">
        <f>TEXT(Cleaned_Data[[#This Row],[Order_Date]],"MMM-YYYY")</f>
        <v>Nov-2023</v>
      </c>
      <c r="Q568" t="str">
        <f>"Q"&amp;ROUNDUP(MONTH(Cleaned_Data[[#This Row],[Order_Date]])/3,0)&amp;"-2023"</f>
        <v>Q4-2023</v>
      </c>
      <c r="R568" t="str">
        <f>TEXT(Cleaned_Data[[#This Row],[Order_Date]],"DDD")</f>
        <v>Fri</v>
      </c>
      <c r="S568" t="str">
        <f>IF(Cleaned_Data[[#This Row],[Net_Sales]]&gt;=100000,"High",IF(Cleaned_Data[[#This Row],[Net_Sales]]&gt;=50000,"Medium","Low"))</f>
        <v>Low</v>
      </c>
    </row>
    <row r="569" spans="1:19" x14ac:dyDescent="0.3">
      <c r="A569" t="s">
        <v>717</v>
      </c>
      <c r="B569" s="1">
        <v>45247</v>
      </c>
      <c r="C569" t="s">
        <v>210</v>
      </c>
      <c r="D569" t="s">
        <v>211</v>
      </c>
      <c r="E569" t="s">
        <v>81</v>
      </c>
      <c r="F569" t="s">
        <v>82</v>
      </c>
      <c r="G569" t="s">
        <v>39</v>
      </c>
      <c r="H569" t="s">
        <v>57</v>
      </c>
      <c r="I569">
        <v>1</v>
      </c>
      <c r="J569" s="8">
        <v>18900</v>
      </c>
      <c r="K569">
        <v>25</v>
      </c>
      <c r="L569" t="s">
        <v>62</v>
      </c>
      <c r="M569" s="5">
        <f>Cleaned_Data[[#This Row],[Quantity]]*Cleaned_Data[[#This Row],[Unit_Price]]</f>
        <v>18900</v>
      </c>
      <c r="N569" s="7">
        <f>Cleaned_Data[[#This Row],[Total_sales]]*(Cleaned_Data[[#This Row],[Discount_Percent]]/100)</f>
        <v>4725</v>
      </c>
      <c r="O569" s="7">
        <f>Cleaned_Data[[#This Row],[Total_sales]]-Cleaned_Data[[#This Row],[Discount_Amount]]</f>
        <v>14175</v>
      </c>
      <c r="P569" t="str">
        <f>TEXT(Cleaned_Data[[#This Row],[Order_Date]],"MMM-YYYY")</f>
        <v>Nov-2023</v>
      </c>
      <c r="Q569" t="str">
        <f>"Q"&amp;ROUNDUP(MONTH(Cleaned_Data[[#This Row],[Order_Date]])/3,0)&amp;"-2023"</f>
        <v>Q4-2023</v>
      </c>
      <c r="R569" t="str">
        <f>TEXT(Cleaned_Data[[#This Row],[Order_Date]],"DDD")</f>
        <v>Fri</v>
      </c>
      <c r="S569" t="str">
        <f>IF(Cleaned_Data[[#This Row],[Net_Sales]]&gt;=100000,"High",IF(Cleaned_Data[[#This Row],[Net_Sales]]&gt;=50000,"Medium","Low"))</f>
        <v>Low</v>
      </c>
    </row>
    <row r="570" spans="1:19" x14ac:dyDescent="0.3">
      <c r="A570" t="s">
        <v>718</v>
      </c>
      <c r="B570" s="1">
        <v>45247</v>
      </c>
      <c r="C570" t="s">
        <v>90</v>
      </c>
      <c r="D570" t="s">
        <v>91</v>
      </c>
      <c r="E570" t="s">
        <v>81</v>
      </c>
      <c r="F570" t="s">
        <v>110</v>
      </c>
      <c r="G570" t="s">
        <v>97</v>
      </c>
      <c r="H570" t="s">
        <v>154</v>
      </c>
      <c r="I570">
        <v>2</v>
      </c>
      <c r="J570" s="8">
        <v>65600</v>
      </c>
      <c r="K570">
        <v>5</v>
      </c>
      <c r="L570" t="s">
        <v>62</v>
      </c>
      <c r="M570" s="5">
        <f>Cleaned_Data[[#This Row],[Quantity]]*Cleaned_Data[[#This Row],[Unit_Price]]</f>
        <v>131200</v>
      </c>
      <c r="N570" s="7">
        <f>Cleaned_Data[[#This Row],[Total_sales]]*(Cleaned_Data[[#This Row],[Discount_Percent]]/100)</f>
        <v>6560</v>
      </c>
      <c r="O570" s="7">
        <f>Cleaned_Data[[#This Row],[Total_sales]]-Cleaned_Data[[#This Row],[Discount_Amount]]</f>
        <v>124640</v>
      </c>
      <c r="P570" t="str">
        <f>TEXT(Cleaned_Data[[#This Row],[Order_Date]],"MMM-YYYY")</f>
        <v>Nov-2023</v>
      </c>
      <c r="Q570" t="str">
        <f>"Q"&amp;ROUNDUP(MONTH(Cleaned_Data[[#This Row],[Order_Date]])/3,0)&amp;"-2023"</f>
        <v>Q4-2023</v>
      </c>
      <c r="R570" t="str">
        <f>TEXT(Cleaned_Data[[#This Row],[Order_Date]],"DDD")</f>
        <v>Fri</v>
      </c>
      <c r="S570" t="str">
        <f>IF(Cleaned_Data[[#This Row],[Net_Sales]]&gt;=100000,"High",IF(Cleaned_Data[[#This Row],[Net_Sales]]&gt;=50000,"Medium","Low"))</f>
        <v>High</v>
      </c>
    </row>
    <row r="571" spans="1:19" x14ac:dyDescent="0.3">
      <c r="A571" t="s">
        <v>719</v>
      </c>
      <c r="B571" s="1">
        <v>45247</v>
      </c>
      <c r="C571" t="s">
        <v>147</v>
      </c>
      <c r="D571" t="s">
        <v>148</v>
      </c>
      <c r="E571" t="s">
        <v>66</v>
      </c>
      <c r="F571" t="s">
        <v>67</v>
      </c>
      <c r="G571" t="s">
        <v>39</v>
      </c>
      <c r="H571" t="s">
        <v>102</v>
      </c>
      <c r="I571">
        <v>1</v>
      </c>
      <c r="J571" s="8">
        <v>18400</v>
      </c>
      <c r="K571">
        <v>5</v>
      </c>
      <c r="L571" t="s">
        <v>33</v>
      </c>
      <c r="M571" s="5">
        <f>Cleaned_Data[[#This Row],[Quantity]]*Cleaned_Data[[#This Row],[Unit_Price]]</f>
        <v>18400</v>
      </c>
      <c r="N571" s="7">
        <f>Cleaned_Data[[#This Row],[Total_sales]]*(Cleaned_Data[[#This Row],[Discount_Percent]]/100)</f>
        <v>920</v>
      </c>
      <c r="O571" s="7">
        <f>Cleaned_Data[[#This Row],[Total_sales]]-Cleaned_Data[[#This Row],[Discount_Amount]]</f>
        <v>17480</v>
      </c>
      <c r="P571" t="str">
        <f>TEXT(Cleaned_Data[[#This Row],[Order_Date]],"MMM-YYYY")</f>
        <v>Nov-2023</v>
      </c>
      <c r="Q571" t="str">
        <f>"Q"&amp;ROUNDUP(MONTH(Cleaned_Data[[#This Row],[Order_Date]])/3,0)&amp;"-2023"</f>
        <v>Q4-2023</v>
      </c>
      <c r="R571" t="str">
        <f>TEXT(Cleaned_Data[[#This Row],[Order_Date]],"DDD")</f>
        <v>Fri</v>
      </c>
      <c r="S571" t="str">
        <f>IF(Cleaned_Data[[#This Row],[Net_Sales]]&gt;=100000,"High",IF(Cleaned_Data[[#This Row],[Net_Sales]]&gt;=50000,"Medium","Low"))</f>
        <v>Low</v>
      </c>
    </row>
    <row r="572" spans="1:19" x14ac:dyDescent="0.3">
      <c r="A572" t="s">
        <v>720</v>
      </c>
      <c r="B572" s="1">
        <v>45247</v>
      </c>
      <c r="C572" t="s">
        <v>49</v>
      </c>
      <c r="D572" t="s">
        <v>50</v>
      </c>
      <c r="E572" t="s">
        <v>23</v>
      </c>
      <c r="F572" t="s">
        <v>51</v>
      </c>
      <c r="G572" t="s">
        <v>17</v>
      </c>
      <c r="H572" t="s">
        <v>77</v>
      </c>
      <c r="I572">
        <v>1</v>
      </c>
      <c r="J572" s="8">
        <v>37100</v>
      </c>
      <c r="K572">
        <v>0</v>
      </c>
      <c r="L572" t="s">
        <v>27</v>
      </c>
      <c r="M572" s="5">
        <f>Cleaned_Data[[#This Row],[Quantity]]*Cleaned_Data[[#This Row],[Unit_Price]]</f>
        <v>37100</v>
      </c>
      <c r="N572" s="7">
        <f>Cleaned_Data[[#This Row],[Total_sales]]*(Cleaned_Data[[#This Row],[Discount_Percent]]/100)</f>
        <v>0</v>
      </c>
      <c r="O572" s="7">
        <f>Cleaned_Data[[#This Row],[Total_sales]]-Cleaned_Data[[#This Row],[Discount_Amount]]</f>
        <v>37100</v>
      </c>
      <c r="P572" t="str">
        <f>TEXT(Cleaned_Data[[#This Row],[Order_Date]],"MMM-YYYY")</f>
        <v>Nov-2023</v>
      </c>
      <c r="Q572" t="str">
        <f>"Q"&amp;ROUNDUP(MONTH(Cleaned_Data[[#This Row],[Order_Date]])/3,0)&amp;"-2023"</f>
        <v>Q4-2023</v>
      </c>
      <c r="R572" t="str">
        <f>TEXT(Cleaned_Data[[#This Row],[Order_Date]],"DDD")</f>
        <v>Fri</v>
      </c>
      <c r="S572" t="str">
        <f>IF(Cleaned_Data[[#This Row],[Net_Sales]]&gt;=100000,"High",IF(Cleaned_Data[[#This Row],[Net_Sales]]&gt;=50000,"Medium","Low"))</f>
        <v>Low</v>
      </c>
    </row>
    <row r="573" spans="1:19" x14ac:dyDescent="0.3">
      <c r="A573" t="s">
        <v>721</v>
      </c>
      <c r="B573" s="1">
        <v>45247</v>
      </c>
      <c r="C573" t="s">
        <v>151</v>
      </c>
      <c r="D573" t="s">
        <v>152</v>
      </c>
      <c r="E573" t="s">
        <v>15</v>
      </c>
      <c r="F573" t="s">
        <v>16</v>
      </c>
      <c r="G573" t="s">
        <v>25</v>
      </c>
      <c r="H573" t="s">
        <v>108</v>
      </c>
      <c r="I573">
        <v>2</v>
      </c>
      <c r="J573" s="8">
        <v>1400</v>
      </c>
      <c r="K573">
        <v>20</v>
      </c>
      <c r="L573" t="s">
        <v>19</v>
      </c>
      <c r="M573" s="5">
        <f>Cleaned_Data[[#This Row],[Quantity]]*Cleaned_Data[[#This Row],[Unit_Price]]</f>
        <v>2800</v>
      </c>
      <c r="N573" s="7">
        <f>Cleaned_Data[[#This Row],[Total_sales]]*(Cleaned_Data[[#This Row],[Discount_Percent]]/100)</f>
        <v>560</v>
      </c>
      <c r="O573" s="7">
        <f>Cleaned_Data[[#This Row],[Total_sales]]-Cleaned_Data[[#This Row],[Discount_Amount]]</f>
        <v>2240</v>
      </c>
      <c r="P573" t="str">
        <f>TEXT(Cleaned_Data[[#This Row],[Order_Date]],"MMM-YYYY")</f>
        <v>Nov-2023</v>
      </c>
      <c r="Q573" t="str">
        <f>"Q"&amp;ROUNDUP(MONTH(Cleaned_Data[[#This Row],[Order_Date]])/3,0)&amp;"-2023"</f>
        <v>Q4-2023</v>
      </c>
      <c r="R573" t="str">
        <f>TEXT(Cleaned_Data[[#This Row],[Order_Date]],"DDD")</f>
        <v>Fri</v>
      </c>
      <c r="S573" t="str">
        <f>IF(Cleaned_Data[[#This Row],[Net_Sales]]&gt;=100000,"High",IF(Cleaned_Data[[#This Row],[Net_Sales]]&gt;=50000,"Medium","Low"))</f>
        <v>Low</v>
      </c>
    </row>
    <row r="574" spans="1:19" x14ac:dyDescent="0.3">
      <c r="A574" t="s">
        <v>722</v>
      </c>
      <c r="B574" s="1">
        <v>45277</v>
      </c>
      <c r="C574" t="s">
        <v>49</v>
      </c>
      <c r="D574" t="s">
        <v>50</v>
      </c>
      <c r="E574" t="s">
        <v>81</v>
      </c>
      <c r="F574" t="s">
        <v>110</v>
      </c>
      <c r="G574" t="s">
        <v>25</v>
      </c>
      <c r="H574" t="s">
        <v>124</v>
      </c>
      <c r="I574">
        <v>3</v>
      </c>
      <c r="J574" s="8">
        <v>2500</v>
      </c>
      <c r="K574">
        <v>0</v>
      </c>
      <c r="L574" t="s">
        <v>27</v>
      </c>
      <c r="M574" s="5">
        <f>Cleaned_Data[[#This Row],[Quantity]]*Cleaned_Data[[#This Row],[Unit_Price]]</f>
        <v>7500</v>
      </c>
      <c r="N574" s="7">
        <f>Cleaned_Data[[#This Row],[Total_sales]]*(Cleaned_Data[[#This Row],[Discount_Percent]]/100)</f>
        <v>0</v>
      </c>
      <c r="O574" s="7">
        <f>Cleaned_Data[[#This Row],[Total_sales]]-Cleaned_Data[[#This Row],[Discount_Amount]]</f>
        <v>7500</v>
      </c>
      <c r="P574" t="str">
        <f>TEXT(Cleaned_Data[[#This Row],[Order_Date]],"MMM-YYYY")</f>
        <v>Dec-2023</v>
      </c>
      <c r="Q574" t="str">
        <f>"Q"&amp;ROUNDUP(MONTH(Cleaned_Data[[#This Row],[Order_Date]])/3,0)&amp;"-2023"</f>
        <v>Q4-2023</v>
      </c>
      <c r="R574" t="str">
        <f>TEXT(Cleaned_Data[[#This Row],[Order_Date]],"DDD")</f>
        <v>Sun</v>
      </c>
      <c r="S574" t="str">
        <f>IF(Cleaned_Data[[#This Row],[Net_Sales]]&gt;=100000,"High",IF(Cleaned_Data[[#This Row],[Net_Sales]]&gt;=50000,"Medium","Low"))</f>
        <v>Low</v>
      </c>
    </row>
    <row r="575" spans="1:19" x14ac:dyDescent="0.3">
      <c r="A575" t="s">
        <v>723</v>
      </c>
      <c r="B575" s="1">
        <v>45277</v>
      </c>
      <c r="C575" t="s">
        <v>130</v>
      </c>
      <c r="D575" t="s">
        <v>53</v>
      </c>
      <c r="E575" t="s">
        <v>15</v>
      </c>
      <c r="F575" t="s">
        <v>119</v>
      </c>
      <c r="G575" t="s">
        <v>45</v>
      </c>
      <c r="H575" t="s">
        <v>156</v>
      </c>
      <c r="I575">
        <v>1</v>
      </c>
      <c r="J575" s="8">
        <v>23000</v>
      </c>
      <c r="K575">
        <v>0</v>
      </c>
      <c r="L575" t="s">
        <v>33</v>
      </c>
      <c r="M575" s="5">
        <f>Cleaned_Data[[#This Row],[Quantity]]*Cleaned_Data[[#This Row],[Unit_Price]]</f>
        <v>23000</v>
      </c>
      <c r="N575" s="7">
        <f>Cleaned_Data[[#This Row],[Total_sales]]*(Cleaned_Data[[#This Row],[Discount_Percent]]/100)</f>
        <v>0</v>
      </c>
      <c r="O575" s="7">
        <f>Cleaned_Data[[#This Row],[Total_sales]]-Cleaned_Data[[#This Row],[Discount_Amount]]</f>
        <v>23000</v>
      </c>
      <c r="P575" t="str">
        <f>TEXT(Cleaned_Data[[#This Row],[Order_Date]],"MMM-YYYY")</f>
        <v>Dec-2023</v>
      </c>
      <c r="Q575" t="str">
        <f>"Q"&amp;ROUNDUP(MONTH(Cleaned_Data[[#This Row],[Order_Date]])/3,0)&amp;"-2023"</f>
        <v>Q4-2023</v>
      </c>
      <c r="R575" t="str">
        <f>TEXT(Cleaned_Data[[#This Row],[Order_Date]],"DDD")</f>
        <v>Sun</v>
      </c>
      <c r="S575" t="str">
        <f>IF(Cleaned_Data[[#This Row],[Net_Sales]]&gt;=100000,"High",IF(Cleaned_Data[[#This Row],[Net_Sales]]&gt;=50000,"Medium","Low"))</f>
        <v>Low</v>
      </c>
    </row>
    <row r="576" spans="1:19" x14ac:dyDescent="0.3">
      <c r="A576" t="s">
        <v>724</v>
      </c>
      <c r="B576" s="1">
        <v>45277</v>
      </c>
      <c r="C576" t="s">
        <v>210</v>
      </c>
      <c r="D576" t="s">
        <v>211</v>
      </c>
      <c r="E576" t="s">
        <v>81</v>
      </c>
      <c r="F576" t="s">
        <v>160</v>
      </c>
      <c r="G576" t="s">
        <v>45</v>
      </c>
      <c r="H576" t="s">
        <v>207</v>
      </c>
      <c r="I576">
        <v>1</v>
      </c>
      <c r="J576" s="8">
        <v>36500</v>
      </c>
      <c r="K576">
        <v>20</v>
      </c>
      <c r="L576" t="s">
        <v>53</v>
      </c>
      <c r="M576" s="5">
        <f>Cleaned_Data[[#This Row],[Quantity]]*Cleaned_Data[[#This Row],[Unit_Price]]</f>
        <v>36500</v>
      </c>
      <c r="N576" s="7">
        <f>Cleaned_Data[[#This Row],[Total_sales]]*(Cleaned_Data[[#This Row],[Discount_Percent]]/100)</f>
        <v>7300</v>
      </c>
      <c r="O576" s="7">
        <f>Cleaned_Data[[#This Row],[Total_sales]]-Cleaned_Data[[#This Row],[Discount_Amount]]</f>
        <v>29200</v>
      </c>
      <c r="P576" t="str">
        <f>TEXT(Cleaned_Data[[#This Row],[Order_Date]],"MMM-YYYY")</f>
        <v>Dec-2023</v>
      </c>
      <c r="Q576" t="str">
        <f>"Q"&amp;ROUNDUP(MONTH(Cleaned_Data[[#This Row],[Order_Date]])/3,0)&amp;"-2023"</f>
        <v>Q4-2023</v>
      </c>
      <c r="R576" t="str">
        <f>TEXT(Cleaned_Data[[#This Row],[Order_Date]],"DDD")</f>
        <v>Sun</v>
      </c>
      <c r="S576" t="str">
        <f>IF(Cleaned_Data[[#This Row],[Net_Sales]]&gt;=100000,"High",IF(Cleaned_Data[[#This Row],[Net_Sales]]&gt;=50000,"Medium","Low"))</f>
        <v>Low</v>
      </c>
    </row>
    <row r="577" spans="1:19" x14ac:dyDescent="0.3">
      <c r="A577" t="s">
        <v>725</v>
      </c>
      <c r="B577" s="1">
        <v>45277</v>
      </c>
      <c r="C577" t="s">
        <v>79</v>
      </c>
      <c r="D577" t="s">
        <v>80</v>
      </c>
      <c r="E577" t="s">
        <v>81</v>
      </c>
      <c r="F577" t="s">
        <v>82</v>
      </c>
      <c r="G577" t="s">
        <v>17</v>
      </c>
      <c r="H577" t="s">
        <v>88</v>
      </c>
      <c r="I577">
        <v>2</v>
      </c>
      <c r="J577" s="8">
        <v>35000</v>
      </c>
      <c r="K577">
        <v>10</v>
      </c>
      <c r="L577" t="s">
        <v>47</v>
      </c>
      <c r="M577" s="5">
        <f>Cleaned_Data[[#This Row],[Quantity]]*Cleaned_Data[[#This Row],[Unit_Price]]</f>
        <v>70000</v>
      </c>
      <c r="N577" s="7">
        <f>Cleaned_Data[[#This Row],[Total_sales]]*(Cleaned_Data[[#This Row],[Discount_Percent]]/100)</f>
        <v>7000</v>
      </c>
      <c r="O577" s="7">
        <f>Cleaned_Data[[#This Row],[Total_sales]]-Cleaned_Data[[#This Row],[Discount_Amount]]</f>
        <v>63000</v>
      </c>
      <c r="P577" t="str">
        <f>TEXT(Cleaned_Data[[#This Row],[Order_Date]],"MMM-YYYY")</f>
        <v>Dec-2023</v>
      </c>
      <c r="Q577" t="str">
        <f>"Q"&amp;ROUNDUP(MONTH(Cleaned_Data[[#This Row],[Order_Date]])/3,0)&amp;"-2023"</f>
        <v>Q4-2023</v>
      </c>
      <c r="R577" t="str">
        <f>TEXT(Cleaned_Data[[#This Row],[Order_Date]],"DDD")</f>
        <v>Sun</v>
      </c>
      <c r="S577" t="str">
        <f>IF(Cleaned_Data[[#This Row],[Net_Sales]]&gt;=100000,"High",IF(Cleaned_Data[[#This Row],[Net_Sales]]&gt;=50000,"Medium","Low"))</f>
        <v>Medium</v>
      </c>
    </row>
    <row r="578" spans="1:19" x14ac:dyDescent="0.3">
      <c r="A578" t="s">
        <v>726</v>
      </c>
      <c r="B578" s="1">
        <v>45277</v>
      </c>
      <c r="C578" t="s">
        <v>42</v>
      </c>
      <c r="D578" t="s">
        <v>43</v>
      </c>
      <c r="E578" t="s">
        <v>15</v>
      </c>
      <c r="F578" t="s">
        <v>128</v>
      </c>
      <c r="G578" t="s">
        <v>45</v>
      </c>
      <c r="H578" t="s">
        <v>207</v>
      </c>
      <c r="I578">
        <v>1</v>
      </c>
      <c r="J578" s="8">
        <v>39800</v>
      </c>
      <c r="K578">
        <v>10</v>
      </c>
      <c r="L578" t="s">
        <v>33</v>
      </c>
      <c r="M578" s="5">
        <f>Cleaned_Data[[#This Row],[Quantity]]*Cleaned_Data[[#This Row],[Unit_Price]]</f>
        <v>39800</v>
      </c>
      <c r="N578" s="7">
        <f>Cleaned_Data[[#This Row],[Total_sales]]*(Cleaned_Data[[#This Row],[Discount_Percent]]/100)</f>
        <v>3980</v>
      </c>
      <c r="O578" s="7">
        <f>Cleaned_Data[[#This Row],[Total_sales]]-Cleaned_Data[[#This Row],[Discount_Amount]]</f>
        <v>35820</v>
      </c>
      <c r="P578" t="str">
        <f>TEXT(Cleaned_Data[[#This Row],[Order_Date]],"MMM-YYYY")</f>
        <v>Dec-2023</v>
      </c>
      <c r="Q578" t="str">
        <f>"Q"&amp;ROUNDUP(MONTH(Cleaned_Data[[#This Row],[Order_Date]])/3,0)&amp;"-2023"</f>
        <v>Q4-2023</v>
      </c>
      <c r="R578" t="str">
        <f>TEXT(Cleaned_Data[[#This Row],[Order_Date]],"DDD")</f>
        <v>Sun</v>
      </c>
      <c r="S578" t="str">
        <f>IF(Cleaned_Data[[#This Row],[Net_Sales]]&gt;=100000,"High",IF(Cleaned_Data[[#This Row],[Net_Sales]]&gt;=50000,"Medium","Low"))</f>
        <v>Low</v>
      </c>
    </row>
    <row r="579" spans="1:19" x14ac:dyDescent="0.3">
      <c r="A579" t="s">
        <v>727</v>
      </c>
      <c r="B579" s="1">
        <v>45277</v>
      </c>
      <c r="C579" t="s">
        <v>105</v>
      </c>
      <c r="D579" t="s">
        <v>106</v>
      </c>
      <c r="E579" t="s">
        <v>81</v>
      </c>
      <c r="F579" t="s">
        <v>117</v>
      </c>
      <c r="G579" t="s">
        <v>39</v>
      </c>
      <c r="H579" t="s">
        <v>68</v>
      </c>
      <c r="I579">
        <v>1</v>
      </c>
      <c r="J579" s="8">
        <v>23700</v>
      </c>
      <c r="K579">
        <v>5</v>
      </c>
      <c r="L579" t="s">
        <v>103</v>
      </c>
      <c r="M579" s="5">
        <f>Cleaned_Data[[#This Row],[Quantity]]*Cleaned_Data[[#This Row],[Unit_Price]]</f>
        <v>23700</v>
      </c>
      <c r="N579" s="7">
        <f>Cleaned_Data[[#This Row],[Total_sales]]*(Cleaned_Data[[#This Row],[Discount_Percent]]/100)</f>
        <v>1185</v>
      </c>
      <c r="O579" s="7">
        <f>Cleaned_Data[[#This Row],[Total_sales]]-Cleaned_Data[[#This Row],[Discount_Amount]]</f>
        <v>22515</v>
      </c>
      <c r="P579" t="str">
        <f>TEXT(Cleaned_Data[[#This Row],[Order_Date]],"MMM-YYYY")</f>
        <v>Dec-2023</v>
      </c>
      <c r="Q579" t="str">
        <f>"Q"&amp;ROUNDUP(MONTH(Cleaned_Data[[#This Row],[Order_Date]])/3,0)&amp;"-2023"</f>
        <v>Q4-2023</v>
      </c>
      <c r="R579" t="str">
        <f>TEXT(Cleaned_Data[[#This Row],[Order_Date]],"DDD")</f>
        <v>Sun</v>
      </c>
      <c r="S579" t="str">
        <f>IF(Cleaned_Data[[#This Row],[Net_Sales]]&gt;=100000,"High",IF(Cleaned_Data[[#This Row],[Net_Sales]]&gt;=50000,"Medium","Low"))</f>
        <v>Low</v>
      </c>
    </row>
    <row r="580" spans="1:19" x14ac:dyDescent="0.3">
      <c r="A580" t="s">
        <v>728</v>
      </c>
      <c r="B580" s="1">
        <v>44944</v>
      </c>
      <c r="C580" t="s">
        <v>95</v>
      </c>
      <c r="D580" t="s">
        <v>96</v>
      </c>
      <c r="E580" t="s">
        <v>81</v>
      </c>
      <c r="F580" t="s">
        <v>82</v>
      </c>
      <c r="G580" t="s">
        <v>25</v>
      </c>
      <c r="H580" t="s">
        <v>212</v>
      </c>
      <c r="I580">
        <v>2</v>
      </c>
      <c r="J580" s="8">
        <v>2700</v>
      </c>
      <c r="K580">
        <v>10</v>
      </c>
      <c r="L580" t="s">
        <v>27</v>
      </c>
      <c r="M580" s="5">
        <f>Cleaned_Data[[#This Row],[Quantity]]*Cleaned_Data[[#This Row],[Unit_Price]]</f>
        <v>5400</v>
      </c>
      <c r="N580" s="7">
        <f>Cleaned_Data[[#This Row],[Total_sales]]*(Cleaned_Data[[#This Row],[Discount_Percent]]/100)</f>
        <v>540</v>
      </c>
      <c r="O580" s="7">
        <f>Cleaned_Data[[#This Row],[Total_sales]]-Cleaned_Data[[#This Row],[Discount_Amount]]</f>
        <v>4860</v>
      </c>
      <c r="P580" t="str">
        <f>TEXT(Cleaned_Data[[#This Row],[Order_Date]],"MMM-YYYY")</f>
        <v>Jan-2023</v>
      </c>
      <c r="Q580" t="str">
        <f>"Q"&amp;ROUNDUP(MONTH(Cleaned_Data[[#This Row],[Order_Date]])/3,0)&amp;"-2023"</f>
        <v>Q1-2023</v>
      </c>
      <c r="R580" t="str">
        <f>TEXT(Cleaned_Data[[#This Row],[Order_Date]],"DDD")</f>
        <v>Wed</v>
      </c>
      <c r="S580" t="str">
        <f>IF(Cleaned_Data[[#This Row],[Net_Sales]]&gt;=100000,"High",IF(Cleaned_Data[[#This Row],[Net_Sales]]&gt;=50000,"Medium","Low"))</f>
        <v>Low</v>
      </c>
    </row>
    <row r="581" spans="1:19" x14ac:dyDescent="0.3">
      <c r="A581" t="s">
        <v>729</v>
      </c>
      <c r="B581" s="1">
        <v>44944</v>
      </c>
      <c r="C581" t="s">
        <v>165</v>
      </c>
      <c r="D581" t="s">
        <v>166</v>
      </c>
      <c r="E581" t="s">
        <v>81</v>
      </c>
      <c r="F581" t="s">
        <v>82</v>
      </c>
      <c r="G581" t="s">
        <v>39</v>
      </c>
      <c r="H581" t="s">
        <v>57</v>
      </c>
      <c r="I581">
        <v>1</v>
      </c>
      <c r="J581" s="8">
        <v>11200</v>
      </c>
      <c r="K581">
        <v>5</v>
      </c>
      <c r="L581" t="s">
        <v>47</v>
      </c>
      <c r="M581" s="5">
        <f>Cleaned_Data[[#This Row],[Quantity]]*Cleaned_Data[[#This Row],[Unit_Price]]</f>
        <v>11200</v>
      </c>
      <c r="N581" s="7">
        <f>Cleaned_Data[[#This Row],[Total_sales]]*(Cleaned_Data[[#This Row],[Discount_Percent]]/100)</f>
        <v>560</v>
      </c>
      <c r="O581" s="7">
        <f>Cleaned_Data[[#This Row],[Total_sales]]-Cleaned_Data[[#This Row],[Discount_Amount]]</f>
        <v>10640</v>
      </c>
      <c r="P581" t="str">
        <f>TEXT(Cleaned_Data[[#This Row],[Order_Date]],"MMM-YYYY")</f>
        <v>Jan-2023</v>
      </c>
      <c r="Q581" t="str">
        <f>"Q"&amp;ROUNDUP(MONTH(Cleaned_Data[[#This Row],[Order_Date]])/3,0)&amp;"-2023"</f>
        <v>Q1-2023</v>
      </c>
      <c r="R581" t="str">
        <f>TEXT(Cleaned_Data[[#This Row],[Order_Date]],"DDD")</f>
        <v>Wed</v>
      </c>
      <c r="S581" t="str">
        <f>IF(Cleaned_Data[[#This Row],[Net_Sales]]&gt;=100000,"High",IF(Cleaned_Data[[#This Row],[Net_Sales]]&gt;=50000,"Medium","Low"))</f>
        <v>Low</v>
      </c>
    </row>
    <row r="582" spans="1:19" x14ac:dyDescent="0.3">
      <c r="A582" t="s">
        <v>730</v>
      </c>
      <c r="B582" s="1">
        <v>44975</v>
      </c>
      <c r="C582" t="s">
        <v>130</v>
      </c>
      <c r="D582" t="s">
        <v>53</v>
      </c>
      <c r="E582" t="s">
        <v>66</v>
      </c>
      <c r="F582" t="s">
        <v>92</v>
      </c>
      <c r="G582" t="s">
        <v>45</v>
      </c>
      <c r="H582" t="s">
        <v>52</v>
      </c>
      <c r="I582">
        <v>1</v>
      </c>
      <c r="J582" s="8">
        <v>42100</v>
      </c>
      <c r="K582">
        <v>25</v>
      </c>
      <c r="L582" t="s">
        <v>103</v>
      </c>
      <c r="M582" s="5">
        <f>Cleaned_Data[[#This Row],[Quantity]]*Cleaned_Data[[#This Row],[Unit_Price]]</f>
        <v>42100</v>
      </c>
      <c r="N582" s="7">
        <f>Cleaned_Data[[#This Row],[Total_sales]]*(Cleaned_Data[[#This Row],[Discount_Percent]]/100)</f>
        <v>10525</v>
      </c>
      <c r="O582" s="7">
        <f>Cleaned_Data[[#This Row],[Total_sales]]-Cleaned_Data[[#This Row],[Discount_Amount]]</f>
        <v>31575</v>
      </c>
      <c r="P582" t="str">
        <f>TEXT(Cleaned_Data[[#This Row],[Order_Date]],"MMM-YYYY")</f>
        <v>Feb-2023</v>
      </c>
      <c r="Q582" t="str">
        <f>"Q"&amp;ROUNDUP(MONTH(Cleaned_Data[[#This Row],[Order_Date]])/3,0)&amp;"-2023"</f>
        <v>Q1-2023</v>
      </c>
      <c r="R582" t="str">
        <f>TEXT(Cleaned_Data[[#This Row],[Order_Date]],"DDD")</f>
        <v>Sat</v>
      </c>
      <c r="S582" t="str">
        <f>IF(Cleaned_Data[[#This Row],[Net_Sales]]&gt;=100000,"High",IF(Cleaned_Data[[#This Row],[Net_Sales]]&gt;=50000,"Medium","Low"))</f>
        <v>Low</v>
      </c>
    </row>
    <row r="583" spans="1:19" x14ac:dyDescent="0.3">
      <c r="A583" t="s">
        <v>731</v>
      </c>
      <c r="B583" s="1">
        <v>44975</v>
      </c>
      <c r="C583" t="s">
        <v>70</v>
      </c>
      <c r="D583" t="s">
        <v>71</v>
      </c>
      <c r="E583" t="s">
        <v>15</v>
      </c>
      <c r="F583" t="s">
        <v>128</v>
      </c>
      <c r="G583" t="s">
        <v>25</v>
      </c>
      <c r="H583" t="s">
        <v>212</v>
      </c>
      <c r="I583">
        <v>2</v>
      </c>
      <c r="J583" s="8">
        <v>2400</v>
      </c>
      <c r="K583">
        <v>5</v>
      </c>
      <c r="L583" t="s">
        <v>62</v>
      </c>
      <c r="M583" s="5">
        <f>Cleaned_Data[[#This Row],[Quantity]]*Cleaned_Data[[#This Row],[Unit_Price]]</f>
        <v>4800</v>
      </c>
      <c r="N583" s="7">
        <f>Cleaned_Data[[#This Row],[Total_sales]]*(Cleaned_Data[[#This Row],[Discount_Percent]]/100)</f>
        <v>240</v>
      </c>
      <c r="O583" s="7">
        <f>Cleaned_Data[[#This Row],[Total_sales]]-Cleaned_Data[[#This Row],[Discount_Amount]]</f>
        <v>4560</v>
      </c>
      <c r="P583" t="str">
        <f>TEXT(Cleaned_Data[[#This Row],[Order_Date]],"MMM-YYYY")</f>
        <v>Feb-2023</v>
      </c>
      <c r="Q583" t="str">
        <f>"Q"&amp;ROUNDUP(MONTH(Cleaned_Data[[#This Row],[Order_Date]])/3,0)&amp;"-2023"</f>
        <v>Q1-2023</v>
      </c>
      <c r="R583" t="str">
        <f>TEXT(Cleaned_Data[[#This Row],[Order_Date]],"DDD")</f>
        <v>Sat</v>
      </c>
      <c r="S583" t="str">
        <f>IF(Cleaned_Data[[#This Row],[Net_Sales]]&gt;=100000,"High",IF(Cleaned_Data[[#This Row],[Net_Sales]]&gt;=50000,"Medium","Low"))</f>
        <v>Low</v>
      </c>
    </row>
    <row r="584" spans="1:19" x14ac:dyDescent="0.3">
      <c r="A584" t="s">
        <v>732</v>
      </c>
      <c r="B584" s="1">
        <v>44975</v>
      </c>
      <c r="C584" t="s">
        <v>126</v>
      </c>
      <c r="D584" t="s">
        <v>127</v>
      </c>
      <c r="E584" t="s">
        <v>23</v>
      </c>
      <c r="F584" t="s">
        <v>44</v>
      </c>
      <c r="G584" t="s">
        <v>45</v>
      </c>
      <c r="H584" t="s">
        <v>46</v>
      </c>
      <c r="I584">
        <v>1</v>
      </c>
      <c r="J584" s="8">
        <v>20000</v>
      </c>
      <c r="K584">
        <v>0</v>
      </c>
      <c r="L584" t="s">
        <v>53</v>
      </c>
      <c r="M584" s="5">
        <f>Cleaned_Data[[#This Row],[Quantity]]*Cleaned_Data[[#This Row],[Unit_Price]]</f>
        <v>20000</v>
      </c>
      <c r="N584" s="7">
        <f>Cleaned_Data[[#This Row],[Total_sales]]*(Cleaned_Data[[#This Row],[Discount_Percent]]/100)</f>
        <v>0</v>
      </c>
      <c r="O584" s="7">
        <f>Cleaned_Data[[#This Row],[Total_sales]]-Cleaned_Data[[#This Row],[Discount_Amount]]</f>
        <v>20000</v>
      </c>
      <c r="P584" t="str">
        <f>TEXT(Cleaned_Data[[#This Row],[Order_Date]],"MMM-YYYY")</f>
        <v>Feb-2023</v>
      </c>
      <c r="Q584" t="str">
        <f>"Q"&amp;ROUNDUP(MONTH(Cleaned_Data[[#This Row],[Order_Date]])/3,0)&amp;"-2023"</f>
        <v>Q1-2023</v>
      </c>
      <c r="R584" t="str">
        <f>TEXT(Cleaned_Data[[#This Row],[Order_Date]],"DDD")</f>
        <v>Sat</v>
      </c>
      <c r="S584" t="str">
        <f>IF(Cleaned_Data[[#This Row],[Net_Sales]]&gt;=100000,"High",IF(Cleaned_Data[[#This Row],[Net_Sales]]&gt;=50000,"Medium","Low"))</f>
        <v>Low</v>
      </c>
    </row>
    <row r="585" spans="1:19" x14ac:dyDescent="0.3">
      <c r="A585" t="s">
        <v>733</v>
      </c>
      <c r="B585" s="1">
        <v>44975</v>
      </c>
      <c r="C585" t="s">
        <v>112</v>
      </c>
      <c r="D585" t="s">
        <v>113</v>
      </c>
      <c r="E585" t="s">
        <v>15</v>
      </c>
      <c r="F585" t="s">
        <v>119</v>
      </c>
      <c r="G585" t="s">
        <v>45</v>
      </c>
      <c r="H585" t="s">
        <v>52</v>
      </c>
      <c r="I585">
        <v>1</v>
      </c>
      <c r="J585" s="8">
        <v>36400</v>
      </c>
      <c r="K585">
        <v>25</v>
      </c>
      <c r="L585" t="s">
        <v>53</v>
      </c>
      <c r="M585" s="5">
        <f>Cleaned_Data[[#This Row],[Quantity]]*Cleaned_Data[[#This Row],[Unit_Price]]</f>
        <v>36400</v>
      </c>
      <c r="N585" s="7">
        <f>Cleaned_Data[[#This Row],[Total_sales]]*(Cleaned_Data[[#This Row],[Discount_Percent]]/100)</f>
        <v>9100</v>
      </c>
      <c r="O585" s="7">
        <f>Cleaned_Data[[#This Row],[Total_sales]]-Cleaned_Data[[#This Row],[Discount_Amount]]</f>
        <v>27300</v>
      </c>
      <c r="P585" t="str">
        <f>TEXT(Cleaned_Data[[#This Row],[Order_Date]],"MMM-YYYY")</f>
        <v>Feb-2023</v>
      </c>
      <c r="Q585" t="str">
        <f>"Q"&amp;ROUNDUP(MONTH(Cleaned_Data[[#This Row],[Order_Date]])/3,0)&amp;"-2023"</f>
        <v>Q1-2023</v>
      </c>
      <c r="R585" t="str">
        <f>TEXT(Cleaned_Data[[#This Row],[Order_Date]],"DDD")</f>
        <v>Sat</v>
      </c>
      <c r="S585" t="str">
        <f>IF(Cleaned_Data[[#This Row],[Net_Sales]]&gt;=100000,"High",IF(Cleaned_Data[[#This Row],[Net_Sales]]&gt;=50000,"Medium","Low"))</f>
        <v>Low</v>
      </c>
    </row>
    <row r="586" spans="1:19" x14ac:dyDescent="0.3">
      <c r="A586" t="s">
        <v>734</v>
      </c>
      <c r="B586" s="1">
        <v>45003</v>
      </c>
      <c r="C586" t="s">
        <v>244</v>
      </c>
      <c r="D586" t="s">
        <v>245</v>
      </c>
      <c r="E586" t="s">
        <v>37</v>
      </c>
      <c r="F586" t="s">
        <v>61</v>
      </c>
      <c r="G586" t="s">
        <v>97</v>
      </c>
      <c r="H586" t="s">
        <v>174</v>
      </c>
      <c r="I586">
        <v>1</v>
      </c>
      <c r="J586" s="8">
        <v>52400</v>
      </c>
      <c r="K586">
        <v>25</v>
      </c>
      <c r="L586" t="s">
        <v>19</v>
      </c>
      <c r="M586" s="5">
        <f>Cleaned_Data[[#This Row],[Quantity]]*Cleaned_Data[[#This Row],[Unit_Price]]</f>
        <v>52400</v>
      </c>
      <c r="N586" s="7">
        <f>Cleaned_Data[[#This Row],[Total_sales]]*(Cleaned_Data[[#This Row],[Discount_Percent]]/100)</f>
        <v>13100</v>
      </c>
      <c r="O586" s="7">
        <f>Cleaned_Data[[#This Row],[Total_sales]]-Cleaned_Data[[#This Row],[Discount_Amount]]</f>
        <v>39300</v>
      </c>
      <c r="P586" t="str">
        <f>TEXT(Cleaned_Data[[#This Row],[Order_Date]],"MMM-YYYY")</f>
        <v>Mar-2023</v>
      </c>
      <c r="Q586" t="str">
        <f>"Q"&amp;ROUNDUP(MONTH(Cleaned_Data[[#This Row],[Order_Date]])/3,0)&amp;"-2023"</f>
        <v>Q1-2023</v>
      </c>
      <c r="R586" t="str">
        <f>TEXT(Cleaned_Data[[#This Row],[Order_Date]],"DDD")</f>
        <v>Sat</v>
      </c>
      <c r="S586" t="str">
        <f>IF(Cleaned_Data[[#This Row],[Net_Sales]]&gt;=100000,"High",IF(Cleaned_Data[[#This Row],[Net_Sales]]&gt;=50000,"Medium","Low"))</f>
        <v>Low</v>
      </c>
    </row>
    <row r="587" spans="1:19" x14ac:dyDescent="0.3">
      <c r="A587" t="s">
        <v>735</v>
      </c>
      <c r="B587" s="1">
        <v>45003</v>
      </c>
      <c r="C587" t="s">
        <v>244</v>
      </c>
      <c r="D587" t="s">
        <v>245</v>
      </c>
      <c r="E587" t="s">
        <v>15</v>
      </c>
      <c r="F587" t="s">
        <v>16</v>
      </c>
      <c r="G587" t="s">
        <v>97</v>
      </c>
      <c r="H587" t="s">
        <v>171</v>
      </c>
      <c r="I587">
        <v>1</v>
      </c>
      <c r="J587" s="8">
        <v>43500</v>
      </c>
      <c r="K587">
        <v>0</v>
      </c>
      <c r="L587" t="s">
        <v>27</v>
      </c>
      <c r="M587" s="5">
        <f>Cleaned_Data[[#This Row],[Quantity]]*Cleaned_Data[[#This Row],[Unit_Price]]</f>
        <v>43500</v>
      </c>
      <c r="N587" s="7">
        <f>Cleaned_Data[[#This Row],[Total_sales]]*(Cleaned_Data[[#This Row],[Discount_Percent]]/100)</f>
        <v>0</v>
      </c>
      <c r="O587" s="7">
        <f>Cleaned_Data[[#This Row],[Total_sales]]-Cleaned_Data[[#This Row],[Discount_Amount]]</f>
        <v>43500</v>
      </c>
      <c r="P587" t="str">
        <f>TEXT(Cleaned_Data[[#This Row],[Order_Date]],"MMM-YYYY")</f>
        <v>Mar-2023</v>
      </c>
      <c r="Q587" t="str">
        <f>"Q"&amp;ROUNDUP(MONTH(Cleaned_Data[[#This Row],[Order_Date]])/3,0)&amp;"-2023"</f>
        <v>Q1-2023</v>
      </c>
      <c r="R587" t="str">
        <f>TEXT(Cleaned_Data[[#This Row],[Order_Date]],"DDD")</f>
        <v>Sat</v>
      </c>
      <c r="S587" t="str">
        <f>IF(Cleaned_Data[[#This Row],[Net_Sales]]&gt;=100000,"High",IF(Cleaned_Data[[#This Row],[Net_Sales]]&gt;=50000,"Medium","Low"))</f>
        <v>Low</v>
      </c>
    </row>
    <row r="588" spans="1:19" x14ac:dyDescent="0.3">
      <c r="A588" t="s">
        <v>736</v>
      </c>
      <c r="B588" s="1">
        <v>45003</v>
      </c>
      <c r="C588" t="s">
        <v>180</v>
      </c>
      <c r="D588" t="s">
        <v>181</v>
      </c>
      <c r="E588" t="s">
        <v>37</v>
      </c>
      <c r="F588" t="s">
        <v>101</v>
      </c>
      <c r="G588" t="s">
        <v>17</v>
      </c>
      <c r="H588" t="s">
        <v>168</v>
      </c>
      <c r="I588">
        <v>1</v>
      </c>
      <c r="J588" s="8">
        <v>35100</v>
      </c>
      <c r="K588">
        <v>15</v>
      </c>
      <c r="L588" t="s">
        <v>27</v>
      </c>
      <c r="M588" s="5">
        <f>Cleaned_Data[[#This Row],[Quantity]]*Cleaned_Data[[#This Row],[Unit_Price]]</f>
        <v>35100</v>
      </c>
      <c r="N588" s="7">
        <f>Cleaned_Data[[#This Row],[Total_sales]]*(Cleaned_Data[[#This Row],[Discount_Percent]]/100)</f>
        <v>5265</v>
      </c>
      <c r="O588" s="7">
        <f>Cleaned_Data[[#This Row],[Total_sales]]-Cleaned_Data[[#This Row],[Discount_Amount]]</f>
        <v>29835</v>
      </c>
      <c r="P588" t="str">
        <f>TEXT(Cleaned_Data[[#This Row],[Order_Date]],"MMM-YYYY")</f>
        <v>Mar-2023</v>
      </c>
      <c r="Q588" t="str">
        <f>"Q"&amp;ROUNDUP(MONTH(Cleaned_Data[[#This Row],[Order_Date]])/3,0)&amp;"-2023"</f>
        <v>Q1-2023</v>
      </c>
      <c r="R588" t="str">
        <f>TEXT(Cleaned_Data[[#This Row],[Order_Date]],"DDD")</f>
        <v>Sat</v>
      </c>
      <c r="S588" t="str">
        <f>IF(Cleaned_Data[[#This Row],[Net_Sales]]&gt;=100000,"High",IF(Cleaned_Data[[#This Row],[Net_Sales]]&gt;=50000,"Medium","Low"))</f>
        <v>Low</v>
      </c>
    </row>
    <row r="589" spans="1:19" x14ac:dyDescent="0.3">
      <c r="A589" t="s">
        <v>737</v>
      </c>
      <c r="B589" s="1">
        <v>45034</v>
      </c>
      <c r="C589" t="s">
        <v>42</v>
      </c>
      <c r="D589" t="s">
        <v>43</v>
      </c>
      <c r="E589" t="s">
        <v>15</v>
      </c>
      <c r="F589" t="s">
        <v>16</v>
      </c>
      <c r="G589" t="s">
        <v>45</v>
      </c>
      <c r="H589" t="s">
        <v>46</v>
      </c>
      <c r="I589">
        <v>1</v>
      </c>
      <c r="J589" s="8">
        <v>37000</v>
      </c>
      <c r="K589">
        <v>0</v>
      </c>
      <c r="L589" t="s">
        <v>53</v>
      </c>
      <c r="M589" s="5">
        <f>Cleaned_Data[[#This Row],[Quantity]]*Cleaned_Data[[#This Row],[Unit_Price]]</f>
        <v>37000</v>
      </c>
      <c r="N589" s="7">
        <f>Cleaned_Data[[#This Row],[Total_sales]]*(Cleaned_Data[[#This Row],[Discount_Percent]]/100)</f>
        <v>0</v>
      </c>
      <c r="O589" s="7">
        <f>Cleaned_Data[[#This Row],[Total_sales]]-Cleaned_Data[[#This Row],[Discount_Amount]]</f>
        <v>37000</v>
      </c>
      <c r="P589" t="str">
        <f>TEXT(Cleaned_Data[[#This Row],[Order_Date]],"MMM-YYYY")</f>
        <v>Apr-2023</v>
      </c>
      <c r="Q589" t="str">
        <f>"Q"&amp;ROUNDUP(MONTH(Cleaned_Data[[#This Row],[Order_Date]])/3,0)&amp;"-2023"</f>
        <v>Q2-2023</v>
      </c>
      <c r="R589" t="str">
        <f>TEXT(Cleaned_Data[[#This Row],[Order_Date]],"DDD")</f>
        <v>Tue</v>
      </c>
      <c r="S589" t="str">
        <f>IF(Cleaned_Data[[#This Row],[Net_Sales]]&gt;=100000,"High",IF(Cleaned_Data[[#This Row],[Net_Sales]]&gt;=50000,"Medium","Low"))</f>
        <v>Low</v>
      </c>
    </row>
    <row r="590" spans="1:19" x14ac:dyDescent="0.3">
      <c r="A590" t="s">
        <v>738</v>
      </c>
      <c r="B590" s="1">
        <v>45034</v>
      </c>
      <c r="C590" t="s">
        <v>203</v>
      </c>
      <c r="D590" t="s">
        <v>204</v>
      </c>
      <c r="E590" t="s">
        <v>37</v>
      </c>
      <c r="F590" t="s">
        <v>141</v>
      </c>
      <c r="G590" t="s">
        <v>97</v>
      </c>
      <c r="H590" t="s">
        <v>174</v>
      </c>
      <c r="I590">
        <v>1</v>
      </c>
      <c r="J590" s="8">
        <v>58400</v>
      </c>
      <c r="K590">
        <v>0</v>
      </c>
      <c r="L590" t="s">
        <v>103</v>
      </c>
      <c r="M590" s="5">
        <f>Cleaned_Data[[#This Row],[Quantity]]*Cleaned_Data[[#This Row],[Unit_Price]]</f>
        <v>58400</v>
      </c>
      <c r="N590" s="7">
        <f>Cleaned_Data[[#This Row],[Total_sales]]*(Cleaned_Data[[#This Row],[Discount_Percent]]/100)</f>
        <v>0</v>
      </c>
      <c r="O590" s="7">
        <f>Cleaned_Data[[#This Row],[Total_sales]]-Cleaned_Data[[#This Row],[Discount_Amount]]</f>
        <v>58400</v>
      </c>
      <c r="P590" t="str">
        <f>TEXT(Cleaned_Data[[#This Row],[Order_Date]],"MMM-YYYY")</f>
        <v>Apr-2023</v>
      </c>
      <c r="Q590" t="str">
        <f>"Q"&amp;ROUNDUP(MONTH(Cleaned_Data[[#This Row],[Order_Date]])/3,0)&amp;"-2023"</f>
        <v>Q2-2023</v>
      </c>
      <c r="R590" t="str">
        <f>TEXT(Cleaned_Data[[#This Row],[Order_Date]],"DDD")</f>
        <v>Tue</v>
      </c>
      <c r="S590" t="str">
        <f>IF(Cleaned_Data[[#This Row],[Net_Sales]]&gt;=100000,"High",IF(Cleaned_Data[[#This Row],[Net_Sales]]&gt;=50000,"Medium","Low"))</f>
        <v>Medium</v>
      </c>
    </row>
    <row r="591" spans="1:19" x14ac:dyDescent="0.3">
      <c r="A591" t="s">
        <v>739</v>
      </c>
      <c r="B591" s="1">
        <v>45034</v>
      </c>
      <c r="C591" t="s">
        <v>126</v>
      </c>
      <c r="D591" t="s">
        <v>127</v>
      </c>
      <c r="E591" t="s">
        <v>15</v>
      </c>
      <c r="F591" t="s">
        <v>128</v>
      </c>
      <c r="G591" t="s">
        <v>17</v>
      </c>
      <c r="H591" t="s">
        <v>18</v>
      </c>
      <c r="I591">
        <v>1</v>
      </c>
      <c r="J591" s="8">
        <v>55100</v>
      </c>
      <c r="K591">
        <v>20</v>
      </c>
      <c r="L591" t="s">
        <v>73</v>
      </c>
      <c r="M591" s="5">
        <f>Cleaned_Data[[#This Row],[Quantity]]*Cleaned_Data[[#This Row],[Unit_Price]]</f>
        <v>55100</v>
      </c>
      <c r="N591" s="7">
        <f>Cleaned_Data[[#This Row],[Total_sales]]*(Cleaned_Data[[#This Row],[Discount_Percent]]/100)</f>
        <v>11020</v>
      </c>
      <c r="O591" s="7">
        <f>Cleaned_Data[[#This Row],[Total_sales]]-Cleaned_Data[[#This Row],[Discount_Amount]]</f>
        <v>44080</v>
      </c>
      <c r="P591" t="str">
        <f>TEXT(Cleaned_Data[[#This Row],[Order_Date]],"MMM-YYYY")</f>
        <v>Apr-2023</v>
      </c>
      <c r="Q591" t="str">
        <f>"Q"&amp;ROUNDUP(MONTH(Cleaned_Data[[#This Row],[Order_Date]])/3,0)&amp;"-2023"</f>
        <v>Q2-2023</v>
      </c>
      <c r="R591" t="str">
        <f>TEXT(Cleaned_Data[[#This Row],[Order_Date]],"DDD")</f>
        <v>Tue</v>
      </c>
      <c r="S591" t="str">
        <f>IF(Cleaned_Data[[#This Row],[Net_Sales]]&gt;=100000,"High",IF(Cleaned_Data[[#This Row],[Net_Sales]]&gt;=50000,"Medium","Low"))</f>
        <v>Low</v>
      </c>
    </row>
    <row r="592" spans="1:19" x14ac:dyDescent="0.3">
      <c r="A592" t="s">
        <v>740</v>
      </c>
      <c r="B592" s="1">
        <v>45034</v>
      </c>
      <c r="C592" t="s">
        <v>49</v>
      </c>
      <c r="D592" t="s">
        <v>50</v>
      </c>
      <c r="E592" t="s">
        <v>66</v>
      </c>
      <c r="F592" t="s">
        <v>92</v>
      </c>
      <c r="G592" t="s">
        <v>25</v>
      </c>
      <c r="H592" t="s">
        <v>212</v>
      </c>
      <c r="I592">
        <v>2</v>
      </c>
      <c r="J592" s="8">
        <v>1000</v>
      </c>
      <c r="K592">
        <v>15</v>
      </c>
      <c r="L592" t="s">
        <v>73</v>
      </c>
      <c r="M592" s="5">
        <f>Cleaned_Data[[#This Row],[Quantity]]*Cleaned_Data[[#This Row],[Unit_Price]]</f>
        <v>2000</v>
      </c>
      <c r="N592" s="7">
        <f>Cleaned_Data[[#This Row],[Total_sales]]*(Cleaned_Data[[#This Row],[Discount_Percent]]/100)</f>
        <v>300</v>
      </c>
      <c r="O592" s="7">
        <f>Cleaned_Data[[#This Row],[Total_sales]]-Cleaned_Data[[#This Row],[Discount_Amount]]</f>
        <v>1700</v>
      </c>
      <c r="P592" t="str">
        <f>TEXT(Cleaned_Data[[#This Row],[Order_Date]],"MMM-YYYY")</f>
        <v>Apr-2023</v>
      </c>
      <c r="Q592" t="str">
        <f>"Q"&amp;ROUNDUP(MONTH(Cleaned_Data[[#This Row],[Order_Date]])/3,0)&amp;"-2023"</f>
        <v>Q2-2023</v>
      </c>
      <c r="R592" t="str">
        <f>TEXT(Cleaned_Data[[#This Row],[Order_Date]],"DDD")</f>
        <v>Tue</v>
      </c>
      <c r="S592" t="str">
        <f>IF(Cleaned_Data[[#This Row],[Net_Sales]]&gt;=100000,"High",IF(Cleaned_Data[[#This Row],[Net_Sales]]&gt;=50000,"Medium","Low"))</f>
        <v>Low</v>
      </c>
    </row>
    <row r="593" spans="1:19" x14ac:dyDescent="0.3">
      <c r="A593" t="s">
        <v>741</v>
      </c>
      <c r="B593" s="1">
        <v>45064</v>
      </c>
      <c r="C593" t="s">
        <v>244</v>
      </c>
      <c r="D593" t="s">
        <v>245</v>
      </c>
      <c r="E593" t="s">
        <v>66</v>
      </c>
      <c r="F593" t="s">
        <v>67</v>
      </c>
      <c r="G593" t="s">
        <v>97</v>
      </c>
      <c r="H593" t="s">
        <v>171</v>
      </c>
      <c r="I593">
        <v>1</v>
      </c>
      <c r="J593" s="8">
        <v>61700</v>
      </c>
      <c r="K593">
        <v>25</v>
      </c>
      <c r="L593" t="s">
        <v>33</v>
      </c>
      <c r="M593" s="5">
        <f>Cleaned_Data[[#This Row],[Quantity]]*Cleaned_Data[[#This Row],[Unit_Price]]</f>
        <v>61700</v>
      </c>
      <c r="N593" s="7">
        <f>Cleaned_Data[[#This Row],[Total_sales]]*(Cleaned_Data[[#This Row],[Discount_Percent]]/100)</f>
        <v>15425</v>
      </c>
      <c r="O593" s="7">
        <f>Cleaned_Data[[#This Row],[Total_sales]]-Cleaned_Data[[#This Row],[Discount_Amount]]</f>
        <v>46275</v>
      </c>
      <c r="P593" t="str">
        <f>TEXT(Cleaned_Data[[#This Row],[Order_Date]],"MMM-YYYY")</f>
        <v>May-2023</v>
      </c>
      <c r="Q593" t="str">
        <f>"Q"&amp;ROUNDUP(MONTH(Cleaned_Data[[#This Row],[Order_Date]])/3,0)&amp;"-2023"</f>
        <v>Q2-2023</v>
      </c>
      <c r="R593" t="str">
        <f>TEXT(Cleaned_Data[[#This Row],[Order_Date]],"DDD")</f>
        <v>Thu</v>
      </c>
      <c r="S593" t="str">
        <f>IF(Cleaned_Data[[#This Row],[Net_Sales]]&gt;=100000,"High",IF(Cleaned_Data[[#This Row],[Net_Sales]]&gt;=50000,"Medium","Low"))</f>
        <v>Low</v>
      </c>
    </row>
    <row r="594" spans="1:19" x14ac:dyDescent="0.3">
      <c r="A594" t="s">
        <v>742</v>
      </c>
      <c r="B594" s="1">
        <v>45064</v>
      </c>
      <c r="C594" t="s">
        <v>232</v>
      </c>
      <c r="D594" t="s">
        <v>233</v>
      </c>
      <c r="E594" t="s">
        <v>66</v>
      </c>
      <c r="F594" t="s">
        <v>87</v>
      </c>
      <c r="G594" t="s">
        <v>97</v>
      </c>
      <c r="H594" t="s">
        <v>171</v>
      </c>
      <c r="I594">
        <v>1</v>
      </c>
      <c r="J594" s="8">
        <v>55900</v>
      </c>
      <c r="K594">
        <v>10</v>
      </c>
      <c r="L594" t="s">
        <v>27</v>
      </c>
      <c r="M594" s="5">
        <f>Cleaned_Data[[#This Row],[Quantity]]*Cleaned_Data[[#This Row],[Unit_Price]]</f>
        <v>55900</v>
      </c>
      <c r="N594" s="7">
        <f>Cleaned_Data[[#This Row],[Total_sales]]*(Cleaned_Data[[#This Row],[Discount_Percent]]/100)</f>
        <v>5590</v>
      </c>
      <c r="O594" s="7">
        <f>Cleaned_Data[[#This Row],[Total_sales]]-Cleaned_Data[[#This Row],[Discount_Amount]]</f>
        <v>50310</v>
      </c>
      <c r="P594" t="str">
        <f>TEXT(Cleaned_Data[[#This Row],[Order_Date]],"MMM-YYYY")</f>
        <v>May-2023</v>
      </c>
      <c r="Q594" t="str">
        <f>"Q"&amp;ROUNDUP(MONTH(Cleaned_Data[[#This Row],[Order_Date]])/3,0)&amp;"-2023"</f>
        <v>Q2-2023</v>
      </c>
      <c r="R594" t="str">
        <f>TEXT(Cleaned_Data[[#This Row],[Order_Date]],"DDD")</f>
        <v>Thu</v>
      </c>
      <c r="S594" t="str">
        <f>IF(Cleaned_Data[[#This Row],[Net_Sales]]&gt;=100000,"High",IF(Cleaned_Data[[#This Row],[Net_Sales]]&gt;=50000,"Medium","Low"))</f>
        <v>Medium</v>
      </c>
    </row>
    <row r="595" spans="1:19" x14ac:dyDescent="0.3">
      <c r="A595" t="s">
        <v>743</v>
      </c>
      <c r="B595" s="1">
        <v>45095</v>
      </c>
      <c r="C595" t="s">
        <v>122</v>
      </c>
      <c r="D595" t="s">
        <v>123</v>
      </c>
      <c r="E595" t="s">
        <v>66</v>
      </c>
      <c r="F595" t="s">
        <v>92</v>
      </c>
      <c r="G595" t="s">
        <v>25</v>
      </c>
      <c r="H595" t="s">
        <v>108</v>
      </c>
      <c r="I595">
        <v>2</v>
      </c>
      <c r="J595" s="8">
        <v>1800</v>
      </c>
      <c r="K595">
        <v>0</v>
      </c>
      <c r="L595" t="s">
        <v>53</v>
      </c>
      <c r="M595" s="5">
        <f>Cleaned_Data[[#This Row],[Quantity]]*Cleaned_Data[[#This Row],[Unit_Price]]</f>
        <v>3600</v>
      </c>
      <c r="N595" s="7">
        <f>Cleaned_Data[[#This Row],[Total_sales]]*(Cleaned_Data[[#This Row],[Discount_Percent]]/100)</f>
        <v>0</v>
      </c>
      <c r="O595" s="7">
        <f>Cleaned_Data[[#This Row],[Total_sales]]-Cleaned_Data[[#This Row],[Discount_Amount]]</f>
        <v>3600</v>
      </c>
      <c r="P595" t="str">
        <f>TEXT(Cleaned_Data[[#This Row],[Order_Date]],"MMM-YYYY")</f>
        <v>Jun-2023</v>
      </c>
      <c r="Q595" t="str">
        <f>"Q"&amp;ROUNDUP(MONTH(Cleaned_Data[[#This Row],[Order_Date]])/3,0)&amp;"-2023"</f>
        <v>Q2-2023</v>
      </c>
      <c r="R595" t="str">
        <f>TEXT(Cleaned_Data[[#This Row],[Order_Date]],"DDD")</f>
        <v>Sun</v>
      </c>
      <c r="S595" t="str">
        <f>IF(Cleaned_Data[[#This Row],[Net_Sales]]&gt;=100000,"High",IF(Cleaned_Data[[#This Row],[Net_Sales]]&gt;=50000,"Medium","Low"))</f>
        <v>Low</v>
      </c>
    </row>
    <row r="596" spans="1:19" x14ac:dyDescent="0.3">
      <c r="A596" t="s">
        <v>744</v>
      </c>
      <c r="B596" s="1">
        <v>45125</v>
      </c>
      <c r="C596" t="s">
        <v>158</v>
      </c>
      <c r="D596" t="s">
        <v>159</v>
      </c>
      <c r="E596" t="s">
        <v>81</v>
      </c>
      <c r="F596" t="s">
        <v>82</v>
      </c>
      <c r="G596" t="s">
        <v>45</v>
      </c>
      <c r="H596" t="s">
        <v>52</v>
      </c>
      <c r="I596">
        <v>1</v>
      </c>
      <c r="J596" s="8">
        <v>47200</v>
      </c>
      <c r="K596">
        <v>0</v>
      </c>
      <c r="L596" t="s">
        <v>19</v>
      </c>
      <c r="M596" s="5">
        <f>Cleaned_Data[[#This Row],[Quantity]]*Cleaned_Data[[#This Row],[Unit_Price]]</f>
        <v>47200</v>
      </c>
      <c r="N596" s="7">
        <f>Cleaned_Data[[#This Row],[Total_sales]]*(Cleaned_Data[[#This Row],[Discount_Percent]]/100)</f>
        <v>0</v>
      </c>
      <c r="O596" s="7">
        <f>Cleaned_Data[[#This Row],[Total_sales]]-Cleaned_Data[[#This Row],[Discount_Amount]]</f>
        <v>47200</v>
      </c>
      <c r="P596" t="str">
        <f>TEXT(Cleaned_Data[[#This Row],[Order_Date]],"MMM-YYYY")</f>
        <v>Jul-2023</v>
      </c>
      <c r="Q596" t="str">
        <f>"Q"&amp;ROUNDUP(MONTH(Cleaned_Data[[#This Row],[Order_Date]])/3,0)&amp;"-2023"</f>
        <v>Q3-2023</v>
      </c>
      <c r="R596" t="str">
        <f>TEXT(Cleaned_Data[[#This Row],[Order_Date]],"DDD")</f>
        <v>Tue</v>
      </c>
      <c r="S596" t="str">
        <f>IF(Cleaned_Data[[#This Row],[Net_Sales]]&gt;=100000,"High",IF(Cleaned_Data[[#This Row],[Net_Sales]]&gt;=50000,"Medium","Low"))</f>
        <v>Low</v>
      </c>
    </row>
    <row r="597" spans="1:19" x14ac:dyDescent="0.3">
      <c r="A597" t="s">
        <v>745</v>
      </c>
      <c r="B597" s="1">
        <v>45125</v>
      </c>
      <c r="C597" t="s">
        <v>250</v>
      </c>
      <c r="D597" t="s">
        <v>251</v>
      </c>
      <c r="E597" t="s">
        <v>66</v>
      </c>
      <c r="F597" t="s">
        <v>92</v>
      </c>
      <c r="G597" t="s">
        <v>39</v>
      </c>
      <c r="H597" t="s">
        <v>102</v>
      </c>
      <c r="I597">
        <v>2</v>
      </c>
      <c r="J597" s="8">
        <v>17700</v>
      </c>
      <c r="K597">
        <v>10</v>
      </c>
      <c r="L597" t="s">
        <v>53</v>
      </c>
      <c r="M597" s="5">
        <f>Cleaned_Data[[#This Row],[Quantity]]*Cleaned_Data[[#This Row],[Unit_Price]]</f>
        <v>35400</v>
      </c>
      <c r="N597" s="7">
        <f>Cleaned_Data[[#This Row],[Total_sales]]*(Cleaned_Data[[#This Row],[Discount_Percent]]/100)</f>
        <v>3540</v>
      </c>
      <c r="O597" s="7">
        <f>Cleaned_Data[[#This Row],[Total_sales]]-Cleaned_Data[[#This Row],[Discount_Amount]]</f>
        <v>31860</v>
      </c>
      <c r="P597" t="str">
        <f>TEXT(Cleaned_Data[[#This Row],[Order_Date]],"MMM-YYYY")</f>
        <v>Jul-2023</v>
      </c>
      <c r="Q597" t="str">
        <f>"Q"&amp;ROUNDUP(MONTH(Cleaned_Data[[#This Row],[Order_Date]])/3,0)&amp;"-2023"</f>
        <v>Q3-2023</v>
      </c>
      <c r="R597" t="str">
        <f>TEXT(Cleaned_Data[[#This Row],[Order_Date]],"DDD")</f>
        <v>Tue</v>
      </c>
      <c r="S597" t="str">
        <f>IF(Cleaned_Data[[#This Row],[Net_Sales]]&gt;=100000,"High",IF(Cleaned_Data[[#This Row],[Net_Sales]]&gt;=50000,"Medium","Low"))</f>
        <v>Low</v>
      </c>
    </row>
    <row r="598" spans="1:19" x14ac:dyDescent="0.3">
      <c r="A598" t="s">
        <v>746</v>
      </c>
      <c r="B598" s="1">
        <v>45125</v>
      </c>
      <c r="C598" t="s">
        <v>250</v>
      </c>
      <c r="D598" t="s">
        <v>251</v>
      </c>
      <c r="E598" t="s">
        <v>15</v>
      </c>
      <c r="F598" t="s">
        <v>119</v>
      </c>
      <c r="G598" t="s">
        <v>45</v>
      </c>
      <c r="H598" t="s">
        <v>46</v>
      </c>
      <c r="I598">
        <v>1</v>
      </c>
      <c r="J598" s="8">
        <v>42300</v>
      </c>
      <c r="K598">
        <v>15</v>
      </c>
      <c r="L598" t="s">
        <v>103</v>
      </c>
      <c r="M598" s="5">
        <f>Cleaned_Data[[#This Row],[Quantity]]*Cleaned_Data[[#This Row],[Unit_Price]]</f>
        <v>42300</v>
      </c>
      <c r="N598" s="7">
        <f>Cleaned_Data[[#This Row],[Total_sales]]*(Cleaned_Data[[#This Row],[Discount_Percent]]/100)</f>
        <v>6345</v>
      </c>
      <c r="O598" s="7">
        <f>Cleaned_Data[[#This Row],[Total_sales]]-Cleaned_Data[[#This Row],[Discount_Amount]]</f>
        <v>35955</v>
      </c>
      <c r="P598" t="str">
        <f>TEXT(Cleaned_Data[[#This Row],[Order_Date]],"MMM-YYYY")</f>
        <v>Jul-2023</v>
      </c>
      <c r="Q598" t="str">
        <f>"Q"&amp;ROUNDUP(MONTH(Cleaned_Data[[#This Row],[Order_Date]])/3,0)&amp;"-2023"</f>
        <v>Q3-2023</v>
      </c>
      <c r="R598" t="str">
        <f>TEXT(Cleaned_Data[[#This Row],[Order_Date]],"DDD")</f>
        <v>Tue</v>
      </c>
      <c r="S598" t="str">
        <f>IF(Cleaned_Data[[#This Row],[Net_Sales]]&gt;=100000,"High",IF(Cleaned_Data[[#This Row],[Net_Sales]]&gt;=50000,"Medium","Low"))</f>
        <v>Low</v>
      </c>
    </row>
    <row r="599" spans="1:19" x14ac:dyDescent="0.3">
      <c r="A599" t="s">
        <v>747</v>
      </c>
      <c r="B599" s="1">
        <v>45156</v>
      </c>
      <c r="C599" t="s">
        <v>95</v>
      </c>
      <c r="D599" t="s">
        <v>96</v>
      </c>
      <c r="E599" t="s">
        <v>15</v>
      </c>
      <c r="F599" t="s">
        <v>16</v>
      </c>
      <c r="G599" t="s">
        <v>97</v>
      </c>
      <c r="H599" t="s">
        <v>171</v>
      </c>
      <c r="I599">
        <v>2</v>
      </c>
      <c r="J599" s="8">
        <v>66100</v>
      </c>
      <c r="K599">
        <v>10</v>
      </c>
      <c r="L599" t="s">
        <v>47</v>
      </c>
      <c r="M599" s="5">
        <f>Cleaned_Data[[#This Row],[Quantity]]*Cleaned_Data[[#This Row],[Unit_Price]]</f>
        <v>132200</v>
      </c>
      <c r="N599" s="7">
        <f>Cleaned_Data[[#This Row],[Total_sales]]*(Cleaned_Data[[#This Row],[Discount_Percent]]/100)</f>
        <v>13220</v>
      </c>
      <c r="O599" s="7">
        <f>Cleaned_Data[[#This Row],[Total_sales]]-Cleaned_Data[[#This Row],[Discount_Amount]]</f>
        <v>118980</v>
      </c>
      <c r="P599" t="str">
        <f>TEXT(Cleaned_Data[[#This Row],[Order_Date]],"MMM-YYYY")</f>
        <v>Aug-2023</v>
      </c>
      <c r="Q599" t="str">
        <f>"Q"&amp;ROUNDUP(MONTH(Cleaned_Data[[#This Row],[Order_Date]])/3,0)&amp;"-2023"</f>
        <v>Q3-2023</v>
      </c>
      <c r="R599" t="str">
        <f>TEXT(Cleaned_Data[[#This Row],[Order_Date]],"DDD")</f>
        <v>Fri</v>
      </c>
      <c r="S599" t="str">
        <f>IF(Cleaned_Data[[#This Row],[Net_Sales]]&gt;=100000,"High",IF(Cleaned_Data[[#This Row],[Net_Sales]]&gt;=50000,"Medium","Low"))</f>
        <v>High</v>
      </c>
    </row>
    <row r="600" spans="1:19" x14ac:dyDescent="0.3">
      <c r="A600" t="s">
        <v>748</v>
      </c>
      <c r="B600" s="1">
        <v>45156</v>
      </c>
      <c r="C600" t="s">
        <v>42</v>
      </c>
      <c r="D600" t="s">
        <v>43</v>
      </c>
      <c r="E600" t="s">
        <v>15</v>
      </c>
      <c r="F600" t="s">
        <v>119</v>
      </c>
      <c r="G600" t="s">
        <v>39</v>
      </c>
      <c r="H600" t="s">
        <v>68</v>
      </c>
      <c r="I600">
        <v>1</v>
      </c>
      <c r="J600" s="8">
        <v>33500</v>
      </c>
      <c r="K600">
        <v>20</v>
      </c>
      <c r="L600" t="s">
        <v>27</v>
      </c>
      <c r="M600" s="5">
        <f>Cleaned_Data[[#This Row],[Quantity]]*Cleaned_Data[[#This Row],[Unit_Price]]</f>
        <v>33500</v>
      </c>
      <c r="N600" s="7">
        <f>Cleaned_Data[[#This Row],[Total_sales]]*(Cleaned_Data[[#This Row],[Discount_Percent]]/100)</f>
        <v>6700</v>
      </c>
      <c r="O600" s="7">
        <f>Cleaned_Data[[#This Row],[Total_sales]]-Cleaned_Data[[#This Row],[Discount_Amount]]</f>
        <v>26800</v>
      </c>
      <c r="P600" t="str">
        <f>TEXT(Cleaned_Data[[#This Row],[Order_Date]],"MMM-YYYY")</f>
        <v>Aug-2023</v>
      </c>
      <c r="Q600" t="str">
        <f>"Q"&amp;ROUNDUP(MONTH(Cleaned_Data[[#This Row],[Order_Date]])/3,0)&amp;"-2023"</f>
        <v>Q3-2023</v>
      </c>
      <c r="R600" t="str">
        <f>TEXT(Cleaned_Data[[#This Row],[Order_Date]],"DDD")</f>
        <v>Fri</v>
      </c>
      <c r="S600" t="str">
        <f>IF(Cleaned_Data[[#This Row],[Net_Sales]]&gt;=100000,"High",IF(Cleaned_Data[[#This Row],[Net_Sales]]&gt;=50000,"Medium","Low"))</f>
        <v>Low</v>
      </c>
    </row>
    <row r="601" spans="1:19" x14ac:dyDescent="0.3">
      <c r="A601" t="s">
        <v>749</v>
      </c>
      <c r="B601" s="1">
        <v>45156</v>
      </c>
      <c r="C601" t="s">
        <v>143</v>
      </c>
      <c r="D601" t="s">
        <v>144</v>
      </c>
      <c r="E601" t="s">
        <v>23</v>
      </c>
      <c r="F601" t="s">
        <v>24</v>
      </c>
      <c r="G601" t="s">
        <v>45</v>
      </c>
      <c r="H601" t="s">
        <v>46</v>
      </c>
      <c r="I601">
        <v>1</v>
      </c>
      <c r="J601" s="8">
        <v>41200</v>
      </c>
      <c r="K601">
        <v>10</v>
      </c>
      <c r="L601" t="s">
        <v>47</v>
      </c>
      <c r="M601" s="5">
        <f>Cleaned_Data[[#This Row],[Quantity]]*Cleaned_Data[[#This Row],[Unit_Price]]</f>
        <v>41200</v>
      </c>
      <c r="N601" s="7">
        <f>Cleaned_Data[[#This Row],[Total_sales]]*(Cleaned_Data[[#This Row],[Discount_Percent]]/100)</f>
        <v>4120</v>
      </c>
      <c r="O601" s="7">
        <f>Cleaned_Data[[#This Row],[Total_sales]]-Cleaned_Data[[#This Row],[Discount_Amount]]</f>
        <v>37080</v>
      </c>
      <c r="P601" t="str">
        <f>TEXT(Cleaned_Data[[#This Row],[Order_Date]],"MMM-YYYY")</f>
        <v>Aug-2023</v>
      </c>
      <c r="Q601" t="str">
        <f>"Q"&amp;ROUNDUP(MONTH(Cleaned_Data[[#This Row],[Order_Date]])/3,0)&amp;"-2023"</f>
        <v>Q3-2023</v>
      </c>
      <c r="R601" t="str">
        <f>TEXT(Cleaned_Data[[#This Row],[Order_Date]],"DDD")</f>
        <v>Fri</v>
      </c>
      <c r="S601" t="str">
        <f>IF(Cleaned_Data[[#This Row],[Net_Sales]]&gt;=100000,"High",IF(Cleaned_Data[[#This Row],[Net_Sales]]&gt;=50000,"Medium","Low"))</f>
        <v>Low</v>
      </c>
    </row>
    <row r="602" spans="1:19" x14ac:dyDescent="0.3">
      <c r="A602" t="s">
        <v>750</v>
      </c>
      <c r="B602" s="1">
        <v>45187</v>
      </c>
      <c r="C602" t="s">
        <v>49</v>
      </c>
      <c r="D602" t="s">
        <v>50</v>
      </c>
      <c r="E602" t="s">
        <v>81</v>
      </c>
      <c r="F602" t="s">
        <v>82</v>
      </c>
      <c r="G602" t="s">
        <v>45</v>
      </c>
      <c r="H602" t="s">
        <v>52</v>
      </c>
      <c r="I602">
        <v>1</v>
      </c>
      <c r="J602" s="8">
        <v>31100</v>
      </c>
      <c r="K602">
        <v>0</v>
      </c>
      <c r="L602" t="s">
        <v>53</v>
      </c>
      <c r="M602" s="5">
        <f>Cleaned_Data[[#This Row],[Quantity]]*Cleaned_Data[[#This Row],[Unit_Price]]</f>
        <v>31100</v>
      </c>
      <c r="N602" s="7">
        <f>Cleaned_Data[[#This Row],[Total_sales]]*(Cleaned_Data[[#This Row],[Discount_Percent]]/100)</f>
        <v>0</v>
      </c>
      <c r="O602" s="7">
        <f>Cleaned_Data[[#This Row],[Total_sales]]-Cleaned_Data[[#This Row],[Discount_Amount]]</f>
        <v>31100</v>
      </c>
      <c r="P602" t="str">
        <f>TEXT(Cleaned_Data[[#This Row],[Order_Date]],"MMM-YYYY")</f>
        <v>Sep-2023</v>
      </c>
      <c r="Q602" t="str">
        <f>"Q"&amp;ROUNDUP(MONTH(Cleaned_Data[[#This Row],[Order_Date]])/3,0)&amp;"-2023"</f>
        <v>Q3-2023</v>
      </c>
      <c r="R602" t="str">
        <f>TEXT(Cleaned_Data[[#This Row],[Order_Date]],"DDD")</f>
        <v>Mon</v>
      </c>
      <c r="S602" t="str">
        <f>IF(Cleaned_Data[[#This Row],[Net_Sales]]&gt;=100000,"High",IF(Cleaned_Data[[#This Row],[Net_Sales]]&gt;=50000,"Medium","Low"))</f>
        <v>Low</v>
      </c>
    </row>
    <row r="603" spans="1:19" x14ac:dyDescent="0.3">
      <c r="A603" t="s">
        <v>751</v>
      </c>
      <c r="B603" s="1">
        <v>45187</v>
      </c>
      <c r="C603" t="s">
        <v>105</v>
      </c>
      <c r="D603" t="s">
        <v>106</v>
      </c>
      <c r="E603" t="s">
        <v>81</v>
      </c>
      <c r="F603" t="s">
        <v>117</v>
      </c>
      <c r="G603" t="s">
        <v>39</v>
      </c>
      <c r="H603" t="s">
        <v>102</v>
      </c>
      <c r="I603">
        <v>1</v>
      </c>
      <c r="J603" s="8">
        <v>22300</v>
      </c>
      <c r="K603">
        <v>20</v>
      </c>
      <c r="L603" t="s">
        <v>62</v>
      </c>
      <c r="M603" s="5">
        <f>Cleaned_Data[[#This Row],[Quantity]]*Cleaned_Data[[#This Row],[Unit_Price]]</f>
        <v>22300</v>
      </c>
      <c r="N603" s="7">
        <f>Cleaned_Data[[#This Row],[Total_sales]]*(Cleaned_Data[[#This Row],[Discount_Percent]]/100)</f>
        <v>4460</v>
      </c>
      <c r="O603" s="7">
        <f>Cleaned_Data[[#This Row],[Total_sales]]-Cleaned_Data[[#This Row],[Discount_Amount]]</f>
        <v>17840</v>
      </c>
      <c r="P603" t="str">
        <f>TEXT(Cleaned_Data[[#This Row],[Order_Date]],"MMM-YYYY")</f>
        <v>Sep-2023</v>
      </c>
      <c r="Q603" t="str">
        <f>"Q"&amp;ROUNDUP(MONTH(Cleaned_Data[[#This Row],[Order_Date]])/3,0)&amp;"-2023"</f>
        <v>Q3-2023</v>
      </c>
      <c r="R603" t="str">
        <f>TEXT(Cleaned_Data[[#This Row],[Order_Date]],"DDD")</f>
        <v>Mon</v>
      </c>
      <c r="S603" t="str">
        <f>IF(Cleaned_Data[[#This Row],[Net_Sales]]&gt;=100000,"High",IF(Cleaned_Data[[#This Row],[Net_Sales]]&gt;=50000,"Medium","Low"))</f>
        <v>Low</v>
      </c>
    </row>
    <row r="604" spans="1:19" x14ac:dyDescent="0.3">
      <c r="A604" t="s">
        <v>752</v>
      </c>
      <c r="B604" s="1">
        <v>45217</v>
      </c>
      <c r="C604" t="s">
        <v>42</v>
      </c>
      <c r="D604" t="s">
        <v>43</v>
      </c>
      <c r="E604" t="s">
        <v>66</v>
      </c>
      <c r="F604" t="s">
        <v>92</v>
      </c>
      <c r="G604" t="s">
        <v>25</v>
      </c>
      <c r="H604" t="s">
        <v>32</v>
      </c>
      <c r="I604">
        <v>1</v>
      </c>
      <c r="J604" s="8">
        <v>900</v>
      </c>
      <c r="K604">
        <v>0</v>
      </c>
      <c r="L604" t="s">
        <v>53</v>
      </c>
      <c r="M604" s="5">
        <f>Cleaned_Data[[#This Row],[Quantity]]*Cleaned_Data[[#This Row],[Unit_Price]]</f>
        <v>900</v>
      </c>
      <c r="N604" s="7">
        <f>Cleaned_Data[[#This Row],[Total_sales]]*(Cleaned_Data[[#This Row],[Discount_Percent]]/100)</f>
        <v>0</v>
      </c>
      <c r="O604" s="7">
        <f>Cleaned_Data[[#This Row],[Total_sales]]-Cleaned_Data[[#This Row],[Discount_Amount]]</f>
        <v>900</v>
      </c>
      <c r="P604" t="str">
        <f>TEXT(Cleaned_Data[[#This Row],[Order_Date]],"MMM-YYYY")</f>
        <v>Oct-2023</v>
      </c>
      <c r="Q604" t="str">
        <f>"Q"&amp;ROUNDUP(MONTH(Cleaned_Data[[#This Row],[Order_Date]])/3,0)&amp;"-2023"</f>
        <v>Q4-2023</v>
      </c>
      <c r="R604" t="str">
        <f>TEXT(Cleaned_Data[[#This Row],[Order_Date]],"DDD")</f>
        <v>Wed</v>
      </c>
      <c r="S604" t="str">
        <f>IF(Cleaned_Data[[#This Row],[Net_Sales]]&gt;=100000,"High",IF(Cleaned_Data[[#This Row],[Net_Sales]]&gt;=50000,"Medium","Low"))</f>
        <v>Low</v>
      </c>
    </row>
    <row r="605" spans="1:19" x14ac:dyDescent="0.3">
      <c r="A605" t="s">
        <v>753</v>
      </c>
      <c r="B605" s="1">
        <v>45248</v>
      </c>
      <c r="C605" t="s">
        <v>79</v>
      </c>
      <c r="D605" t="s">
        <v>80</v>
      </c>
      <c r="E605" t="s">
        <v>66</v>
      </c>
      <c r="F605" t="s">
        <v>72</v>
      </c>
      <c r="G605" t="s">
        <v>25</v>
      </c>
      <c r="H605" t="s">
        <v>26</v>
      </c>
      <c r="I605">
        <v>2</v>
      </c>
      <c r="J605" s="8">
        <v>2400</v>
      </c>
      <c r="K605">
        <v>0</v>
      </c>
      <c r="L605" t="s">
        <v>47</v>
      </c>
      <c r="M605" s="5">
        <f>Cleaned_Data[[#This Row],[Quantity]]*Cleaned_Data[[#This Row],[Unit_Price]]</f>
        <v>4800</v>
      </c>
      <c r="N605" s="7">
        <f>Cleaned_Data[[#This Row],[Total_sales]]*(Cleaned_Data[[#This Row],[Discount_Percent]]/100)</f>
        <v>0</v>
      </c>
      <c r="O605" s="7">
        <f>Cleaned_Data[[#This Row],[Total_sales]]-Cleaned_Data[[#This Row],[Discount_Amount]]</f>
        <v>4800</v>
      </c>
      <c r="P605" t="str">
        <f>TEXT(Cleaned_Data[[#This Row],[Order_Date]],"MMM-YYYY")</f>
        <v>Nov-2023</v>
      </c>
      <c r="Q605" t="str">
        <f>"Q"&amp;ROUNDUP(MONTH(Cleaned_Data[[#This Row],[Order_Date]])/3,0)&amp;"-2023"</f>
        <v>Q4-2023</v>
      </c>
      <c r="R605" t="str">
        <f>TEXT(Cleaned_Data[[#This Row],[Order_Date]],"DDD")</f>
        <v>Sat</v>
      </c>
      <c r="S605" t="str">
        <f>IF(Cleaned_Data[[#This Row],[Net_Sales]]&gt;=100000,"High",IF(Cleaned_Data[[#This Row],[Net_Sales]]&gt;=50000,"Medium","Low"))</f>
        <v>Low</v>
      </c>
    </row>
    <row r="606" spans="1:19" x14ac:dyDescent="0.3">
      <c r="A606" t="s">
        <v>754</v>
      </c>
      <c r="B606" s="1">
        <v>45248</v>
      </c>
      <c r="C606" t="s">
        <v>115</v>
      </c>
      <c r="D606" t="s">
        <v>116</v>
      </c>
      <c r="E606" t="s">
        <v>23</v>
      </c>
      <c r="F606" t="s">
        <v>44</v>
      </c>
      <c r="G606" t="s">
        <v>45</v>
      </c>
      <c r="H606" t="s">
        <v>207</v>
      </c>
      <c r="I606">
        <v>1</v>
      </c>
      <c r="J606" s="8">
        <v>49500</v>
      </c>
      <c r="K606">
        <v>5</v>
      </c>
      <c r="L606" t="s">
        <v>47</v>
      </c>
      <c r="M606" s="5">
        <f>Cleaned_Data[[#This Row],[Quantity]]*Cleaned_Data[[#This Row],[Unit_Price]]</f>
        <v>49500</v>
      </c>
      <c r="N606" s="7">
        <f>Cleaned_Data[[#This Row],[Total_sales]]*(Cleaned_Data[[#This Row],[Discount_Percent]]/100)</f>
        <v>2475</v>
      </c>
      <c r="O606" s="7">
        <f>Cleaned_Data[[#This Row],[Total_sales]]-Cleaned_Data[[#This Row],[Discount_Amount]]</f>
        <v>47025</v>
      </c>
      <c r="P606" t="str">
        <f>TEXT(Cleaned_Data[[#This Row],[Order_Date]],"MMM-YYYY")</f>
        <v>Nov-2023</v>
      </c>
      <c r="Q606" t="str">
        <f>"Q"&amp;ROUNDUP(MONTH(Cleaned_Data[[#This Row],[Order_Date]])/3,0)&amp;"-2023"</f>
        <v>Q4-2023</v>
      </c>
      <c r="R606" t="str">
        <f>TEXT(Cleaned_Data[[#This Row],[Order_Date]],"DDD")</f>
        <v>Sat</v>
      </c>
      <c r="S606" t="str">
        <f>IF(Cleaned_Data[[#This Row],[Net_Sales]]&gt;=100000,"High",IF(Cleaned_Data[[#This Row],[Net_Sales]]&gt;=50000,"Medium","Low"))</f>
        <v>Low</v>
      </c>
    </row>
    <row r="607" spans="1:19" x14ac:dyDescent="0.3">
      <c r="A607" t="s">
        <v>755</v>
      </c>
      <c r="B607" s="1">
        <v>45248</v>
      </c>
      <c r="C607" t="s">
        <v>180</v>
      </c>
      <c r="D607" t="s">
        <v>181</v>
      </c>
      <c r="E607" t="s">
        <v>37</v>
      </c>
      <c r="F607" t="s">
        <v>101</v>
      </c>
      <c r="G607" t="s">
        <v>97</v>
      </c>
      <c r="H607" t="s">
        <v>174</v>
      </c>
      <c r="I607">
        <v>1</v>
      </c>
      <c r="J607" s="8">
        <v>58400</v>
      </c>
      <c r="K607">
        <v>0</v>
      </c>
      <c r="L607" t="s">
        <v>103</v>
      </c>
      <c r="M607" s="5">
        <f>Cleaned_Data[[#This Row],[Quantity]]*Cleaned_Data[[#This Row],[Unit_Price]]</f>
        <v>58400</v>
      </c>
      <c r="N607" s="7">
        <f>Cleaned_Data[[#This Row],[Total_sales]]*(Cleaned_Data[[#This Row],[Discount_Percent]]/100)</f>
        <v>0</v>
      </c>
      <c r="O607" s="7">
        <f>Cleaned_Data[[#This Row],[Total_sales]]-Cleaned_Data[[#This Row],[Discount_Amount]]</f>
        <v>58400</v>
      </c>
      <c r="P607" t="str">
        <f>TEXT(Cleaned_Data[[#This Row],[Order_Date]],"MMM-YYYY")</f>
        <v>Nov-2023</v>
      </c>
      <c r="Q607" t="str">
        <f>"Q"&amp;ROUNDUP(MONTH(Cleaned_Data[[#This Row],[Order_Date]])/3,0)&amp;"-2023"</f>
        <v>Q4-2023</v>
      </c>
      <c r="R607" t="str">
        <f>TEXT(Cleaned_Data[[#This Row],[Order_Date]],"DDD")</f>
        <v>Sat</v>
      </c>
      <c r="S607" t="str">
        <f>IF(Cleaned_Data[[#This Row],[Net_Sales]]&gt;=100000,"High",IF(Cleaned_Data[[#This Row],[Net_Sales]]&gt;=50000,"Medium","Low"))</f>
        <v>Medium</v>
      </c>
    </row>
    <row r="608" spans="1:19" x14ac:dyDescent="0.3">
      <c r="A608" t="s">
        <v>756</v>
      </c>
      <c r="B608" s="1">
        <v>45248</v>
      </c>
      <c r="C608" t="s">
        <v>70</v>
      </c>
      <c r="D608" t="s">
        <v>71</v>
      </c>
      <c r="E608" t="s">
        <v>37</v>
      </c>
      <c r="F608" t="s">
        <v>101</v>
      </c>
      <c r="G608" t="s">
        <v>39</v>
      </c>
      <c r="H608" t="s">
        <v>57</v>
      </c>
      <c r="I608">
        <v>1</v>
      </c>
      <c r="J608" s="8">
        <v>33100</v>
      </c>
      <c r="K608">
        <v>20</v>
      </c>
      <c r="L608" t="s">
        <v>53</v>
      </c>
      <c r="M608" s="5">
        <f>Cleaned_Data[[#This Row],[Quantity]]*Cleaned_Data[[#This Row],[Unit_Price]]</f>
        <v>33100</v>
      </c>
      <c r="N608" s="7">
        <f>Cleaned_Data[[#This Row],[Total_sales]]*(Cleaned_Data[[#This Row],[Discount_Percent]]/100)</f>
        <v>6620</v>
      </c>
      <c r="O608" s="7">
        <f>Cleaned_Data[[#This Row],[Total_sales]]-Cleaned_Data[[#This Row],[Discount_Amount]]</f>
        <v>26480</v>
      </c>
      <c r="P608" t="str">
        <f>TEXT(Cleaned_Data[[#This Row],[Order_Date]],"MMM-YYYY")</f>
        <v>Nov-2023</v>
      </c>
      <c r="Q608" t="str">
        <f>"Q"&amp;ROUNDUP(MONTH(Cleaned_Data[[#This Row],[Order_Date]])/3,0)&amp;"-2023"</f>
        <v>Q4-2023</v>
      </c>
      <c r="R608" t="str">
        <f>TEXT(Cleaned_Data[[#This Row],[Order_Date]],"DDD")</f>
        <v>Sat</v>
      </c>
      <c r="S608" t="str">
        <f>IF(Cleaned_Data[[#This Row],[Net_Sales]]&gt;=100000,"High",IF(Cleaned_Data[[#This Row],[Net_Sales]]&gt;=50000,"Medium","Low"))</f>
        <v>Low</v>
      </c>
    </row>
    <row r="609" spans="1:19" x14ac:dyDescent="0.3">
      <c r="A609" t="s">
        <v>757</v>
      </c>
      <c r="B609" s="1">
        <v>45278</v>
      </c>
      <c r="C609" t="s">
        <v>250</v>
      </c>
      <c r="D609" t="s">
        <v>251</v>
      </c>
      <c r="E609" t="s">
        <v>37</v>
      </c>
      <c r="F609" t="s">
        <v>141</v>
      </c>
      <c r="G609" t="s">
        <v>25</v>
      </c>
      <c r="H609" t="s">
        <v>108</v>
      </c>
      <c r="I609">
        <v>3</v>
      </c>
      <c r="J609" s="8">
        <v>1200</v>
      </c>
      <c r="K609">
        <v>5</v>
      </c>
      <c r="L609" t="s">
        <v>19</v>
      </c>
      <c r="M609" s="5">
        <f>Cleaned_Data[[#This Row],[Quantity]]*Cleaned_Data[[#This Row],[Unit_Price]]</f>
        <v>3600</v>
      </c>
      <c r="N609" s="7">
        <f>Cleaned_Data[[#This Row],[Total_sales]]*(Cleaned_Data[[#This Row],[Discount_Percent]]/100)</f>
        <v>180</v>
      </c>
      <c r="O609" s="7">
        <f>Cleaned_Data[[#This Row],[Total_sales]]-Cleaned_Data[[#This Row],[Discount_Amount]]</f>
        <v>3420</v>
      </c>
      <c r="P609" t="str">
        <f>TEXT(Cleaned_Data[[#This Row],[Order_Date]],"MMM-YYYY")</f>
        <v>Dec-2023</v>
      </c>
      <c r="Q609" t="str">
        <f>"Q"&amp;ROUNDUP(MONTH(Cleaned_Data[[#This Row],[Order_Date]])/3,0)&amp;"-2023"</f>
        <v>Q4-2023</v>
      </c>
      <c r="R609" t="str">
        <f>TEXT(Cleaned_Data[[#This Row],[Order_Date]],"DDD")</f>
        <v>Mon</v>
      </c>
      <c r="S609" t="str">
        <f>IF(Cleaned_Data[[#This Row],[Net_Sales]]&gt;=100000,"High",IF(Cleaned_Data[[#This Row],[Net_Sales]]&gt;=50000,"Medium","Low"))</f>
        <v>Low</v>
      </c>
    </row>
    <row r="610" spans="1:19" x14ac:dyDescent="0.3">
      <c r="A610" t="s">
        <v>758</v>
      </c>
      <c r="B610" s="1">
        <v>45278</v>
      </c>
      <c r="C610" t="s">
        <v>130</v>
      </c>
      <c r="D610" t="s">
        <v>53</v>
      </c>
      <c r="E610" t="s">
        <v>81</v>
      </c>
      <c r="F610" t="s">
        <v>82</v>
      </c>
      <c r="G610" t="s">
        <v>17</v>
      </c>
      <c r="H610" t="s">
        <v>168</v>
      </c>
      <c r="I610">
        <v>1</v>
      </c>
      <c r="J610" s="8">
        <v>53800</v>
      </c>
      <c r="K610">
        <v>0</v>
      </c>
      <c r="L610" t="s">
        <v>33</v>
      </c>
      <c r="M610" s="5">
        <f>Cleaned_Data[[#This Row],[Quantity]]*Cleaned_Data[[#This Row],[Unit_Price]]</f>
        <v>53800</v>
      </c>
      <c r="N610" s="7">
        <f>Cleaned_Data[[#This Row],[Total_sales]]*(Cleaned_Data[[#This Row],[Discount_Percent]]/100)</f>
        <v>0</v>
      </c>
      <c r="O610" s="7">
        <f>Cleaned_Data[[#This Row],[Total_sales]]-Cleaned_Data[[#This Row],[Discount_Amount]]</f>
        <v>53800</v>
      </c>
      <c r="P610" t="str">
        <f>TEXT(Cleaned_Data[[#This Row],[Order_Date]],"MMM-YYYY")</f>
        <v>Dec-2023</v>
      </c>
      <c r="Q610" t="str">
        <f>"Q"&amp;ROUNDUP(MONTH(Cleaned_Data[[#This Row],[Order_Date]])/3,0)&amp;"-2023"</f>
        <v>Q4-2023</v>
      </c>
      <c r="R610" t="str">
        <f>TEXT(Cleaned_Data[[#This Row],[Order_Date]],"DDD")</f>
        <v>Mon</v>
      </c>
      <c r="S610" t="str">
        <f>IF(Cleaned_Data[[#This Row],[Net_Sales]]&gt;=100000,"High",IF(Cleaned_Data[[#This Row],[Net_Sales]]&gt;=50000,"Medium","Low"))</f>
        <v>Medium</v>
      </c>
    </row>
    <row r="611" spans="1:19" x14ac:dyDescent="0.3">
      <c r="A611" t="s">
        <v>759</v>
      </c>
      <c r="B611" s="1">
        <v>45278</v>
      </c>
      <c r="C611" t="s">
        <v>115</v>
      </c>
      <c r="D611" t="s">
        <v>116</v>
      </c>
      <c r="E611" t="s">
        <v>66</v>
      </c>
      <c r="F611" t="s">
        <v>87</v>
      </c>
      <c r="G611" t="s">
        <v>39</v>
      </c>
      <c r="H611" t="s">
        <v>68</v>
      </c>
      <c r="I611">
        <v>1</v>
      </c>
      <c r="J611" s="8">
        <v>25700</v>
      </c>
      <c r="K611">
        <v>5</v>
      </c>
      <c r="L611" t="s">
        <v>33</v>
      </c>
      <c r="M611" s="5">
        <f>Cleaned_Data[[#This Row],[Quantity]]*Cleaned_Data[[#This Row],[Unit_Price]]</f>
        <v>25700</v>
      </c>
      <c r="N611" s="7">
        <f>Cleaned_Data[[#This Row],[Total_sales]]*(Cleaned_Data[[#This Row],[Discount_Percent]]/100)</f>
        <v>1285</v>
      </c>
      <c r="O611" s="7">
        <f>Cleaned_Data[[#This Row],[Total_sales]]-Cleaned_Data[[#This Row],[Discount_Amount]]</f>
        <v>24415</v>
      </c>
      <c r="P611" t="str">
        <f>TEXT(Cleaned_Data[[#This Row],[Order_Date]],"MMM-YYYY")</f>
        <v>Dec-2023</v>
      </c>
      <c r="Q611" t="str">
        <f>"Q"&amp;ROUNDUP(MONTH(Cleaned_Data[[#This Row],[Order_Date]])/3,0)&amp;"-2023"</f>
        <v>Q4-2023</v>
      </c>
      <c r="R611" t="str">
        <f>TEXT(Cleaned_Data[[#This Row],[Order_Date]],"DDD")</f>
        <v>Mon</v>
      </c>
      <c r="S611" t="str">
        <f>IF(Cleaned_Data[[#This Row],[Net_Sales]]&gt;=100000,"High",IF(Cleaned_Data[[#This Row],[Net_Sales]]&gt;=50000,"Medium","Low"))</f>
        <v>Low</v>
      </c>
    </row>
    <row r="612" spans="1:19" x14ac:dyDescent="0.3">
      <c r="A612" t="s">
        <v>760</v>
      </c>
      <c r="B612" s="1">
        <v>44945</v>
      </c>
      <c r="C612" t="s">
        <v>130</v>
      </c>
      <c r="D612" t="s">
        <v>53</v>
      </c>
      <c r="E612" t="s">
        <v>37</v>
      </c>
      <c r="F612" t="s">
        <v>101</v>
      </c>
      <c r="G612" t="s">
        <v>39</v>
      </c>
      <c r="H612" t="s">
        <v>40</v>
      </c>
      <c r="I612">
        <v>1</v>
      </c>
      <c r="J612" s="8">
        <v>24900</v>
      </c>
      <c r="K612">
        <v>10</v>
      </c>
      <c r="L612" t="s">
        <v>103</v>
      </c>
      <c r="M612" s="5">
        <f>Cleaned_Data[[#This Row],[Quantity]]*Cleaned_Data[[#This Row],[Unit_Price]]</f>
        <v>24900</v>
      </c>
      <c r="N612" s="7">
        <f>Cleaned_Data[[#This Row],[Total_sales]]*(Cleaned_Data[[#This Row],[Discount_Percent]]/100)</f>
        <v>2490</v>
      </c>
      <c r="O612" s="7">
        <f>Cleaned_Data[[#This Row],[Total_sales]]-Cleaned_Data[[#This Row],[Discount_Amount]]</f>
        <v>22410</v>
      </c>
      <c r="P612" t="str">
        <f>TEXT(Cleaned_Data[[#This Row],[Order_Date]],"MMM-YYYY")</f>
        <v>Jan-2023</v>
      </c>
      <c r="Q612" t="str">
        <f>"Q"&amp;ROUNDUP(MONTH(Cleaned_Data[[#This Row],[Order_Date]])/3,0)&amp;"-2023"</f>
        <v>Q1-2023</v>
      </c>
      <c r="R612" t="str">
        <f>TEXT(Cleaned_Data[[#This Row],[Order_Date]],"DDD")</f>
        <v>Thu</v>
      </c>
      <c r="S612" t="str">
        <f>IF(Cleaned_Data[[#This Row],[Net_Sales]]&gt;=100000,"High",IF(Cleaned_Data[[#This Row],[Net_Sales]]&gt;=50000,"Medium","Low"))</f>
        <v>Low</v>
      </c>
    </row>
    <row r="613" spans="1:19" x14ac:dyDescent="0.3">
      <c r="A613" t="s">
        <v>761</v>
      </c>
      <c r="B613" s="1">
        <v>44945</v>
      </c>
      <c r="C613" t="s">
        <v>176</v>
      </c>
      <c r="D613" t="s">
        <v>177</v>
      </c>
      <c r="E613" t="s">
        <v>37</v>
      </c>
      <c r="F613" t="s">
        <v>141</v>
      </c>
      <c r="G613" t="s">
        <v>97</v>
      </c>
      <c r="H613" t="s">
        <v>133</v>
      </c>
      <c r="I613">
        <v>1</v>
      </c>
      <c r="J613" s="8">
        <v>53000</v>
      </c>
      <c r="K613">
        <v>25</v>
      </c>
      <c r="L613" t="s">
        <v>33</v>
      </c>
      <c r="M613" s="5">
        <f>Cleaned_Data[[#This Row],[Quantity]]*Cleaned_Data[[#This Row],[Unit_Price]]</f>
        <v>53000</v>
      </c>
      <c r="N613" s="7">
        <f>Cleaned_Data[[#This Row],[Total_sales]]*(Cleaned_Data[[#This Row],[Discount_Percent]]/100)</f>
        <v>13250</v>
      </c>
      <c r="O613" s="7">
        <f>Cleaned_Data[[#This Row],[Total_sales]]-Cleaned_Data[[#This Row],[Discount_Amount]]</f>
        <v>39750</v>
      </c>
      <c r="P613" t="str">
        <f>TEXT(Cleaned_Data[[#This Row],[Order_Date]],"MMM-YYYY")</f>
        <v>Jan-2023</v>
      </c>
      <c r="Q613" t="str">
        <f>"Q"&amp;ROUNDUP(MONTH(Cleaned_Data[[#This Row],[Order_Date]])/3,0)&amp;"-2023"</f>
        <v>Q1-2023</v>
      </c>
      <c r="R613" t="str">
        <f>TEXT(Cleaned_Data[[#This Row],[Order_Date]],"DDD")</f>
        <v>Thu</v>
      </c>
      <c r="S613" t="str">
        <f>IF(Cleaned_Data[[#This Row],[Net_Sales]]&gt;=100000,"High",IF(Cleaned_Data[[#This Row],[Net_Sales]]&gt;=50000,"Medium","Low"))</f>
        <v>Low</v>
      </c>
    </row>
    <row r="614" spans="1:19" x14ac:dyDescent="0.3">
      <c r="A614" t="s">
        <v>762</v>
      </c>
      <c r="B614" s="1">
        <v>44945</v>
      </c>
      <c r="C614" t="s">
        <v>70</v>
      </c>
      <c r="D614" t="s">
        <v>71</v>
      </c>
      <c r="E614" t="s">
        <v>81</v>
      </c>
      <c r="F614" t="s">
        <v>117</v>
      </c>
      <c r="G614" t="s">
        <v>97</v>
      </c>
      <c r="H614" t="s">
        <v>171</v>
      </c>
      <c r="I614">
        <v>1</v>
      </c>
      <c r="J614" s="8">
        <v>72900</v>
      </c>
      <c r="K614">
        <v>0</v>
      </c>
      <c r="L614" t="s">
        <v>47</v>
      </c>
      <c r="M614" s="5">
        <f>Cleaned_Data[[#This Row],[Quantity]]*Cleaned_Data[[#This Row],[Unit_Price]]</f>
        <v>72900</v>
      </c>
      <c r="N614" s="7">
        <f>Cleaned_Data[[#This Row],[Total_sales]]*(Cleaned_Data[[#This Row],[Discount_Percent]]/100)</f>
        <v>0</v>
      </c>
      <c r="O614" s="7">
        <f>Cleaned_Data[[#This Row],[Total_sales]]-Cleaned_Data[[#This Row],[Discount_Amount]]</f>
        <v>72900</v>
      </c>
      <c r="P614" t="str">
        <f>TEXT(Cleaned_Data[[#This Row],[Order_Date]],"MMM-YYYY")</f>
        <v>Jan-2023</v>
      </c>
      <c r="Q614" t="str">
        <f>"Q"&amp;ROUNDUP(MONTH(Cleaned_Data[[#This Row],[Order_Date]])/3,0)&amp;"-2023"</f>
        <v>Q1-2023</v>
      </c>
      <c r="R614" t="str">
        <f>TEXT(Cleaned_Data[[#This Row],[Order_Date]],"DDD")</f>
        <v>Thu</v>
      </c>
      <c r="S614" t="str">
        <f>IF(Cleaned_Data[[#This Row],[Net_Sales]]&gt;=100000,"High",IF(Cleaned_Data[[#This Row],[Net_Sales]]&gt;=50000,"Medium","Low"))</f>
        <v>Medium</v>
      </c>
    </row>
    <row r="615" spans="1:19" x14ac:dyDescent="0.3">
      <c r="A615" t="s">
        <v>763</v>
      </c>
      <c r="B615" s="1">
        <v>44976</v>
      </c>
      <c r="C615" t="s">
        <v>244</v>
      </c>
      <c r="D615" t="s">
        <v>245</v>
      </c>
      <c r="E615" t="s">
        <v>37</v>
      </c>
      <c r="F615" t="s">
        <v>101</v>
      </c>
      <c r="G615" t="s">
        <v>45</v>
      </c>
      <c r="H615" t="s">
        <v>52</v>
      </c>
      <c r="I615">
        <v>1</v>
      </c>
      <c r="J615" s="8">
        <v>46800</v>
      </c>
      <c r="K615">
        <v>5</v>
      </c>
      <c r="L615" t="s">
        <v>53</v>
      </c>
      <c r="M615" s="5">
        <f>Cleaned_Data[[#This Row],[Quantity]]*Cleaned_Data[[#This Row],[Unit_Price]]</f>
        <v>46800</v>
      </c>
      <c r="N615" s="7">
        <f>Cleaned_Data[[#This Row],[Total_sales]]*(Cleaned_Data[[#This Row],[Discount_Percent]]/100)</f>
        <v>2340</v>
      </c>
      <c r="O615" s="7">
        <f>Cleaned_Data[[#This Row],[Total_sales]]-Cleaned_Data[[#This Row],[Discount_Amount]]</f>
        <v>44460</v>
      </c>
      <c r="P615" t="str">
        <f>TEXT(Cleaned_Data[[#This Row],[Order_Date]],"MMM-YYYY")</f>
        <v>Feb-2023</v>
      </c>
      <c r="Q615" t="str">
        <f>"Q"&amp;ROUNDUP(MONTH(Cleaned_Data[[#This Row],[Order_Date]])/3,0)&amp;"-2023"</f>
        <v>Q1-2023</v>
      </c>
      <c r="R615" t="str">
        <f>TEXT(Cleaned_Data[[#This Row],[Order_Date]],"DDD")</f>
        <v>Sun</v>
      </c>
      <c r="S615" t="str">
        <f>IF(Cleaned_Data[[#This Row],[Net_Sales]]&gt;=100000,"High",IF(Cleaned_Data[[#This Row],[Net_Sales]]&gt;=50000,"Medium","Low"))</f>
        <v>Low</v>
      </c>
    </row>
    <row r="616" spans="1:19" x14ac:dyDescent="0.3">
      <c r="A616" t="s">
        <v>764</v>
      </c>
      <c r="B616" s="1">
        <v>45004</v>
      </c>
      <c r="C616" t="s">
        <v>122</v>
      </c>
      <c r="D616" t="s">
        <v>123</v>
      </c>
      <c r="E616" t="s">
        <v>23</v>
      </c>
      <c r="F616" t="s">
        <v>44</v>
      </c>
      <c r="G616" t="s">
        <v>17</v>
      </c>
      <c r="H616" t="s">
        <v>168</v>
      </c>
      <c r="I616">
        <v>1</v>
      </c>
      <c r="J616" s="8">
        <v>46900</v>
      </c>
      <c r="K616">
        <v>10</v>
      </c>
      <c r="L616" t="s">
        <v>73</v>
      </c>
      <c r="M616" s="5">
        <f>Cleaned_Data[[#This Row],[Quantity]]*Cleaned_Data[[#This Row],[Unit_Price]]</f>
        <v>46900</v>
      </c>
      <c r="N616" s="7">
        <f>Cleaned_Data[[#This Row],[Total_sales]]*(Cleaned_Data[[#This Row],[Discount_Percent]]/100)</f>
        <v>4690</v>
      </c>
      <c r="O616" s="7">
        <f>Cleaned_Data[[#This Row],[Total_sales]]-Cleaned_Data[[#This Row],[Discount_Amount]]</f>
        <v>42210</v>
      </c>
      <c r="P616" t="str">
        <f>TEXT(Cleaned_Data[[#This Row],[Order_Date]],"MMM-YYYY")</f>
        <v>Mar-2023</v>
      </c>
      <c r="Q616" t="str">
        <f>"Q"&amp;ROUNDUP(MONTH(Cleaned_Data[[#This Row],[Order_Date]])/3,0)&amp;"-2023"</f>
        <v>Q1-2023</v>
      </c>
      <c r="R616" t="str">
        <f>TEXT(Cleaned_Data[[#This Row],[Order_Date]],"DDD")</f>
        <v>Sun</v>
      </c>
      <c r="S616" t="str">
        <f>IF(Cleaned_Data[[#This Row],[Net_Sales]]&gt;=100000,"High",IF(Cleaned_Data[[#This Row],[Net_Sales]]&gt;=50000,"Medium","Low"))</f>
        <v>Low</v>
      </c>
    </row>
    <row r="617" spans="1:19" x14ac:dyDescent="0.3">
      <c r="A617" t="s">
        <v>765</v>
      </c>
      <c r="B617" s="1">
        <v>45004</v>
      </c>
      <c r="C617" t="s">
        <v>55</v>
      </c>
      <c r="D617" t="s">
        <v>56</v>
      </c>
      <c r="E617" t="s">
        <v>37</v>
      </c>
      <c r="F617" t="s">
        <v>38</v>
      </c>
      <c r="G617" t="s">
        <v>45</v>
      </c>
      <c r="H617" t="s">
        <v>156</v>
      </c>
      <c r="I617">
        <v>1</v>
      </c>
      <c r="J617" s="8">
        <v>48500</v>
      </c>
      <c r="K617">
        <v>25</v>
      </c>
      <c r="L617" t="s">
        <v>62</v>
      </c>
      <c r="M617" s="5">
        <f>Cleaned_Data[[#This Row],[Quantity]]*Cleaned_Data[[#This Row],[Unit_Price]]</f>
        <v>48500</v>
      </c>
      <c r="N617" s="7">
        <f>Cleaned_Data[[#This Row],[Total_sales]]*(Cleaned_Data[[#This Row],[Discount_Percent]]/100)</f>
        <v>12125</v>
      </c>
      <c r="O617" s="7">
        <f>Cleaned_Data[[#This Row],[Total_sales]]-Cleaned_Data[[#This Row],[Discount_Amount]]</f>
        <v>36375</v>
      </c>
      <c r="P617" t="str">
        <f>TEXT(Cleaned_Data[[#This Row],[Order_Date]],"MMM-YYYY")</f>
        <v>Mar-2023</v>
      </c>
      <c r="Q617" t="str">
        <f>"Q"&amp;ROUNDUP(MONTH(Cleaned_Data[[#This Row],[Order_Date]])/3,0)&amp;"-2023"</f>
        <v>Q1-2023</v>
      </c>
      <c r="R617" t="str">
        <f>TEXT(Cleaned_Data[[#This Row],[Order_Date]],"DDD")</f>
        <v>Sun</v>
      </c>
      <c r="S617" t="str">
        <f>IF(Cleaned_Data[[#This Row],[Net_Sales]]&gt;=100000,"High",IF(Cleaned_Data[[#This Row],[Net_Sales]]&gt;=50000,"Medium","Low"))</f>
        <v>Low</v>
      </c>
    </row>
    <row r="618" spans="1:19" x14ac:dyDescent="0.3">
      <c r="A618" t="s">
        <v>766</v>
      </c>
      <c r="B618" s="1">
        <v>45004</v>
      </c>
      <c r="C618" t="s">
        <v>151</v>
      </c>
      <c r="D618" t="s">
        <v>152</v>
      </c>
      <c r="E618" t="s">
        <v>23</v>
      </c>
      <c r="F618" t="s">
        <v>44</v>
      </c>
      <c r="G618" t="s">
        <v>97</v>
      </c>
      <c r="H618" t="s">
        <v>171</v>
      </c>
      <c r="I618">
        <v>1</v>
      </c>
      <c r="J618" s="8">
        <v>52100</v>
      </c>
      <c r="K618">
        <v>20</v>
      </c>
      <c r="L618" t="s">
        <v>103</v>
      </c>
      <c r="M618" s="5">
        <f>Cleaned_Data[[#This Row],[Quantity]]*Cleaned_Data[[#This Row],[Unit_Price]]</f>
        <v>52100</v>
      </c>
      <c r="N618" s="7">
        <f>Cleaned_Data[[#This Row],[Total_sales]]*(Cleaned_Data[[#This Row],[Discount_Percent]]/100)</f>
        <v>10420</v>
      </c>
      <c r="O618" s="7">
        <f>Cleaned_Data[[#This Row],[Total_sales]]-Cleaned_Data[[#This Row],[Discount_Amount]]</f>
        <v>41680</v>
      </c>
      <c r="P618" t="str">
        <f>TEXT(Cleaned_Data[[#This Row],[Order_Date]],"MMM-YYYY")</f>
        <v>Mar-2023</v>
      </c>
      <c r="Q618" t="str">
        <f>"Q"&amp;ROUNDUP(MONTH(Cleaned_Data[[#This Row],[Order_Date]])/3,0)&amp;"-2023"</f>
        <v>Q1-2023</v>
      </c>
      <c r="R618" t="str">
        <f>TEXT(Cleaned_Data[[#This Row],[Order_Date]],"DDD")</f>
        <v>Sun</v>
      </c>
      <c r="S618" t="str">
        <f>IF(Cleaned_Data[[#This Row],[Net_Sales]]&gt;=100000,"High",IF(Cleaned_Data[[#This Row],[Net_Sales]]&gt;=50000,"Medium","Low"))</f>
        <v>Low</v>
      </c>
    </row>
    <row r="619" spans="1:19" x14ac:dyDescent="0.3">
      <c r="A619" t="s">
        <v>767</v>
      </c>
      <c r="B619" s="1">
        <v>45035</v>
      </c>
      <c r="C619" t="s">
        <v>90</v>
      </c>
      <c r="D619" t="s">
        <v>91</v>
      </c>
      <c r="E619" t="s">
        <v>15</v>
      </c>
      <c r="F619" t="s">
        <v>119</v>
      </c>
      <c r="G619" t="s">
        <v>39</v>
      </c>
      <c r="H619" t="s">
        <v>57</v>
      </c>
      <c r="I619">
        <v>1</v>
      </c>
      <c r="J619" s="8">
        <v>28900</v>
      </c>
      <c r="K619">
        <v>25</v>
      </c>
      <c r="L619" t="s">
        <v>19</v>
      </c>
      <c r="M619" s="5">
        <f>Cleaned_Data[[#This Row],[Quantity]]*Cleaned_Data[[#This Row],[Unit_Price]]</f>
        <v>28900</v>
      </c>
      <c r="N619" s="7">
        <f>Cleaned_Data[[#This Row],[Total_sales]]*(Cleaned_Data[[#This Row],[Discount_Percent]]/100)</f>
        <v>7225</v>
      </c>
      <c r="O619" s="7">
        <f>Cleaned_Data[[#This Row],[Total_sales]]-Cleaned_Data[[#This Row],[Discount_Amount]]</f>
        <v>21675</v>
      </c>
      <c r="P619" t="str">
        <f>TEXT(Cleaned_Data[[#This Row],[Order_Date]],"MMM-YYYY")</f>
        <v>Apr-2023</v>
      </c>
      <c r="Q619" t="str">
        <f>"Q"&amp;ROUNDUP(MONTH(Cleaned_Data[[#This Row],[Order_Date]])/3,0)&amp;"-2023"</f>
        <v>Q2-2023</v>
      </c>
      <c r="R619" t="str">
        <f>TEXT(Cleaned_Data[[#This Row],[Order_Date]],"DDD")</f>
        <v>Wed</v>
      </c>
      <c r="S619" t="str">
        <f>IF(Cleaned_Data[[#This Row],[Net_Sales]]&gt;=100000,"High",IF(Cleaned_Data[[#This Row],[Net_Sales]]&gt;=50000,"Medium","Low"))</f>
        <v>Low</v>
      </c>
    </row>
    <row r="620" spans="1:19" x14ac:dyDescent="0.3">
      <c r="A620" t="s">
        <v>768</v>
      </c>
      <c r="B620" s="1">
        <v>45065</v>
      </c>
      <c r="C620" t="s">
        <v>13</v>
      </c>
      <c r="D620" t="s">
        <v>14</v>
      </c>
      <c r="E620" t="s">
        <v>23</v>
      </c>
      <c r="F620" t="s">
        <v>31</v>
      </c>
      <c r="G620" t="s">
        <v>97</v>
      </c>
      <c r="H620" t="s">
        <v>154</v>
      </c>
      <c r="I620">
        <v>1</v>
      </c>
      <c r="J620" s="8">
        <v>57800</v>
      </c>
      <c r="K620">
        <v>0</v>
      </c>
      <c r="L620" t="s">
        <v>33</v>
      </c>
      <c r="M620" s="5">
        <f>Cleaned_Data[[#This Row],[Quantity]]*Cleaned_Data[[#This Row],[Unit_Price]]</f>
        <v>57800</v>
      </c>
      <c r="N620" s="7">
        <f>Cleaned_Data[[#This Row],[Total_sales]]*(Cleaned_Data[[#This Row],[Discount_Percent]]/100)</f>
        <v>0</v>
      </c>
      <c r="O620" s="7">
        <f>Cleaned_Data[[#This Row],[Total_sales]]-Cleaned_Data[[#This Row],[Discount_Amount]]</f>
        <v>57800</v>
      </c>
      <c r="P620" t="str">
        <f>TEXT(Cleaned_Data[[#This Row],[Order_Date]],"MMM-YYYY")</f>
        <v>May-2023</v>
      </c>
      <c r="Q620" t="str">
        <f>"Q"&amp;ROUNDUP(MONTH(Cleaned_Data[[#This Row],[Order_Date]])/3,0)&amp;"-2023"</f>
        <v>Q2-2023</v>
      </c>
      <c r="R620" t="str">
        <f>TEXT(Cleaned_Data[[#This Row],[Order_Date]],"DDD")</f>
        <v>Fri</v>
      </c>
      <c r="S620" t="str">
        <f>IF(Cleaned_Data[[#This Row],[Net_Sales]]&gt;=100000,"High",IF(Cleaned_Data[[#This Row],[Net_Sales]]&gt;=50000,"Medium","Low"))</f>
        <v>Medium</v>
      </c>
    </row>
    <row r="621" spans="1:19" x14ac:dyDescent="0.3">
      <c r="A621" t="s">
        <v>769</v>
      </c>
      <c r="B621" s="1">
        <v>45065</v>
      </c>
      <c r="C621" t="s">
        <v>70</v>
      </c>
      <c r="D621" t="s">
        <v>71</v>
      </c>
      <c r="E621" t="s">
        <v>23</v>
      </c>
      <c r="F621" t="s">
        <v>24</v>
      </c>
      <c r="G621" t="s">
        <v>45</v>
      </c>
      <c r="H621" t="s">
        <v>207</v>
      </c>
      <c r="I621">
        <v>1</v>
      </c>
      <c r="J621" s="8">
        <v>22600</v>
      </c>
      <c r="K621">
        <v>0</v>
      </c>
      <c r="L621" t="s">
        <v>103</v>
      </c>
      <c r="M621" s="5">
        <f>Cleaned_Data[[#This Row],[Quantity]]*Cleaned_Data[[#This Row],[Unit_Price]]</f>
        <v>22600</v>
      </c>
      <c r="N621" s="7">
        <f>Cleaned_Data[[#This Row],[Total_sales]]*(Cleaned_Data[[#This Row],[Discount_Percent]]/100)</f>
        <v>0</v>
      </c>
      <c r="O621" s="7">
        <f>Cleaned_Data[[#This Row],[Total_sales]]-Cleaned_Data[[#This Row],[Discount_Amount]]</f>
        <v>22600</v>
      </c>
      <c r="P621" t="str">
        <f>TEXT(Cleaned_Data[[#This Row],[Order_Date]],"MMM-YYYY")</f>
        <v>May-2023</v>
      </c>
      <c r="Q621" t="str">
        <f>"Q"&amp;ROUNDUP(MONTH(Cleaned_Data[[#This Row],[Order_Date]])/3,0)&amp;"-2023"</f>
        <v>Q2-2023</v>
      </c>
      <c r="R621" t="str">
        <f>TEXT(Cleaned_Data[[#This Row],[Order_Date]],"DDD")</f>
        <v>Fri</v>
      </c>
      <c r="S621" t="str">
        <f>IF(Cleaned_Data[[#This Row],[Net_Sales]]&gt;=100000,"High",IF(Cleaned_Data[[#This Row],[Net_Sales]]&gt;=50000,"Medium","Low"))</f>
        <v>Low</v>
      </c>
    </row>
    <row r="622" spans="1:19" x14ac:dyDescent="0.3">
      <c r="A622" t="s">
        <v>770</v>
      </c>
      <c r="B622" s="1">
        <v>45096</v>
      </c>
      <c r="C622" t="s">
        <v>203</v>
      </c>
      <c r="D622" t="s">
        <v>204</v>
      </c>
      <c r="E622" t="s">
        <v>81</v>
      </c>
      <c r="F622" t="s">
        <v>160</v>
      </c>
      <c r="G622" t="s">
        <v>17</v>
      </c>
      <c r="H622" t="s">
        <v>18</v>
      </c>
      <c r="I622">
        <v>1</v>
      </c>
      <c r="J622" s="8">
        <v>33600</v>
      </c>
      <c r="K622">
        <v>20</v>
      </c>
      <c r="L622" t="s">
        <v>103</v>
      </c>
      <c r="M622" s="5">
        <f>Cleaned_Data[[#This Row],[Quantity]]*Cleaned_Data[[#This Row],[Unit_Price]]</f>
        <v>33600</v>
      </c>
      <c r="N622" s="7">
        <f>Cleaned_Data[[#This Row],[Total_sales]]*(Cleaned_Data[[#This Row],[Discount_Percent]]/100)</f>
        <v>6720</v>
      </c>
      <c r="O622" s="7">
        <f>Cleaned_Data[[#This Row],[Total_sales]]-Cleaned_Data[[#This Row],[Discount_Amount]]</f>
        <v>26880</v>
      </c>
      <c r="P622" t="str">
        <f>TEXT(Cleaned_Data[[#This Row],[Order_Date]],"MMM-YYYY")</f>
        <v>Jun-2023</v>
      </c>
      <c r="Q622" t="str">
        <f>"Q"&amp;ROUNDUP(MONTH(Cleaned_Data[[#This Row],[Order_Date]])/3,0)&amp;"-2023"</f>
        <v>Q2-2023</v>
      </c>
      <c r="R622" t="str">
        <f>TEXT(Cleaned_Data[[#This Row],[Order_Date]],"DDD")</f>
        <v>Mon</v>
      </c>
      <c r="S622" t="str">
        <f>IF(Cleaned_Data[[#This Row],[Net_Sales]]&gt;=100000,"High",IF(Cleaned_Data[[#This Row],[Net_Sales]]&gt;=50000,"Medium","Low"))</f>
        <v>Low</v>
      </c>
    </row>
    <row r="623" spans="1:19" x14ac:dyDescent="0.3">
      <c r="A623" t="s">
        <v>771</v>
      </c>
      <c r="B623" s="1">
        <v>45096</v>
      </c>
      <c r="C623" t="s">
        <v>84</v>
      </c>
      <c r="D623" t="s">
        <v>85</v>
      </c>
      <c r="E623" t="s">
        <v>23</v>
      </c>
      <c r="F623" t="s">
        <v>44</v>
      </c>
      <c r="G623" t="s">
        <v>39</v>
      </c>
      <c r="H623" t="s">
        <v>40</v>
      </c>
      <c r="I623">
        <v>1</v>
      </c>
      <c r="J623" s="8">
        <v>17100</v>
      </c>
      <c r="K623">
        <v>0</v>
      </c>
      <c r="L623" t="s">
        <v>73</v>
      </c>
      <c r="M623" s="5">
        <f>Cleaned_Data[[#This Row],[Quantity]]*Cleaned_Data[[#This Row],[Unit_Price]]</f>
        <v>17100</v>
      </c>
      <c r="N623" s="7">
        <f>Cleaned_Data[[#This Row],[Total_sales]]*(Cleaned_Data[[#This Row],[Discount_Percent]]/100)</f>
        <v>0</v>
      </c>
      <c r="O623" s="7">
        <f>Cleaned_Data[[#This Row],[Total_sales]]-Cleaned_Data[[#This Row],[Discount_Amount]]</f>
        <v>17100</v>
      </c>
      <c r="P623" t="str">
        <f>TEXT(Cleaned_Data[[#This Row],[Order_Date]],"MMM-YYYY")</f>
        <v>Jun-2023</v>
      </c>
      <c r="Q623" t="str">
        <f>"Q"&amp;ROUNDUP(MONTH(Cleaned_Data[[#This Row],[Order_Date]])/3,0)&amp;"-2023"</f>
        <v>Q2-2023</v>
      </c>
      <c r="R623" t="str">
        <f>TEXT(Cleaned_Data[[#This Row],[Order_Date]],"DDD")</f>
        <v>Mon</v>
      </c>
      <c r="S623" t="str">
        <f>IF(Cleaned_Data[[#This Row],[Net_Sales]]&gt;=100000,"High",IF(Cleaned_Data[[#This Row],[Net_Sales]]&gt;=50000,"Medium","Low"))</f>
        <v>Low</v>
      </c>
    </row>
    <row r="624" spans="1:19" x14ac:dyDescent="0.3">
      <c r="A624" t="s">
        <v>772</v>
      </c>
      <c r="B624" s="1">
        <v>45126</v>
      </c>
      <c r="C624" t="s">
        <v>284</v>
      </c>
      <c r="D624" t="s">
        <v>285</v>
      </c>
      <c r="E624" t="s">
        <v>66</v>
      </c>
      <c r="F624" t="s">
        <v>67</v>
      </c>
      <c r="G624" t="s">
        <v>39</v>
      </c>
      <c r="H624" t="s">
        <v>68</v>
      </c>
      <c r="I624">
        <v>1</v>
      </c>
      <c r="J624" s="8">
        <v>24300</v>
      </c>
      <c r="K624">
        <v>20</v>
      </c>
      <c r="L624" t="s">
        <v>73</v>
      </c>
      <c r="M624" s="5">
        <f>Cleaned_Data[[#This Row],[Quantity]]*Cleaned_Data[[#This Row],[Unit_Price]]</f>
        <v>24300</v>
      </c>
      <c r="N624" s="7">
        <f>Cleaned_Data[[#This Row],[Total_sales]]*(Cleaned_Data[[#This Row],[Discount_Percent]]/100)</f>
        <v>4860</v>
      </c>
      <c r="O624" s="7">
        <f>Cleaned_Data[[#This Row],[Total_sales]]-Cleaned_Data[[#This Row],[Discount_Amount]]</f>
        <v>19440</v>
      </c>
      <c r="P624" t="str">
        <f>TEXT(Cleaned_Data[[#This Row],[Order_Date]],"MMM-YYYY")</f>
        <v>Jul-2023</v>
      </c>
      <c r="Q624" t="str">
        <f>"Q"&amp;ROUNDUP(MONTH(Cleaned_Data[[#This Row],[Order_Date]])/3,0)&amp;"-2023"</f>
        <v>Q3-2023</v>
      </c>
      <c r="R624" t="str">
        <f>TEXT(Cleaned_Data[[#This Row],[Order_Date]],"DDD")</f>
        <v>Wed</v>
      </c>
      <c r="S624" t="str">
        <f>IF(Cleaned_Data[[#This Row],[Net_Sales]]&gt;=100000,"High",IF(Cleaned_Data[[#This Row],[Net_Sales]]&gt;=50000,"Medium","Low"))</f>
        <v>Low</v>
      </c>
    </row>
    <row r="625" spans="1:19" x14ac:dyDescent="0.3">
      <c r="A625" t="s">
        <v>773</v>
      </c>
      <c r="B625" s="1">
        <v>45126</v>
      </c>
      <c r="C625" t="s">
        <v>122</v>
      </c>
      <c r="D625" t="s">
        <v>123</v>
      </c>
      <c r="E625" t="s">
        <v>15</v>
      </c>
      <c r="F625" t="s">
        <v>119</v>
      </c>
      <c r="G625" t="s">
        <v>17</v>
      </c>
      <c r="H625" t="s">
        <v>196</v>
      </c>
      <c r="I625">
        <v>1</v>
      </c>
      <c r="J625" s="8">
        <v>15000</v>
      </c>
      <c r="K625">
        <v>10</v>
      </c>
      <c r="L625" t="s">
        <v>47</v>
      </c>
      <c r="M625" s="5">
        <f>Cleaned_Data[[#This Row],[Quantity]]*Cleaned_Data[[#This Row],[Unit_Price]]</f>
        <v>15000</v>
      </c>
      <c r="N625" s="7">
        <f>Cleaned_Data[[#This Row],[Total_sales]]*(Cleaned_Data[[#This Row],[Discount_Percent]]/100)</f>
        <v>1500</v>
      </c>
      <c r="O625" s="7">
        <f>Cleaned_Data[[#This Row],[Total_sales]]-Cleaned_Data[[#This Row],[Discount_Amount]]</f>
        <v>13500</v>
      </c>
      <c r="P625" t="str">
        <f>TEXT(Cleaned_Data[[#This Row],[Order_Date]],"MMM-YYYY")</f>
        <v>Jul-2023</v>
      </c>
      <c r="Q625" t="str">
        <f>"Q"&amp;ROUNDUP(MONTH(Cleaned_Data[[#This Row],[Order_Date]])/3,0)&amp;"-2023"</f>
        <v>Q3-2023</v>
      </c>
      <c r="R625" t="str">
        <f>TEXT(Cleaned_Data[[#This Row],[Order_Date]],"DDD")</f>
        <v>Wed</v>
      </c>
      <c r="S625" t="str">
        <f>IF(Cleaned_Data[[#This Row],[Net_Sales]]&gt;=100000,"High",IF(Cleaned_Data[[#This Row],[Net_Sales]]&gt;=50000,"Medium","Low"))</f>
        <v>Low</v>
      </c>
    </row>
    <row r="626" spans="1:19" x14ac:dyDescent="0.3">
      <c r="A626" t="s">
        <v>774</v>
      </c>
      <c r="B626" s="1">
        <v>45157</v>
      </c>
      <c r="C626" t="s">
        <v>55</v>
      </c>
      <c r="D626" t="s">
        <v>56</v>
      </c>
      <c r="E626" t="s">
        <v>23</v>
      </c>
      <c r="F626" t="s">
        <v>51</v>
      </c>
      <c r="G626" t="s">
        <v>25</v>
      </c>
      <c r="H626" t="s">
        <v>108</v>
      </c>
      <c r="I626">
        <v>2</v>
      </c>
      <c r="J626" s="8">
        <v>2200</v>
      </c>
      <c r="K626">
        <v>5</v>
      </c>
      <c r="L626" t="s">
        <v>19</v>
      </c>
      <c r="M626" s="5">
        <f>Cleaned_Data[[#This Row],[Quantity]]*Cleaned_Data[[#This Row],[Unit_Price]]</f>
        <v>4400</v>
      </c>
      <c r="N626" s="7">
        <f>Cleaned_Data[[#This Row],[Total_sales]]*(Cleaned_Data[[#This Row],[Discount_Percent]]/100)</f>
        <v>220</v>
      </c>
      <c r="O626" s="7">
        <f>Cleaned_Data[[#This Row],[Total_sales]]-Cleaned_Data[[#This Row],[Discount_Amount]]</f>
        <v>4180</v>
      </c>
      <c r="P626" t="str">
        <f>TEXT(Cleaned_Data[[#This Row],[Order_Date]],"MMM-YYYY")</f>
        <v>Aug-2023</v>
      </c>
      <c r="Q626" t="str">
        <f>"Q"&amp;ROUNDUP(MONTH(Cleaned_Data[[#This Row],[Order_Date]])/3,0)&amp;"-2023"</f>
        <v>Q3-2023</v>
      </c>
      <c r="R626" t="str">
        <f>TEXT(Cleaned_Data[[#This Row],[Order_Date]],"DDD")</f>
        <v>Sat</v>
      </c>
      <c r="S626" t="str">
        <f>IF(Cleaned_Data[[#This Row],[Net_Sales]]&gt;=100000,"High",IF(Cleaned_Data[[#This Row],[Net_Sales]]&gt;=50000,"Medium","Low"))</f>
        <v>Low</v>
      </c>
    </row>
    <row r="627" spans="1:19" x14ac:dyDescent="0.3">
      <c r="A627" t="s">
        <v>775</v>
      </c>
      <c r="B627" s="1">
        <v>45157</v>
      </c>
      <c r="C627" t="s">
        <v>49</v>
      </c>
      <c r="D627" t="s">
        <v>50</v>
      </c>
      <c r="E627" t="s">
        <v>15</v>
      </c>
      <c r="F627" t="s">
        <v>119</v>
      </c>
      <c r="G627" t="s">
        <v>25</v>
      </c>
      <c r="H627" t="s">
        <v>26</v>
      </c>
      <c r="I627">
        <v>2</v>
      </c>
      <c r="J627" s="8">
        <v>1600</v>
      </c>
      <c r="K627">
        <v>5</v>
      </c>
      <c r="L627" t="s">
        <v>47</v>
      </c>
      <c r="M627" s="5">
        <f>Cleaned_Data[[#This Row],[Quantity]]*Cleaned_Data[[#This Row],[Unit_Price]]</f>
        <v>3200</v>
      </c>
      <c r="N627" s="7">
        <f>Cleaned_Data[[#This Row],[Total_sales]]*(Cleaned_Data[[#This Row],[Discount_Percent]]/100)</f>
        <v>160</v>
      </c>
      <c r="O627" s="7">
        <f>Cleaned_Data[[#This Row],[Total_sales]]-Cleaned_Data[[#This Row],[Discount_Amount]]</f>
        <v>3040</v>
      </c>
      <c r="P627" t="str">
        <f>TEXT(Cleaned_Data[[#This Row],[Order_Date]],"MMM-YYYY")</f>
        <v>Aug-2023</v>
      </c>
      <c r="Q627" t="str">
        <f>"Q"&amp;ROUNDUP(MONTH(Cleaned_Data[[#This Row],[Order_Date]])/3,0)&amp;"-2023"</f>
        <v>Q3-2023</v>
      </c>
      <c r="R627" t="str">
        <f>TEXT(Cleaned_Data[[#This Row],[Order_Date]],"DDD")</f>
        <v>Sat</v>
      </c>
      <c r="S627" t="str">
        <f>IF(Cleaned_Data[[#This Row],[Net_Sales]]&gt;=100000,"High",IF(Cleaned_Data[[#This Row],[Net_Sales]]&gt;=50000,"Medium","Low"))</f>
        <v>Low</v>
      </c>
    </row>
    <row r="628" spans="1:19" x14ac:dyDescent="0.3">
      <c r="A628" t="s">
        <v>776</v>
      </c>
      <c r="B628" s="1">
        <v>45157</v>
      </c>
      <c r="C628" t="s">
        <v>176</v>
      </c>
      <c r="D628" t="s">
        <v>177</v>
      </c>
      <c r="E628" t="s">
        <v>23</v>
      </c>
      <c r="F628" t="s">
        <v>31</v>
      </c>
      <c r="G628" t="s">
        <v>97</v>
      </c>
      <c r="H628" t="s">
        <v>154</v>
      </c>
      <c r="I628">
        <v>1</v>
      </c>
      <c r="J628" s="8">
        <v>63100</v>
      </c>
      <c r="K628">
        <v>0</v>
      </c>
      <c r="L628" t="s">
        <v>33</v>
      </c>
      <c r="M628" s="5">
        <f>Cleaned_Data[[#This Row],[Quantity]]*Cleaned_Data[[#This Row],[Unit_Price]]</f>
        <v>63100</v>
      </c>
      <c r="N628" s="7">
        <f>Cleaned_Data[[#This Row],[Total_sales]]*(Cleaned_Data[[#This Row],[Discount_Percent]]/100)</f>
        <v>0</v>
      </c>
      <c r="O628" s="7">
        <f>Cleaned_Data[[#This Row],[Total_sales]]-Cleaned_Data[[#This Row],[Discount_Amount]]</f>
        <v>63100</v>
      </c>
      <c r="P628" t="str">
        <f>TEXT(Cleaned_Data[[#This Row],[Order_Date]],"MMM-YYYY")</f>
        <v>Aug-2023</v>
      </c>
      <c r="Q628" t="str">
        <f>"Q"&amp;ROUNDUP(MONTH(Cleaned_Data[[#This Row],[Order_Date]])/3,0)&amp;"-2023"</f>
        <v>Q3-2023</v>
      </c>
      <c r="R628" t="str">
        <f>TEXT(Cleaned_Data[[#This Row],[Order_Date]],"DDD")</f>
        <v>Sat</v>
      </c>
      <c r="S628" t="str">
        <f>IF(Cleaned_Data[[#This Row],[Net_Sales]]&gt;=100000,"High",IF(Cleaned_Data[[#This Row],[Net_Sales]]&gt;=50000,"Medium","Low"))</f>
        <v>Medium</v>
      </c>
    </row>
    <row r="629" spans="1:19" x14ac:dyDescent="0.3">
      <c r="A629" t="s">
        <v>777</v>
      </c>
      <c r="B629" s="1">
        <v>45157</v>
      </c>
      <c r="C629" t="s">
        <v>165</v>
      </c>
      <c r="D629" t="s">
        <v>166</v>
      </c>
      <c r="E629" t="s">
        <v>81</v>
      </c>
      <c r="F629" t="s">
        <v>160</v>
      </c>
      <c r="G629" t="s">
        <v>39</v>
      </c>
      <c r="H629" t="s">
        <v>40</v>
      </c>
      <c r="I629">
        <v>1</v>
      </c>
      <c r="J629" s="8">
        <v>25800</v>
      </c>
      <c r="K629">
        <v>15</v>
      </c>
      <c r="L629" t="s">
        <v>27</v>
      </c>
      <c r="M629" s="5">
        <f>Cleaned_Data[[#This Row],[Quantity]]*Cleaned_Data[[#This Row],[Unit_Price]]</f>
        <v>25800</v>
      </c>
      <c r="N629" s="7">
        <f>Cleaned_Data[[#This Row],[Total_sales]]*(Cleaned_Data[[#This Row],[Discount_Percent]]/100)</f>
        <v>3870</v>
      </c>
      <c r="O629" s="7">
        <f>Cleaned_Data[[#This Row],[Total_sales]]-Cleaned_Data[[#This Row],[Discount_Amount]]</f>
        <v>21930</v>
      </c>
      <c r="P629" t="str">
        <f>TEXT(Cleaned_Data[[#This Row],[Order_Date]],"MMM-YYYY")</f>
        <v>Aug-2023</v>
      </c>
      <c r="Q629" t="str">
        <f>"Q"&amp;ROUNDUP(MONTH(Cleaned_Data[[#This Row],[Order_Date]])/3,0)&amp;"-2023"</f>
        <v>Q3-2023</v>
      </c>
      <c r="R629" t="str">
        <f>TEXT(Cleaned_Data[[#This Row],[Order_Date]],"DDD")</f>
        <v>Sat</v>
      </c>
      <c r="S629" t="str">
        <f>IF(Cleaned_Data[[#This Row],[Net_Sales]]&gt;=100000,"High",IF(Cleaned_Data[[#This Row],[Net_Sales]]&gt;=50000,"Medium","Low"))</f>
        <v>Low</v>
      </c>
    </row>
    <row r="630" spans="1:19" x14ac:dyDescent="0.3">
      <c r="A630" t="s">
        <v>778</v>
      </c>
      <c r="B630" s="1">
        <v>45157</v>
      </c>
      <c r="C630" t="s">
        <v>236</v>
      </c>
      <c r="D630" t="s">
        <v>237</v>
      </c>
      <c r="E630" t="s">
        <v>37</v>
      </c>
      <c r="F630" t="s">
        <v>38</v>
      </c>
      <c r="G630" t="s">
        <v>97</v>
      </c>
      <c r="H630" t="s">
        <v>174</v>
      </c>
      <c r="I630">
        <v>1</v>
      </c>
      <c r="J630" s="8">
        <v>59800</v>
      </c>
      <c r="K630">
        <v>5</v>
      </c>
      <c r="L630" t="s">
        <v>27</v>
      </c>
      <c r="M630" s="5">
        <f>Cleaned_Data[[#This Row],[Quantity]]*Cleaned_Data[[#This Row],[Unit_Price]]</f>
        <v>59800</v>
      </c>
      <c r="N630" s="7">
        <f>Cleaned_Data[[#This Row],[Total_sales]]*(Cleaned_Data[[#This Row],[Discount_Percent]]/100)</f>
        <v>2990</v>
      </c>
      <c r="O630" s="7">
        <f>Cleaned_Data[[#This Row],[Total_sales]]-Cleaned_Data[[#This Row],[Discount_Amount]]</f>
        <v>56810</v>
      </c>
      <c r="P630" t="str">
        <f>TEXT(Cleaned_Data[[#This Row],[Order_Date]],"MMM-YYYY")</f>
        <v>Aug-2023</v>
      </c>
      <c r="Q630" t="str">
        <f>"Q"&amp;ROUNDUP(MONTH(Cleaned_Data[[#This Row],[Order_Date]])/3,0)&amp;"-2023"</f>
        <v>Q3-2023</v>
      </c>
      <c r="R630" t="str">
        <f>TEXT(Cleaned_Data[[#This Row],[Order_Date]],"DDD")</f>
        <v>Sat</v>
      </c>
      <c r="S630" t="str">
        <f>IF(Cleaned_Data[[#This Row],[Net_Sales]]&gt;=100000,"High",IF(Cleaned_Data[[#This Row],[Net_Sales]]&gt;=50000,"Medium","Low"))</f>
        <v>Medium</v>
      </c>
    </row>
    <row r="631" spans="1:19" x14ac:dyDescent="0.3">
      <c r="A631" t="s">
        <v>779</v>
      </c>
      <c r="B631" s="1">
        <v>45188</v>
      </c>
      <c r="C631" t="s">
        <v>70</v>
      </c>
      <c r="D631" t="s">
        <v>71</v>
      </c>
      <c r="E631" t="s">
        <v>81</v>
      </c>
      <c r="F631" t="s">
        <v>82</v>
      </c>
      <c r="G631" t="s">
        <v>25</v>
      </c>
      <c r="H631" t="s">
        <v>212</v>
      </c>
      <c r="I631">
        <v>2</v>
      </c>
      <c r="J631" s="8">
        <v>1000</v>
      </c>
      <c r="K631">
        <v>10</v>
      </c>
      <c r="L631" t="s">
        <v>103</v>
      </c>
      <c r="M631" s="5">
        <f>Cleaned_Data[[#This Row],[Quantity]]*Cleaned_Data[[#This Row],[Unit_Price]]</f>
        <v>2000</v>
      </c>
      <c r="N631" s="7">
        <f>Cleaned_Data[[#This Row],[Total_sales]]*(Cleaned_Data[[#This Row],[Discount_Percent]]/100)</f>
        <v>200</v>
      </c>
      <c r="O631" s="7">
        <f>Cleaned_Data[[#This Row],[Total_sales]]-Cleaned_Data[[#This Row],[Discount_Amount]]</f>
        <v>1800</v>
      </c>
      <c r="P631" t="str">
        <f>TEXT(Cleaned_Data[[#This Row],[Order_Date]],"MMM-YYYY")</f>
        <v>Sep-2023</v>
      </c>
      <c r="Q631" t="str">
        <f>"Q"&amp;ROUNDUP(MONTH(Cleaned_Data[[#This Row],[Order_Date]])/3,0)&amp;"-2023"</f>
        <v>Q3-2023</v>
      </c>
      <c r="R631" t="str">
        <f>TEXT(Cleaned_Data[[#This Row],[Order_Date]],"DDD")</f>
        <v>Tue</v>
      </c>
      <c r="S631" t="str">
        <f>IF(Cleaned_Data[[#This Row],[Net_Sales]]&gt;=100000,"High",IF(Cleaned_Data[[#This Row],[Net_Sales]]&gt;=50000,"Medium","Low"))</f>
        <v>Low</v>
      </c>
    </row>
    <row r="632" spans="1:19" x14ac:dyDescent="0.3">
      <c r="A632" t="s">
        <v>780</v>
      </c>
      <c r="B632" s="1">
        <v>45188</v>
      </c>
      <c r="C632" t="s">
        <v>59</v>
      </c>
      <c r="D632" t="s">
        <v>60</v>
      </c>
      <c r="E632" t="s">
        <v>66</v>
      </c>
      <c r="F632" t="s">
        <v>67</v>
      </c>
      <c r="G632" t="s">
        <v>25</v>
      </c>
      <c r="H632" t="s">
        <v>32</v>
      </c>
      <c r="I632">
        <v>2</v>
      </c>
      <c r="J632" s="8">
        <v>1500</v>
      </c>
      <c r="K632">
        <v>20</v>
      </c>
      <c r="L632" t="s">
        <v>73</v>
      </c>
      <c r="M632" s="5">
        <f>Cleaned_Data[[#This Row],[Quantity]]*Cleaned_Data[[#This Row],[Unit_Price]]</f>
        <v>3000</v>
      </c>
      <c r="N632" s="7">
        <f>Cleaned_Data[[#This Row],[Total_sales]]*(Cleaned_Data[[#This Row],[Discount_Percent]]/100)</f>
        <v>600</v>
      </c>
      <c r="O632" s="7">
        <f>Cleaned_Data[[#This Row],[Total_sales]]-Cleaned_Data[[#This Row],[Discount_Amount]]</f>
        <v>2400</v>
      </c>
      <c r="P632" t="str">
        <f>TEXT(Cleaned_Data[[#This Row],[Order_Date]],"MMM-YYYY")</f>
        <v>Sep-2023</v>
      </c>
      <c r="Q632" t="str">
        <f>"Q"&amp;ROUNDUP(MONTH(Cleaned_Data[[#This Row],[Order_Date]])/3,0)&amp;"-2023"</f>
        <v>Q3-2023</v>
      </c>
      <c r="R632" t="str">
        <f>TEXT(Cleaned_Data[[#This Row],[Order_Date]],"DDD")</f>
        <v>Tue</v>
      </c>
      <c r="S632" t="str">
        <f>IF(Cleaned_Data[[#This Row],[Net_Sales]]&gt;=100000,"High",IF(Cleaned_Data[[#This Row],[Net_Sales]]&gt;=50000,"Medium","Low"))</f>
        <v>Low</v>
      </c>
    </row>
    <row r="633" spans="1:19" x14ac:dyDescent="0.3">
      <c r="A633" t="s">
        <v>781</v>
      </c>
      <c r="B633" s="1">
        <v>45188</v>
      </c>
      <c r="C633" t="s">
        <v>64</v>
      </c>
      <c r="D633" t="s">
        <v>65</v>
      </c>
      <c r="E633" t="s">
        <v>81</v>
      </c>
      <c r="F633" t="s">
        <v>110</v>
      </c>
      <c r="G633" t="s">
        <v>17</v>
      </c>
      <c r="H633" t="s">
        <v>18</v>
      </c>
      <c r="I633">
        <v>1</v>
      </c>
      <c r="J633" s="8">
        <v>36000</v>
      </c>
      <c r="K633">
        <v>0</v>
      </c>
      <c r="L633" t="s">
        <v>27</v>
      </c>
      <c r="M633" s="5">
        <f>Cleaned_Data[[#This Row],[Quantity]]*Cleaned_Data[[#This Row],[Unit_Price]]</f>
        <v>36000</v>
      </c>
      <c r="N633" s="7">
        <f>Cleaned_Data[[#This Row],[Total_sales]]*(Cleaned_Data[[#This Row],[Discount_Percent]]/100)</f>
        <v>0</v>
      </c>
      <c r="O633" s="7">
        <f>Cleaned_Data[[#This Row],[Total_sales]]-Cleaned_Data[[#This Row],[Discount_Amount]]</f>
        <v>36000</v>
      </c>
      <c r="P633" t="str">
        <f>TEXT(Cleaned_Data[[#This Row],[Order_Date]],"MMM-YYYY")</f>
        <v>Sep-2023</v>
      </c>
      <c r="Q633" t="str">
        <f>"Q"&amp;ROUNDUP(MONTH(Cleaned_Data[[#This Row],[Order_Date]])/3,0)&amp;"-2023"</f>
        <v>Q3-2023</v>
      </c>
      <c r="R633" t="str">
        <f>TEXT(Cleaned_Data[[#This Row],[Order_Date]],"DDD")</f>
        <v>Tue</v>
      </c>
      <c r="S633" t="str">
        <f>IF(Cleaned_Data[[#This Row],[Net_Sales]]&gt;=100000,"High",IF(Cleaned_Data[[#This Row],[Net_Sales]]&gt;=50000,"Medium","Low"))</f>
        <v>Low</v>
      </c>
    </row>
    <row r="634" spans="1:19" x14ac:dyDescent="0.3">
      <c r="A634" t="s">
        <v>782</v>
      </c>
      <c r="B634" s="1">
        <v>45218</v>
      </c>
      <c r="C634" t="s">
        <v>180</v>
      </c>
      <c r="D634" t="s">
        <v>181</v>
      </c>
      <c r="E634" t="s">
        <v>37</v>
      </c>
      <c r="F634" t="s">
        <v>101</v>
      </c>
      <c r="G634" t="s">
        <v>45</v>
      </c>
      <c r="H634" t="s">
        <v>156</v>
      </c>
      <c r="I634">
        <v>1</v>
      </c>
      <c r="J634" s="8">
        <v>36400</v>
      </c>
      <c r="K634">
        <v>0</v>
      </c>
      <c r="L634" t="s">
        <v>19</v>
      </c>
      <c r="M634" s="5">
        <f>Cleaned_Data[[#This Row],[Quantity]]*Cleaned_Data[[#This Row],[Unit_Price]]</f>
        <v>36400</v>
      </c>
      <c r="N634" s="7">
        <f>Cleaned_Data[[#This Row],[Total_sales]]*(Cleaned_Data[[#This Row],[Discount_Percent]]/100)</f>
        <v>0</v>
      </c>
      <c r="O634" s="7">
        <f>Cleaned_Data[[#This Row],[Total_sales]]-Cleaned_Data[[#This Row],[Discount_Amount]]</f>
        <v>36400</v>
      </c>
      <c r="P634" t="str">
        <f>TEXT(Cleaned_Data[[#This Row],[Order_Date]],"MMM-YYYY")</f>
        <v>Oct-2023</v>
      </c>
      <c r="Q634" t="str">
        <f>"Q"&amp;ROUNDUP(MONTH(Cleaned_Data[[#This Row],[Order_Date]])/3,0)&amp;"-2023"</f>
        <v>Q4-2023</v>
      </c>
      <c r="R634" t="str">
        <f>TEXT(Cleaned_Data[[#This Row],[Order_Date]],"DDD")</f>
        <v>Thu</v>
      </c>
      <c r="S634" t="str">
        <f>IF(Cleaned_Data[[#This Row],[Net_Sales]]&gt;=100000,"High",IF(Cleaned_Data[[#This Row],[Net_Sales]]&gt;=50000,"Medium","Low"))</f>
        <v>Low</v>
      </c>
    </row>
    <row r="635" spans="1:19" x14ac:dyDescent="0.3">
      <c r="A635" t="s">
        <v>783</v>
      </c>
      <c r="B635" s="1">
        <v>45249</v>
      </c>
      <c r="C635" t="s">
        <v>284</v>
      </c>
      <c r="D635" t="s">
        <v>285</v>
      </c>
      <c r="E635" t="s">
        <v>15</v>
      </c>
      <c r="F635" t="s">
        <v>131</v>
      </c>
      <c r="G635" t="s">
        <v>25</v>
      </c>
      <c r="H635" t="s">
        <v>124</v>
      </c>
      <c r="I635">
        <v>2</v>
      </c>
      <c r="J635" s="8">
        <v>2100</v>
      </c>
      <c r="K635">
        <v>15</v>
      </c>
      <c r="L635" t="s">
        <v>73</v>
      </c>
      <c r="M635" s="5">
        <f>Cleaned_Data[[#This Row],[Quantity]]*Cleaned_Data[[#This Row],[Unit_Price]]</f>
        <v>4200</v>
      </c>
      <c r="N635" s="7">
        <f>Cleaned_Data[[#This Row],[Total_sales]]*(Cleaned_Data[[#This Row],[Discount_Percent]]/100)</f>
        <v>630</v>
      </c>
      <c r="O635" s="7">
        <f>Cleaned_Data[[#This Row],[Total_sales]]-Cleaned_Data[[#This Row],[Discount_Amount]]</f>
        <v>3570</v>
      </c>
      <c r="P635" t="str">
        <f>TEXT(Cleaned_Data[[#This Row],[Order_Date]],"MMM-YYYY")</f>
        <v>Nov-2023</v>
      </c>
      <c r="Q635" t="str">
        <f>"Q"&amp;ROUNDUP(MONTH(Cleaned_Data[[#This Row],[Order_Date]])/3,0)&amp;"-2023"</f>
        <v>Q4-2023</v>
      </c>
      <c r="R635" t="str">
        <f>TEXT(Cleaned_Data[[#This Row],[Order_Date]],"DDD")</f>
        <v>Sun</v>
      </c>
      <c r="S635" t="str">
        <f>IF(Cleaned_Data[[#This Row],[Net_Sales]]&gt;=100000,"High",IF(Cleaned_Data[[#This Row],[Net_Sales]]&gt;=50000,"Medium","Low"))</f>
        <v>Low</v>
      </c>
    </row>
    <row r="636" spans="1:19" x14ac:dyDescent="0.3">
      <c r="A636" t="s">
        <v>784</v>
      </c>
      <c r="B636" s="1">
        <v>45249</v>
      </c>
      <c r="C636" t="s">
        <v>29</v>
      </c>
      <c r="D636" t="s">
        <v>30</v>
      </c>
      <c r="E636" t="s">
        <v>23</v>
      </c>
      <c r="F636" t="s">
        <v>24</v>
      </c>
      <c r="G636" t="s">
        <v>45</v>
      </c>
      <c r="H636" t="s">
        <v>156</v>
      </c>
      <c r="I636">
        <v>1</v>
      </c>
      <c r="J636" s="8">
        <v>29300</v>
      </c>
      <c r="K636">
        <v>5</v>
      </c>
      <c r="L636" t="s">
        <v>53</v>
      </c>
      <c r="M636" s="5">
        <f>Cleaned_Data[[#This Row],[Quantity]]*Cleaned_Data[[#This Row],[Unit_Price]]</f>
        <v>29300</v>
      </c>
      <c r="N636" s="7">
        <f>Cleaned_Data[[#This Row],[Total_sales]]*(Cleaned_Data[[#This Row],[Discount_Percent]]/100)</f>
        <v>1465</v>
      </c>
      <c r="O636" s="7">
        <f>Cleaned_Data[[#This Row],[Total_sales]]-Cleaned_Data[[#This Row],[Discount_Amount]]</f>
        <v>27835</v>
      </c>
      <c r="P636" t="str">
        <f>TEXT(Cleaned_Data[[#This Row],[Order_Date]],"MMM-YYYY")</f>
        <v>Nov-2023</v>
      </c>
      <c r="Q636" t="str">
        <f>"Q"&amp;ROUNDUP(MONTH(Cleaned_Data[[#This Row],[Order_Date]])/3,0)&amp;"-2023"</f>
        <v>Q4-2023</v>
      </c>
      <c r="R636" t="str">
        <f>TEXT(Cleaned_Data[[#This Row],[Order_Date]],"DDD")</f>
        <v>Sun</v>
      </c>
      <c r="S636" t="str">
        <f>IF(Cleaned_Data[[#This Row],[Net_Sales]]&gt;=100000,"High",IF(Cleaned_Data[[#This Row],[Net_Sales]]&gt;=50000,"Medium","Low"))</f>
        <v>Low</v>
      </c>
    </row>
    <row r="637" spans="1:19" x14ac:dyDescent="0.3">
      <c r="A637" t="s">
        <v>785</v>
      </c>
      <c r="B637" s="1">
        <v>45249</v>
      </c>
      <c r="C637" t="s">
        <v>21</v>
      </c>
      <c r="D637" t="s">
        <v>22</v>
      </c>
      <c r="E637" t="s">
        <v>37</v>
      </c>
      <c r="F637" t="s">
        <v>38</v>
      </c>
      <c r="G637" t="s">
        <v>25</v>
      </c>
      <c r="H637" t="s">
        <v>212</v>
      </c>
      <c r="I637">
        <v>2</v>
      </c>
      <c r="J637" s="8">
        <v>1000</v>
      </c>
      <c r="K637">
        <v>0</v>
      </c>
      <c r="L637" t="s">
        <v>33</v>
      </c>
      <c r="M637" s="5">
        <f>Cleaned_Data[[#This Row],[Quantity]]*Cleaned_Data[[#This Row],[Unit_Price]]</f>
        <v>2000</v>
      </c>
      <c r="N637" s="7">
        <f>Cleaned_Data[[#This Row],[Total_sales]]*(Cleaned_Data[[#This Row],[Discount_Percent]]/100)</f>
        <v>0</v>
      </c>
      <c r="O637" s="7">
        <f>Cleaned_Data[[#This Row],[Total_sales]]-Cleaned_Data[[#This Row],[Discount_Amount]]</f>
        <v>2000</v>
      </c>
      <c r="P637" t="str">
        <f>TEXT(Cleaned_Data[[#This Row],[Order_Date]],"MMM-YYYY")</f>
        <v>Nov-2023</v>
      </c>
      <c r="Q637" t="str">
        <f>"Q"&amp;ROUNDUP(MONTH(Cleaned_Data[[#This Row],[Order_Date]])/3,0)&amp;"-2023"</f>
        <v>Q4-2023</v>
      </c>
      <c r="R637" t="str">
        <f>TEXT(Cleaned_Data[[#This Row],[Order_Date]],"DDD")</f>
        <v>Sun</v>
      </c>
      <c r="S637" t="str">
        <f>IF(Cleaned_Data[[#This Row],[Net_Sales]]&gt;=100000,"High",IF(Cleaned_Data[[#This Row],[Net_Sales]]&gt;=50000,"Medium","Low"))</f>
        <v>Low</v>
      </c>
    </row>
    <row r="638" spans="1:19" x14ac:dyDescent="0.3">
      <c r="A638" t="s">
        <v>786</v>
      </c>
      <c r="B638" s="1">
        <v>45279</v>
      </c>
      <c r="C638" t="s">
        <v>79</v>
      </c>
      <c r="D638" t="s">
        <v>80</v>
      </c>
      <c r="E638" t="s">
        <v>81</v>
      </c>
      <c r="F638" t="s">
        <v>117</v>
      </c>
      <c r="G638" t="s">
        <v>17</v>
      </c>
      <c r="H638" t="s">
        <v>88</v>
      </c>
      <c r="I638">
        <v>1</v>
      </c>
      <c r="J638" s="8">
        <v>60000</v>
      </c>
      <c r="K638">
        <v>25</v>
      </c>
      <c r="L638" t="s">
        <v>103</v>
      </c>
      <c r="M638" s="5">
        <f>Cleaned_Data[[#This Row],[Quantity]]*Cleaned_Data[[#This Row],[Unit_Price]]</f>
        <v>60000</v>
      </c>
      <c r="N638" s="7">
        <f>Cleaned_Data[[#This Row],[Total_sales]]*(Cleaned_Data[[#This Row],[Discount_Percent]]/100)</f>
        <v>15000</v>
      </c>
      <c r="O638" s="7">
        <f>Cleaned_Data[[#This Row],[Total_sales]]-Cleaned_Data[[#This Row],[Discount_Amount]]</f>
        <v>45000</v>
      </c>
      <c r="P638" t="str">
        <f>TEXT(Cleaned_Data[[#This Row],[Order_Date]],"MMM-YYYY")</f>
        <v>Dec-2023</v>
      </c>
      <c r="Q638" t="str">
        <f>"Q"&amp;ROUNDUP(MONTH(Cleaned_Data[[#This Row],[Order_Date]])/3,0)&amp;"-2023"</f>
        <v>Q4-2023</v>
      </c>
      <c r="R638" t="str">
        <f>TEXT(Cleaned_Data[[#This Row],[Order_Date]],"DDD")</f>
        <v>Tue</v>
      </c>
      <c r="S638" t="str">
        <f>IF(Cleaned_Data[[#This Row],[Net_Sales]]&gt;=100000,"High",IF(Cleaned_Data[[#This Row],[Net_Sales]]&gt;=50000,"Medium","Low"))</f>
        <v>Low</v>
      </c>
    </row>
    <row r="639" spans="1:19" x14ac:dyDescent="0.3">
      <c r="A639" t="s">
        <v>787</v>
      </c>
      <c r="B639" s="1">
        <v>45279</v>
      </c>
      <c r="C639" t="s">
        <v>180</v>
      </c>
      <c r="D639" t="s">
        <v>181</v>
      </c>
      <c r="E639" t="s">
        <v>66</v>
      </c>
      <c r="F639" t="s">
        <v>92</v>
      </c>
      <c r="G639" t="s">
        <v>17</v>
      </c>
      <c r="H639" t="s">
        <v>168</v>
      </c>
      <c r="I639">
        <v>1</v>
      </c>
      <c r="J639" s="8">
        <v>22700</v>
      </c>
      <c r="K639">
        <v>0</v>
      </c>
      <c r="L639" t="s">
        <v>73</v>
      </c>
      <c r="M639" s="5">
        <f>Cleaned_Data[[#This Row],[Quantity]]*Cleaned_Data[[#This Row],[Unit_Price]]</f>
        <v>22700</v>
      </c>
      <c r="N639" s="7">
        <f>Cleaned_Data[[#This Row],[Total_sales]]*(Cleaned_Data[[#This Row],[Discount_Percent]]/100)</f>
        <v>0</v>
      </c>
      <c r="O639" s="7">
        <f>Cleaned_Data[[#This Row],[Total_sales]]-Cleaned_Data[[#This Row],[Discount_Amount]]</f>
        <v>22700</v>
      </c>
      <c r="P639" t="str">
        <f>TEXT(Cleaned_Data[[#This Row],[Order_Date]],"MMM-YYYY")</f>
        <v>Dec-2023</v>
      </c>
      <c r="Q639" t="str">
        <f>"Q"&amp;ROUNDUP(MONTH(Cleaned_Data[[#This Row],[Order_Date]])/3,0)&amp;"-2023"</f>
        <v>Q4-2023</v>
      </c>
      <c r="R639" t="str">
        <f>TEXT(Cleaned_Data[[#This Row],[Order_Date]],"DDD")</f>
        <v>Tue</v>
      </c>
      <c r="S639" t="str">
        <f>IF(Cleaned_Data[[#This Row],[Net_Sales]]&gt;=100000,"High",IF(Cleaned_Data[[#This Row],[Net_Sales]]&gt;=50000,"Medium","Low"))</f>
        <v>Low</v>
      </c>
    </row>
    <row r="640" spans="1:19" x14ac:dyDescent="0.3">
      <c r="A640" t="s">
        <v>788</v>
      </c>
      <c r="B640" s="1">
        <v>45279</v>
      </c>
      <c r="C640" t="s">
        <v>185</v>
      </c>
      <c r="D640" t="s">
        <v>186</v>
      </c>
      <c r="E640" t="s">
        <v>15</v>
      </c>
      <c r="F640" t="s">
        <v>128</v>
      </c>
      <c r="G640" t="s">
        <v>45</v>
      </c>
      <c r="H640" t="s">
        <v>207</v>
      </c>
      <c r="I640">
        <v>1</v>
      </c>
      <c r="J640" s="8">
        <v>38600</v>
      </c>
      <c r="K640">
        <v>5</v>
      </c>
      <c r="L640" t="s">
        <v>73</v>
      </c>
      <c r="M640" s="5">
        <f>Cleaned_Data[[#This Row],[Quantity]]*Cleaned_Data[[#This Row],[Unit_Price]]</f>
        <v>38600</v>
      </c>
      <c r="N640" s="7">
        <f>Cleaned_Data[[#This Row],[Total_sales]]*(Cleaned_Data[[#This Row],[Discount_Percent]]/100)</f>
        <v>1930</v>
      </c>
      <c r="O640" s="7">
        <f>Cleaned_Data[[#This Row],[Total_sales]]-Cleaned_Data[[#This Row],[Discount_Amount]]</f>
        <v>36670</v>
      </c>
      <c r="P640" t="str">
        <f>TEXT(Cleaned_Data[[#This Row],[Order_Date]],"MMM-YYYY")</f>
        <v>Dec-2023</v>
      </c>
      <c r="Q640" t="str">
        <f>"Q"&amp;ROUNDUP(MONTH(Cleaned_Data[[#This Row],[Order_Date]])/3,0)&amp;"-2023"</f>
        <v>Q4-2023</v>
      </c>
      <c r="R640" t="str">
        <f>TEXT(Cleaned_Data[[#This Row],[Order_Date]],"DDD")</f>
        <v>Tue</v>
      </c>
      <c r="S640" t="str">
        <f>IF(Cleaned_Data[[#This Row],[Net_Sales]]&gt;=100000,"High",IF(Cleaned_Data[[#This Row],[Net_Sales]]&gt;=50000,"Medium","Low"))</f>
        <v>Low</v>
      </c>
    </row>
    <row r="641" spans="1:19" x14ac:dyDescent="0.3">
      <c r="A641" t="s">
        <v>789</v>
      </c>
      <c r="B641" s="1">
        <v>45279</v>
      </c>
      <c r="C641" t="s">
        <v>176</v>
      </c>
      <c r="D641" t="s">
        <v>177</v>
      </c>
      <c r="E641" t="s">
        <v>81</v>
      </c>
      <c r="F641" t="s">
        <v>110</v>
      </c>
      <c r="G641" t="s">
        <v>17</v>
      </c>
      <c r="H641" t="s">
        <v>77</v>
      </c>
      <c r="I641">
        <v>2</v>
      </c>
      <c r="J641" s="8">
        <v>25100</v>
      </c>
      <c r="K641">
        <v>10</v>
      </c>
      <c r="L641" t="s">
        <v>27</v>
      </c>
      <c r="M641" s="5">
        <f>Cleaned_Data[[#This Row],[Quantity]]*Cleaned_Data[[#This Row],[Unit_Price]]</f>
        <v>50200</v>
      </c>
      <c r="N641" s="7">
        <f>Cleaned_Data[[#This Row],[Total_sales]]*(Cleaned_Data[[#This Row],[Discount_Percent]]/100)</f>
        <v>5020</v>
      </c>
      <c r="O641" s="7">
        <f>Cleaned_Data[[#This Row],[Total_sales]]-Cleaned_Data[[#This Row],[Discount_Amount]]</f>
        <v>45180</v>
      </c>
      <c r="P641" t="str">
        <f>TEXT(Cleaned_Data[[#This Row],[Order_Date]],"MMM-YYYY")</f>
        <v>Dec-2023</v>
      </c>
      <c r="Q641" t="str">
        <f>"Q"&amp;ROUNDUP(MONTH(Cleaned_Data[[#This Row],[Order_Date]])/3,0)&amp;"-2023"</f>
        <v>Q4-2023</v>
      </c>
      <c r="R641" t="str">
        <f>TEXT(Cleaned_Data[[#This Row],[Order_Date]],"DDD")</f>
        <v>Tue</v>
      </c>
      <c r="S641" t="str">
        <f>IF(Cleaned_Data[[#This Row],[Net_Sales]]&gt;=100000,"High",IF(Cleaned_Data[[#This Row],[Net_Sales]]&gt;=50000,"Medium","Low"))</f>
        <v>Low</v>
      </c>
    </row>
    <row r="642" spans="1:19" x14ac:dyDescent="0.3">
      <c r="A642" t="s">
        <v>790</v>
      </c>
      <c r="B642" s="1">
        <v>44946</v>
      </c>
      <c r="C642" t="s">
        <v>203</v>
      </c>
      <c r="D642" t="s">
        <v>204</v>
      </c>
      <c r="E642" t="s">
        <v>15</v>
      </c>
      <c r="F642" t="s">
        <v>119</v>
      </c>
      <c r="G642" t="s">
        <v>45</v>
      </c>
      <c r="H642" t="s">
        <v>207</v>
      </c>
      <c r="I642">
        <v>1</v>
      </c>
      <c r="J642" s="8">
        <v>29400</v>
      </c>
      <c r="K642">
        <v>25</v>
      </c>
      <c r="L642" t="s">
        <v>19</v>
      </c>
      <c r="M642" s="5">
        <f>Cleaned_Data[[#This Row],[Quantity]]*Cleaned_Data[[#This Row],[Unit_Price]]</f>
        <v>29400</v>
      </c>
      <c r="N642" s="7">
        <f>Cleaned_Data[[#This Row],[Total_sales]]*(Cleaned_Data[[#This Row],[Discount_Percent]]/100)</f>
        <v>7350</v>
      </c>
      <c r="O642" s="7">
        <f>Cleaned_Data[[#This Row],[Total_sales]]-Cleaned_Data[[#This Row],[Discount_Amount]]</f>
        <v>22050</v>
      </c>
      <c r="P642" t="str">
        <f>TEXT(Cleaned_Data[[#This Row],[Order_Date]],"MMM-YYYY")</f>
        <v>Jan-2023</v>
      </c>
      <c r="Q642" t="str">
        <f>"Q"&amp;ROUNDUP(MONTH(Cleaned_Data[[#This Row],[Order_Date]])/3,0)&amp;"-2023"</f>
        <v>Q1-2023</v>
      </c>
      <c r="R642" t="str">
        <f>TEXT(Cleaned_Data[[#This Row],[Order_Date]],"DDD")</f>
        <v>Fri</v>
      </c>
      <c r="S642" t="str">
        <f>IF(Cleaned_Data[[#This Row],[Net_Sales]]&gt;=100000,"High",IF(Cleaned_Data[[#This Row],[Net_Sales]]&gt;=50000,"Medium","Low"))</f>
        <v>Low</v>
      </c>
    </row>
    <row r="643" spans="1:19" x14ac:dyDescent="0.3">
      <c r="A643" t="s">
        <v>791</v>
      </c>
      <c r="B643" s="1">
        <v>44946</v>
      </c>
      <c r="C643" t="s">
        <v>105</v>
      </c>
      <c r="D643" t="s">
        <v>106</v>
      </c>
      <c r="E643" t="s">
        <v>66</v>
      </c>
      <c r="F643" t="s">
        <v>92</v>
      </c>
      <c r="G643" t="s">
        <v>17</v>
      </c>
      <c r="H643" t="s">
        <v>168</v>
      </c>
      <c r="I643">
        <v>1</v>
      </c>
      <c r="J643" s="8">
        <v>60000</v>
      </c>
      <c r="K643">
        <v>10</v>
      </c>
      <c r="L643" t="s">
        <v>103</v>
      </c>
      <c r="M643" s="5">
        <f>Cleaned_Data[[#This Row],[Quantity]]*Cleaned_Data[[#This Row],[Unit_Price]]</f>
        <v>60000</v>
      </c>
      <c r="N643" s="7">
        <f>Cleaned_Data[[#This Row],[Total_sales]]*(Cleaned_Data[[#This Row],[Discount_Percent]]/100)</f>
        <v>6000</v>
      </c>
      <c r="O643" s="7">
        <f>Cleaned_Data[[#This Row],[Total_sales]]-Cleaned_Data[[#This Row],[Discount_Amount]]</f>
        <v>54000</v>
      </c>
      <c r="P643" t="str">
        <f>TEXT(Cleaned_Data[[#This Row],[Order_Date]],"MMM-YYYY")</f>
        <v>Jan-2023</v>
      </c>
      <c r="Q643" t="str">
        <f>"Q"&amp;ROUNDUP(MONTH(Cleaned_Data[[#This Row],[Order_Date]])/3,0)&amp;"-2023"</f>
        <v>Q1-2023</v>
      </c>
      <c r="R643" t="str">
        <f>TEXT(Cleaned_Data[[#This Row],[Order_Date]],"DDD")</f>
        <v>Fri</v>
      </c>
      <c r="S643" t="str">
        <f>IF(Cleaned_Data[[#This Row],[Net_Sales]]&gt;=100000,"High",IF(Cleaned_Data[[#This Row],[Net_Sales]]&gt;=50000,"Medium","Low"))</f>
        <v>Medium</v>
      </c>
    </row>
    <row r="644" spans="1:19" x14ac:dyDescent="0.3">
      <c r="A644" t="s">
        <v>792</v>
      </c>
      <c r="B644" s="1">
        <v>45005</v>
      </c>
      <c r="C644" t="s">
        <v>284</v>
      </c>
      <c r="D644" t="s">
        <v>285</v>
      </c>
      <c r="E644" t="s">
        <v>66</v>
      </c>
      <c r="F644" t="s">
        <v>92</v>
      </c>
      <c r="G644" t="s">
        <v>25</v>
      </c>
      <c r="H644" t="s">
        <v>108</v>
      </c>
      <c r="I644">
        <v>2</v>
      </c>
      <c r="J644" s="8">
        <v>1500</v>
      </c>
      <c r="K644">
        <v>15</v>
      </c>
      <c r="L644" t="s">
        <v>33</v>
      </c>
      <c r="M644" s="5">
        <f>Cleaned_Data[[#This Row],[Quantity]]*Cleaned_Data[[#This Row],[Unit_Price]]</f>
        <v>3000</v>
      </c>
      <c r="N644" s="7">
        <f>Cleaned_Data[[#This Row],[Total_sales]]*(Cleaned_Data[[#This Row],[Discount_Percent]]/100)</f>
        <v>450</v>
      </c>
      <c r="O644" s="7">
        <f>Cleaned_Data[[#This Row],[Total_sales]]-Cleaned_Data[[#This Row],[Discount_Amount]]</f>
        <v>2550</v>
      </c>
      <c r="P644" t="str">
        <f>TEXT(Cleaned_Data[[#This Row],[Order_Date]],"MMM-YYYY")</f>
        <v>Mar-2023</v>
      </c>
      <c r="Q644" t="str">
        <f>"Q"&amp;ROUNDUP(MONTH(Cleaned_Data[[#This Row],[Order_Date]])/3,0)&amp;"-2023"</f>
        <v>Q1-2023</v>
      </c>
      <c r="R644" t="str">
        <f>TEXT(Cleaned_Data[[#This Row],[Order_Date]],"DDD")</f>
        <v>Mon</v>
      </c>
      <c r="S644" t="str">
        <f>IF(Cleaned_Data[[#This Row],[Net_Sales]]&gt;=100000,"High",IF(Cleaned_Data[[#This Row],[Net_Sales]]&gt;=50000,"Medium","Low"))</f>
        <v>Low</v>
      </c>
    </row>
    <row r="645" spans="1:19" x14ac:dyDescent="0.3">
      <c r="A645" t="s">
        <v>793</v>
      </c>
      <c r="B645" s="1">
        <v>45005</v>
      </c>
      <c r="C645" t="s">
        <v>236</v>
      </c>
      <c r="D645" t="s">
        <v>237</v>
      </c>
      <c r="E645" t="s">
        <v>37</v>
      </c>
      <c r="F645" t="s">
        <v>141</v>
      </c>
      <c r="G645" t="s">
        <v>39</v>
      </c>
      <c r="H645" t="s">
        <v>102</v>
      </c>
      <c r="I645">
        <v>1</v>
      </c>
      <c r="J645" s="8">
        <v>20700</v>
      </c>
      <c r="K645">
        <v>10</v>
      </c>
      <c r="L645" t="s">
        <v>73</v>
      </c>
      <c r="M645" s="5">
        <f>Cleaned_Data[[#This Row],[Quantity]]*Cleaned_Data[[#This Row],[Unit_Price]]</f>
        <v>20700</v>
      </c>
      <c r="N645" s="7">
        <f>Cleaned_Data[[#This Row],[Total_sales]]*(Cleaned_Data[[#This Row],[Discount_Percent]]/100)</f>
        <v>2070</v>
      </c>
      <c r="O645" s="7">
        <f>Cleaned_Data[[#This Row],[Total_sales]]-Cleaned_Data[[#This Row],[Discount_Amount]]</f>
        <v>18630</v>
      </c>
      <c r="P645" t="str">
        <f>TEXT(Cleaned_Data[[#This Row],[Order_Date]],"MMM-YYYY")</f>
        <v>Mar-2023</v>
      </c>
      <c r="Q645" t="str">
        <f>"Q"&amp;ROUNDUP(MONTH(Cleaned_Data[[#This Row],[Order_Date]])/3,0)&amp;"-2023"</f>
        <v>Q1-2023</v>
      </c>
      <c r="R645" t="str">
        <f>TEXT(Cleaned_Data[[#This Row],[Order_Date]],"DDD")</f>
        <v>Mon</v>
      </c>
      <c r="S645" t="str">
        <f>IF(Cleaned_Data[[#This Row],[Net_Sales]]&gt;=100000,"High",IF(Cleaned_Data[[#This Row],[Net_Sales]]&gt;=50000,"Medium","Low"))</f>
        <v>Low</v>
      </c>
    </row>
    <row r="646" spans="1:19" x14ac:dyDescent="0.3">
      <c r="A646" t="s">
        <v>794</v>
      </c>
      <c r="B646" s="1">
        <v>45005</v>
      </c>
      <c r="C646" t="s">
        <v>42</v>
      </c>
      <c r="D646" t="s">
        <v>43</v>
      </c>
      <c r="E646" t="s">
        <v>23</v>
      </c>
      <c r="F646" t="s">
        <v>44</v>
      </c>
      <c r="G646" t="s">
        <v>25</v>
      </c>
      <c r="H646" t="s">
        <v>108</v>
      </c>
      <c r="I646">
        <v>2</v>
      </c>
      <c r="J646" s="8">
        <v>1200</v>
      </c>
      <c r="K646">
        <v>25</v>
      </c>
      <c r="L646" t="s">
        <v>19</v>
      </c>
      <c r="M646" s="5">
        <f>Cleaned_Data[[#This Row],[Quantity]]*Cleaned_Data[[#This Row],[Unit_Price]]</f>
        <v>2400</v>
      </c>
      <c r="N646" s="7">
        <f>Cleaned_Data[[#This Row],[Total_sales]]*(Cleaned_Data[[#This Row],[Discount_Percent]]/100)</f>
        <v>600</v>
      </c>
      <c r="O646" s="7">
        <f>Cleaned_Data[[#This Row],[Total_sales]]-Cleaned_Data[[#This Row],[Discount_Amount]]</f>
        <v>1800</v>
      </c>
      <c r="P646" t="str">
        <f>TEXT(Cleaned_Data[[#This Row],[Order_Date]],"MMM-YYYY")</f>
        <v>Mar-2023</v>
      </c>
      <c r="Q646" t="str">
        <f>"Q"&amp;ROUNDUP(MONTH(Cleaned_Data[[#This Row],[Order_Date]])/3,0)&amp;"-2023"</f>
        <v>Q1-2023</v>
      </c>
      <c r="R646" t="str">
        <f>TEXT(Cleaned_Data[[#This Row],[Order_Date]],"DDD")</f>
        <v>Mon</v>
      </c>
      <c r="S646" t="str">
        <f>IF(Cleaned_Data[[#This Row],[Net_Sales]]&gt;=100000,"High",IF(Cleaned_Data[[#This Row],[Net_Sales]]&gt;=50000,"Medium","Low"))</f>
        <v>Low</v>
      </c>
    </row>
    <row r="647" spans="1:19" x14ac:dyDescent="0.3">
      <c r="A647" t="s">
        <v>795</v>
      </c>
      <c r="B647" s="1">
        <v>45066</v>
      </c>
      <c r="C647" t="s">
        <v>176</v>
      </c>
      <c r="D647" t="s">
        <v>177</v>
      </c>
      <c r="E647" t="s">
        <v>15</v>
      </c>
      <c r="F647" t="s">
        <v>119</v>
      </c>
      <c r="G647" t="s">
        <v>25</v>
      </c>
      <c r="H647" t="s">
        <v>26</v>
      </c>
      <c r="I647">
        <v>2</v>
      </c>
      <c r="J647" s="8">
        <v>3000</v>
      </c>
      <c r="K647">
        <v>25</v>
      </c>
      <c r="L647" t="s">
        <v>27</v>
      </c>
      <c r="M647" s="5">
        <f>Cleaned_Data[[#This Row],[Quantity]]*Cleaned_Data[[#This Row],[Unit_Price]]</f>
        <v>6000</v>
      </c>
      <c r="N647" s="7">
        <f>Cleaned_Data[[#This Row],[Total_sales]]*(Cleaned_Data[[#This Row],[Discount_Percent]]/100)</f>
        <v>1500</v>
      </c>
      <c r="O647" s="7">
        <f>Cleaned_Data[[#This Row],[Total_sales]]-Cleaned_Data[[#This Row],[Discount_Amount]]</f>
        <v>4500</v>
      </c>
      <c r="P647" t="str">
        <f>TEXT(Cleaned_Data[[#This Row],[Order_Date]],"MMM-YYYY")</f>
        <v>May-2023</v>
      </c>
      <c r="Q647" t="str">
        <f>"Q"&amp;ROUNDUP(MONTH(Cleaned_Data[[#This Row],[Order_Date]])/3,0)&amp;"-2023"</f>
        <v>Q2-2023</v>
      </c>
      <c r="R647" t="str">
        <f>TEXT(Cleaned_Data[[#This Row],[Order_Date]],"DDD")</f>
        <v>Sat</v>
      </c>
      <c r="S647" t="str">
        <f>IF(Cleaned_Data[[#This Row],[Net_Sales]]&gt;=100000,"High",IF(Cleaned_Data[[#This Row],[Net_Sales]]&gt;=50000,"Medium","Low"))</f>
        <v>Low</v>
      </c>
    </row>
    <row r="648" spans="1:19" x14ac:dyDescent="0.3">
      <c r="A648" t="s">
        <v>796</v>
      </c>
      <c r="B648" s="1">
        <v>45066</v>
      </c>
      <c r="C648" t="s">
        <v>75</v>
      </c>
      <c r="D648" t="s">
        <v>76</v>
      </c>
      <c r="E648" t="s">
        <v>66</v>
      </c>
      <c r="F648" t="s">
        <v>72</v>
      </c>
      <c r="G648" t="s">
        <v>25</v>
      </c>
      <c r="H648" t="s">
        <v>32</v>
      </c>
      <c r="I648">
        <v>3</v>
      </c>
      <c r="J648" s="8">
        <v>1900</v>
      </c>
      <c r="K648">
        <v>0</v>
      </c>
      <c r="L648" t="s">
        <v>103</v>
      </c>
      <c r="M648" s="5">
        <f>Cleaned_Data[[#This Row],[Quantity]]*Cleaned_Data[[#This Row],[Unit_Price]]</f>
        <v>5700</v>
      </c>
      <c r="N648" s="7">
        <f>Cleaned_Data[[#This Row],[Total_sales]]*(Cleaned_Data[[#This Row],[Discount_Percent]]/100)</f>
        <v>0</v>
      </c>
      <c r="O648" s="7">
        <f>Cleaned_Data[[#This Row],[Total_sales]]-Cleaned_Data[[#This Row],[Discount_Amount]]</f>
        <v>5700</v>
      </c>
      <c r="P648" t="str">
        <f>TEXT(Cleaned_Data[[#This Row],[Order_Date]],"MMM-YYYY")</f>
        <v>May-2023</v>
      </c>
      <c r="Q648" t="str">
        <f>"Q"&amp;ROUNDUP(MONTH(Cleaned_Data[[#This Row],[Order_Date]])/3,0)&amp;"-2023"</f>
        <v>Q2-2023</v>
      </c>
      <c r="R648" t="str">
        <f>TEXT(Cleaned_Data[[#This Row],[Order_Date]],"DDD")</f>
        <v>Sat</v>
      </c>
      <c r="S648" t="str">
        <f>IF(Cleaned_Data[[#This Row],[Net_Sales]]&gt;=100000,"High",IF(Cleaned_Data[[#This Row],[Net_Sales]]&gt;=50000,"Medium","Low"))</f>
        <v>Low</v>
      </c>
    </row>
    <row r="649" spans="1:19" x14ac:dyDescent="0.3">
      <c r="A649" t="s">
        <v>797</v>
      </c>
      <c r="B649" s="1">
        <v>45066</v>
      </c>
      <c r="C649" t="s">
        <v>126</v>
      </c>
      <c r="D649" t="s">
        <v>127</v>
      </c>
      <c r="E649" t="s">
        <v>37</v>
      </c>
      <c r="F649" t="s">
        <v>101</v>
      </c>
      <c r="G649" t="s">
        <v>45</v>
      </c>
      <c r="H649" t="s">
        <v>46</v>
      </c>
      <c r="I649">
        <v>1</v>
      </c>
      <c r="J649" s="8">
        <v>26500</v>
      </c>
      <c r="K649">
        <v>15</v>
      </c>
      <c r="L649" t="s">
        <v>62</v>
      </c>
      <c r="M649" s="5">
        <f>Cleaned_Data[[#This Row],[Quantity]]*Cleaned_Data[[#This Row],[Unit_Price]]</f>
        <v>26500</v>
      </c>
      <c r="N649" s="7">
        <f>Cleaned_Data[[#This Row],[Total_sales]]*(Cleaned_Data[[#This Row],[Discount_Percent]]/100)</f>
        <v>3975</v>
      </c>
      <c r="O649" s="7">
        <f>Cleaned_Data[[#This Row],[Total_sales]]-Cleaned_Data[[#This Row],[Discount_Amount]]</f>
        <v>22525</v>
      </c>
      <c r="P649" t="str">
        <f>TEXT(Cleaned_Data[[#This Row],[Order_Date]],"MMM-YYYY")</f>
        <v>May-2023</v>
      </c>
      <c r="Q649" t="str">
        <f>"Q"&amp;ROUNDUP(MONTH(Cleaned_Data[[#This Row],[Order_Date]])/3,0)&amp;"-2023"</f>
        <v>Q2-2023</v>
      </c>
      <c r="R649" t="str">
        <f>TEXT(Cleaned_Data[[#This Row],[Order_Date]],"DDD")</f>
        <v>Sat</v>
      </c>
      <c r="S649" t="str">
        <f>IF(Cleaned_Data[[#This Row],[Net_Sales]]&gt;=100000,"High",IF(Cleaned_Data[[#This Row],[Net_Sales]]&gt;=50000,"Medium","Low"))</f>
        <v>Low</v>
      </c>
    </row>
    <row r="650" spans="1:19" x14ac:dyDescent="0.3">
      <c r="A650" t="s">
        <v>798</v>
      </c>
      <c r="B650" s="1">
        <v>45097</v>
      </c>
      <c r="C650" t="s">
        <v>210</v>
      </c>
      <c r="D650" t="s">
        <v>211</v>
      </c>
      <c r="E650" t="s">
        <v>23</v>
      </c>
      <c r="F650" t="s">
        <v>24</v>
      </c>
      <c r="G650" t="s">
        <v>25</v>
      </c>
      <c r="H650" t="s">
        <v>212</v>
      </c>
      <c r="I650">
        <v>2</v>
      </c>
      <c r="J650" s="8">
        <v>1300</v>
      </c>
      <c r="K650">
        <v>15</v>
      </c>
      <c r="L650" t="s">
        <v>47</v>
      </c>
      <c r="M650" s="5">
        <f>Cleaned_Data[[#This Row],[Quantity]]*Cleaned_Data[[#This Row],[Unit_Price]]</f>
        <v>2600</v>
      </c>
      <c r="N650" s="7">
        <f>Cleaned_Data[[#This Row],[Total_sales]]*(Cleaned_Data[[#This Row],[Discount_Percent]]/100)</f>
        <v>390</v>
      </c>
      <c r="O650" s="7">
        <f>Cleaned_Data[[#This Row],[Total_sales]]-Cleaned_Data[[#This Row],[Discount_Amount]]</f>
        <v>2210</v>
      </c>
      <c r="P650" t="str">
        <f>TEXT(Cleaned_Data[[#This Row],[Order_Date]],"MMM-YYYY")</f>
        <v>Jun-2023</v>
      </c>
      <c r="Q650" t="str">
        <f>"Q"&amp;ROUNDUP(MONTH(Cleaned_Data[[#This Row],[Order_Date]])/3,0)&amp;"-2023"</f>
        <v>Q2-2023</v>
      </c>
      <c r="R650" t="str">
        <f>TEXT(Cleaned_Data[[#This Row],[Order_Date]],"DDD")</f>
        <v>Tue</v>
      </c>
      <c r="S650" t="str">
        <f>IF(Cleaned_Data[[#This Row],[Net_Sales]]&gt;=100000,"High",IF(Cleaned_Data[[#This Row],[Net_Sales]]&gt;=50000,"Medium","Low"))</f>
        <v>Low</v>
      </c>
    </row>
    <row r="651" spans="1:19" x14ac:dyDescent="0.3">
      <c r="A651" t="s">
        <v>799</v>
      </c>
      <c r="B651" s="1">
        <v>45097</v>
      </c>
      <c r="C651" t="s">
        <v>236</v>
      </c>
      <c r="D651" t="s">
        <v>237</v>
      </c>
      <c r="E651" t="s">
        <v>66</v>
      </c>
      <c r="F651" t="s">
        <v>87</v>
      </c>
      <c r="G651" t="s">
        <v>45</v>
      </c>
      <c r="H651" t="s">
        <v>46</v>
      </c>
      <c r="I651">
        <v>1</v>
      </c>
      <c r="J651" s="8">
        <v>37000</v>
      </c>
      <c r="K651">
        <v>0</v>
      </c>
      <c r="L651" t="s">
        <v>103</v>
      </c>
      <c r="M651" s="5">
        <f>Cleaned_Data[[#This Row],[Quantity]]*Cleaned_Data[[#This Row],[Unit_Price]]</f>
        <v>37000</v>
      </c>
      <c r="N651" s="7">
        <f>Cleaned_Data[[#This Row],[Total_sales]]*(Cleaned_Data[[#This Row],[Discount_Percent]]/100)</f>
        <v>0</v>
      </c>
      <c r="O651" s="7">
        <f>Cleaned_Data[[#This Row],[Total_sales]]-Cleaned_Data[[#This Row],[Discount_Amount]]</f>
        <v>37000</v>
      </c>
      <c r="P651" t="str">
        <f>TEXT(Cleaned_Data[[#This Row],[Order_Date]],"MMM-YYYY")</f>
        <v>Jun-2023</v>
      </c>
      <c r="Q651" t="str">
        <f>"Q"&amp;ROUNDUP(MONTH(Cleaned_Data[[#This Row],[Order_Date]])/3,0)&amp;"-2023"</f>
        <v>Q2-2023</v>
      </c>
      <c r="R651" t="str">
        <f>TEXT(Cleaned_Data[[#This Row],[Order_Date]],"DDD")</f>
        <v>Tue</v>
      </c>
      <c r="S651" t="str">
        <f>IF(Cleaned_Data[[#This Row],[Net_Sales]]&gt;=100000,"High",IF(Cleaned_Data[[#This Row],[Net_Sales]]&gt;=50000,"Medium","Low"))</f>
        <v>Low</v>
      </c>
    </row>
    <row r="652" spans="1:19" x14ac:dyDescent="0.3">
      <c r="A652" t="s">
        <v>800</v>
      </c>
      <c r="B652" s="1">
        <v>45097</v>
      </c>
      <c r="C652" t="s">
        <v>244</v>
      </c>
      <c r="D652" t="s">
        <v>245</v>
      </c>
      <c r="E652" t="s">
        <v>37</v>
      </c>
      <c r="F652" t="s">
        <v>38</v>
      </c>
      <c r="G652" t="s">
        <v>39</v>
      </c>
      <c r="H652" t="s">
        <v>57</v>
      </c>
      <c r="I652">
        <v>1</v>
      </c>
      <c r="J652" s="8">
        <v>27800</v>
      </c>
      <c r="K652">
        <v>0</v>
      </c>
      <c r="L652" t="s">
        <v>33</v>
      </c>
      <c r="M652" s="5">
        <f>Cleaned_Data[[#This Row],[Quantity]]*Cleaned_Data[[#This Row],[Unit_Price]]</f>
        <v>27800</v>
      </c>
      <c r="N652" s="7">
        <f>Cleaned_Data[[#This Row],[Total_sales]]*(Cleaned_Data[[#This Row],[Discount_Percent]]/100)</f>
        <v>0</v>
      </c>
      <c r="O652" s="7">
        <f>Cleaned_Data[[#This Row],[Total_sales]]-Cleaned_Data[[#This Row],[Discount_Amount]]</f>
        <v>27800</v>
      </c>
      <c r="P652" t="str">
        <f>TEXT(Cleaned_Data[[#This Row],[Order_Date]],"MMM-YYYY")</f>
        <v>Jun-2023</v>
      </c>
      <c r="Q652" t="str">
        <f>"Q"&amp;ROUNDUP(MONTH(Cleaned_Data[[#This Row],[Order_Date]])/3,0)&amp;"-2023"</f>
        <v>Q2-2023</v>
      </c>
      <c r="R652" t="str">
        <f>TEXT(Cleaned_Data[[#This Row],[Order_Date]],"DDD")</f>
        <v>Tue</v>
      </c>
      <c r="S652" t="str">
        <f>IF(Cleaned_Data[[#This Row],[Net_Sales]]&gt;=100000,"High",IF(Cleaned_Data[[#This Row],[Net_Sales]]&gt;=50000,"Medium","Low"))</f>
        <v>Low</v>
      </c>
    </row>
    <row r="653" spans="1:19" x14ac:dyDescent="0.3">
      <c r="A653" t="s">
        <v>801</v>
      </c>
      <c r="B653" s="1">
        <v>45097</v>
      </c>
      <c r="C653" t="s">
        <v>180</v>
      </c>
      <c r="D653" t="s">
        <v>181</v>
      </c>
      <c r="E653" t="s">
        <v>81</v>
      </c>
      <c r="F653" t="s">
        <v>82</v>
      </c>
      <c r="G653" t="s">
        <v>17</v>
      </c>
      <c r="H653" t="s">
        <v>168</v>
      </c>
      <c r="I653">
        <v>1</v>
      </c>
      <c r="J653" s="8">
        <v>34800</v>
      </c>
      <c r="K653">
        <v>10</v>
      </c>
      <c r="L653" t="s">
        <v>47</v>
      </c>
      <c r="M653" s="5">
        <f>Cleaned_Data[[#This Row],[Quantity]]*Cleaned_Data[[#This Row],[Unit_Price]]</f>
        <v>34800</v>
      </c>
      <c r="N653" s="7">
        <f>Cleaned_Data[[#This Row],[Total_sales]]*(Cleaned_Data[[#This Row],[Discount_Percent]]/100)</f>
        <v>3480</v>
      </c>
      <c r="O653" s="7">
        <f>Cleaned_Data[[#This Row],[Total_sales]]-Cleaned_Data[[#This Row],[Discount_Amount]]</f>
        <v>31320</v>
      </c>
      <c r="P653" t="str">
        <f>TEXT(Cleaned_Data[[#This Row],[Order_Date]],"MMM-YYYY")</f>
        <v>Jun-2023</v>
      </c>
      <c r="Q653" t="str">
        <f>"Q"&amp;ROUNDUP(MONTH(Cleaned_Data[[#This Row],[Order_Date]])/3,0)&amp;"-2023"</f>
        <v>Q2-2023</v>
      </c>
      <c r="R653" t="str">
        <f>TEXT(Cleaned_Data[[#This Row],[Order_Date]],"DDD")</f>
        <v>Tue</v>
      </c>
      <c r="S653" t="str">
        <f>IF(Cleaned_Data[[#This Row],[Net_Sales]]&gt;=100000,"High",IF(Cleaned_Data[[#This Row],[Net_Sales]]&gt;=50000,"Medium","Low"))</f>
        <v>Low</v>
      </c>
    </row>
    <row r="654" spans="1:19" x14ac:dyDescent="0.3">
      <c r="A654" t="s">
        <v>802</v>
      </c>
      <c r="B654" s="1">
        <v>45127</v>
      </c>
      <c r="C654" t="s">
        <v>236</v>
      </c>
      <c r="D654" t="s">
        <v>237</v>
      </c>
      <c r="E654" t="s">
        <v>23</v>
      </c>
      <c r="F654" t="s">
        <v>44</v>
      </c>
      <c r="G654" t="s">
        <v>17</v>
      </c>
      <c r="H654" t="s">
        <v>196</v>
      </c>
      <c r="I654">
        <v>1</v>
      </c>
      <c r="J654" s="8">
        <v>34200</v>
      </c>
      <c r="K654">
        <v>5</v>
      </c>
      <c r="L654" t="s">
        <v>103</v>
      </c>
      <c r="M654" s="5">
        <f>Cleaned_Data[[#This Row],[Quantity]]*Cleaned_Data[[#This Row],[Unit_Price]]</f>
        <v>34200</v>
      </c>
      <c r="N654" s="7">
        <f>Cleaned_Data[[#This Row],[Total_sales]]*(Cleaned_Data[[#This Row],[Discount_Percent]]/100)</f>
        <v>1710</v>
      </c>
      <c r="O654" s="7">
        <f>Cleaned_Data[[#This Row],[Total_sales]]-Cleaned_Data[[#This Row],[Discount_Amount]]</f>
        <v>32490</v>
      </c>
      <c r="P654" t="str">
        <f>TEXT(Cleaned_Data[[#This Row],[Order_Date]],"MMM-YYYY")</f>
        <v>Jul-2023</v>
      </c>
      <c r="Q654" t="str">
        <f>"Q"&amp;ROUNDUP(MONTH(Cleaned_Data[[#This Row],[Order_Date]])/3,0)&amp;"-2023"</f>
        <v>Q3-2023</v>
      </c>
      <c r="R654" t="str">
        <f>TEXT(Cleaned_Data[[#This Row],[Order_Date]],"DDD")</f>
        <v>Thu</v>
      </c>
      <c r="S654" t="str">
        <f>IF(Cleaned_Data[[#This Row],[Net_Sales]]&gt;=100000,"High",IF(Cleaned_Data[[#This Row],[Net_Sales]]&gt;=50000,"Medium","Low"))</f>
        <v>Low</v>
      </c>
    </row>
    <row r="655" spans="1:19" x14ac:dyDescent="0.3">
      <c r="A655" t="s">
        <v>803</v>
      </c>
      <c r="B655" s="1">
        <v>45127</v>
      </c>
      <c r="C655" t="s">
        <v>163</v>
      </c>
      <c r="D655" t="s">
        <v>73</v>
      </c>
      <c r="E655" t="s">
        <v>81</v>
      </c>
      <c r="F655" t="s">
        <v>82</v>
      </c>
      <c r="G655" t="s">
        <v>17</v>
      </c>
      <c r="H655" t="s">
        <v>77</v>
      </c>
      <c r="I655">
        <v>1</v>
      </c>
      <c r="J655" s="8">
        <v>57900</v>
      </c>
      <c r="K655">
        <v>10</v>
      </c>
      <c r="L655" t="s">
        <v>33</v>
      </c>
      <c r="M655" s="5">
        <f>Cleaned_Data[[#This Row],[Quantity]]*Cleaned_Data[[#This Row],[Unit_Price]]</f>
        <v>57900</v>
      </c>
      <c r="N655" s="7">
        <f>Cleaned_Data[[#This Row],[Total_sales]]*(Cleaned_Data[[#This Row],[Discount_Percent]]/100)</f>
        <v>5790</v>
      </c>
      <c r="O655" s="7">
        <f>Cleaned_Data[[#This Row],[Total_sales]]-Cleaned_Data[[#This Row],[Discount_Amount]]</f>
        <v>52110</v>
      </c>
      <c r="P655" t="str">
        <f>TEXT(Cleaned_Data[[#This Row],[Order_Date]],"MMM-YYYY")</f>
        <v>Jul-2023</v>
      </c>
      <c r="Q655" t="str">
        <f>"Q"&amp;ROUNDUP(MONTH(Cleaned_Data[[#This Row],[Order_Date]])/3,0)&amp;"-2023"</f>
        <v>Q3-2023</v>
      </c>
      <c r="R655" t="str">
        <f>TEXT(Cleaned_Data[[#This Row],[Order_Date]],"DDD")</f>
        <v>Thu</v>
      </c>
      <c r="S655" t="str">
        <f>IF(Cleaned_Data[[#This Row],[Net_Sales]]&gt;=100000,"High",IF(Cleaned_Data[[#This Row],[Net_Sales]]&gt;=50000,"Medium","Low"))</f>
        <v>Medium</v>
      </c>
    </row>
    <row r="656" spans="1:19" x14ac:dyDescent="0.3">
      <c r="A656" t="s">
        <v>804</v>
      </c>
      <c r="B656" s="1">
        <v>45127</v>
      </c>
      <c r="C656" t="s">
        <v>64</v>
      </c>
      <c r="D656" t="s">
        <v>65</v>
      </c>
      <c r="E656" t="s">
        <v>15</v>
      </c>
      <c r="F656" t="s">
        <v>131</v>
      </c>
      <c r="G656" t="s">
        <v>45</v>
      </c>
      <c r="H656" t="s">
        <v>156</v>
      </c>
      <c r="I656">
        <v>1</v>
      </c>
      <c r="J656" s="8">
        <v>25000</v>
      </c>
      <c r="K656">
        <v>5</v>
      </c>
      <c r="L656" t="s">
        <v>33</v>
      </c>
      <c r="M656" s="5">
        <f>Cleaned_Data[[#This Row],[Quantity]]*Cleaned_Data[[#This Row],[Unit_Price]]</f>
        <v>25000</v>
      </c>
      <c r="N656" s="7">
        <f>Cleaned_Data[[#This Row],[Total_sales]]*(Cleaned_Data[[#This Row],[Discount_Percent]]/100)</f>
        <v>1250</v>
      </c>
      <c r="O656" s="7">
        <f>Cleaned_Data[[#This Row],[Total_sales]]-Cleaned_Data[[#This Row],[Discount_Amount]]</f>
        <v>23750</v>
      </c>
      <c r="P656" t="str">
        <f>TEXT(Cleaned_Data[[#This Row],[Order_Date]],"MMM-YYYY")</f>
        <v>Jul-2023</v>
      </c>
      <c r="Q656" t="str">
        <f>"Q"&amp;ROUNDUP(MONTH(Cleaned_Data[[#This Row],[Order_Date]])/3,0)&amp;"-2023"</f>
        <v>Q3-2023</v>
      </c>
      <c r="R656" t="str">
        <f>TEXT(Cleaned_Data[[#This Row],[Order_Date]],"DDD")</f>
        <v>Thu</v>
      </c>
      <c r="S656" t="str">
        <f>IF(Cleaned_Data[[#This Row],[Net_Sales]]&gt;=100000,"High",IF(Cleaned_Data[[#This Row],[Net_Sales]]&gt;=50000,"Medium","Low"))</f>
        <v>Low</v>
      </c>
    </row>
    <row r="657" spans="1:19" x14ac:dyDescent="0.3">
      <c r="A657" t="s">
        <v>805</v>
      </c>
      <c r="B657" s="1">
        <v>45158</v>
      </c>
      <c r="C657" t="s">
        <v>147</v>
      </c>
      <c r="D657" t="s">
        <v>148</v>
      </c>
      <c r="E657" t="s">
        <v>66</v>
      </c>
      <c r="F657" t="s">
        <v>67</v>
      </c>
      <c r="G657" t="s">
        <v>25</v>
      </c>
      <c r="H657" t="s">
        <v>108</v>
      </c>
      <c r="I657">
        <v>2</v>
      </c>
      <c r="J657" s="8">
        <v>2900</v>
      </c>
      <c r="K657">
        <v>20</v>
      </c>
      <c r="L657" t="s">
        <v>73</v>
      </c>
      <c r="M657" s="5">
        <f>Cleaned_Data[[#This Row],[Quantity]]*Cleaned_Data[[#This Row],[Unit_Price]]</f>
        <v>5800</v>
      </c>
      <c r="N657" s="7">
        <f>Cleaned_Data[[#This Row],[Total_sales]]*(Cleaned_Data[[#This Row],[Discount_Percent]]/100)</f>
        <v>1160</v>
      </c>
      <c r="O657" s="7">
        <f>Cleaned_Data[[#This Row],[Total_sales]]-Cleaned_Data[[#This Row],[Discount_Amount]]</f>
        <v>4640</v>
      </c>
      <c r="P657" t="str">
        <f>TEXT(Cleaned_Data[[#This Row],[Order_Date]],"MMM-YYYY")</f>
        <v>Aug-2023</v>
      </c>
      <c r="Q657" t="str">
        <f>"Q"&amp;ROUNDUP(MONTH(Cleaned_Data[[#This Row],[Order_Date]])/3,0)&amp;"-2023"</f>
        <v>Q3-2023</v>
      </c>
      <c r="R657" t="str">
        <f>TEXT(Cleaned_Data[[#This Row],[Order_Date]],"DDD")</f>
        <v>Sun</v>
      </c>
      <c r="S657" t="str">
        <f>IF(Cleaned_Data[[#This Row],[Net_Sales]]&gt;=100000,"High",IF(Cleaned_Data[[#This Row],[Net_Sales]]&gt;=50000,"Medium","Low"))</f>
        <v>Low</v>
      </c>
    </row>
    <row r="658" spans="1:19" x14ac:dyDescent="0.3">
      <c r="A658" t="s">
        <v>806</v>
      </c>
      <c r="B658" s="1">
        <v>45158</v>
      </c>
      <c r="C658" t="s">
        <v>59</v>
      </c>
      <c r="D658" t="s">
        <v>60</v>
      </c>
      <c r="E658" t="s">
        <v>37</v>
      </c>
      <c r="F658" t="s">
        <v>141</v>
      </c>
      <c r="G658" t="s">
        <v>45</v>
      </c>
      <c r="H658" t="s">
        <v>156</v>
      </c>
      <c r="I658">
        <v>1</v>
      </c>
      <c r="J658" s="8">
        <v>41100</v>
      </c>
      <c r="K658">
        <v>10</v>
      </c>
      <c r="L658" t="s">
        <v>19</v>
      </c>
      <c r="M658" s="5">
        <f>Cleaned_Data[[#This Row],[Quantity]]*Cleaned_Data[[#This Row],[Unit_Price]]</f>
        <v>41100</v>
      </c>
      <c r="N658" s="7">
        <f>Cleaned_Data[[#This Row],[Total_sales]]*(Cleaned_Data[[#This Row],[Discount_Percent]]/100)</f>
        <v>4110</v>
      </c>
      <c r="O658" s="7">
        <f>Cleaned_Data[[#This Row],[Total_sales]]-Cleaned_Data[[#This Row],[Discount_Amount]]</f>
        <v>36990</v>
      </c>
      <c r="P658" t="str">
        <f>TEXT(Cleaned_Data[[#This Row],[Order_Date]],"MMM-YYYY")</f>
        <v>Aug-2023</v>
      </c>
      <c r="Q658" t="str">
        <f>"Q"&amp;ROUNDUP(MONTH(Cleaned_Data[[#This Row],[Order_Date]])/3,0)&amp;"-2023"</f>
        <v>Q3-2023</v>
      </c>
      <c r="R658" t="str">
        <f>TEXT(Cleaned_Data[[#This Row],[Order_Date]],"DDD")</f>
        <v>Sun</v>
      </c>
      <c r="S658" t="str">
        <f>IF(Cleaned_Data[[#This Row],[Net_Sales]]&gt;=100000,"High",IF(Cleaned_Data[[#This Row],[Net_Sales]]&gt;=50000,"Medium","Low"))</f>
        <v>Low</v>
      </c>
    </row>
    <row r="659" spans="1:19" x14ac:dyDescent="0.3">
      <c r="A659" t="s">
        <v>807</v>
      </c>
      <c r="B659" s="1">
        <v>45158</v>
      </c>
      <c r="C659" t="s">
        <v>122</v>
      </c>
      <c r="D659" t="s">
        <v>123</v>
      </c>
      <c r="E659" t="s">
        <v>15</v>
      </c>
      <c r="F659" t="s">
        <v>128</v>
      </c>
      <c r="G659" t="s">
        <v>39</v>
      </c>
      <c r="H659" t="s">
        <v>102</v>
      </c>
      <c r="I659">
        <v>1</v>
      </c>
      <c r="J659" s="8">
        <v>26300</v>
      </c>
      <c r="K659">
        <v>20</v>
      </c>
      <c r="L659" t="s">
        <v>73</v>
      </c>
      <c r="M659" s="5">
        <f>Cleaned_Data[[#This Row],[Quantity]]*Cleaned_Data[[#This Row],[Unit_Price]]</f>
        <v>26300</v>
      </c>
      <c r="N659" s="7">
        <f>Cleaned_Data[[#This Row],[Total_sales]]*(Cleaned_Data[[#This Row],[Discount_Percent]]/100)</f>
        <v>5260</v>
      </c>
      <c r="O659" s="7">
        <f>Cleaned_Data[[#This Row],[Total_sales]]-Cleaned_Data[[#This Row],[Discount_Amount]]</f>
        <v>21040</v>
      </c>
      <c r="P659" t="str">
        <f>TEXT(Cleaned_Data[[#This Row],[Order_Date]],"MMM-YYYY")</f>
        <v>Aug-2023</v>
      </c>
      <c r="Q659" t="str">
        <f>"Q"&amp;ROUNDUP(MONTH(Cleaned_Data[[#This Row],[Order_Date]])/3,0)&amp;"-2023"</f>
        <v>Q3-2023</v>
      </c>
      <c r="R659" t="str">
        <f>TEXT(Cleaned_Data[[#This Row],[Order_Date]],"DDD")</f>
        <v>Sun</v>
      </c>
      <c r="S659" t="str">
        <f>IF(Cleaned_Data[[#This Row],[Net_Sales]]&gt;=100000,"High",IF(Cleaned_Data[[#This Row],[Net_Sales]]&gt;=50000,"Medium","Low"))</f>
        <v>Low</v>
      </c>
    </row>
    <row r="660" spans="1:19" x14ac:dyDescent="0.3">
      <c r="A660" t="s">
        <v>808</v>
      </c>
      <c r="B660" s="1">
        <v>45158</v>
      </c>
      <c r="C660" t="s">
        <v>75</v>
      </c>
      <c r="D660" t="s">
        <v>76</v>
      </c>
      <c r="E660" t="s">
        <v>15</v>
      </c>
      <c r="F660" t="s">
        <v>128</v>
      </c>
      <c r="G660" t="s">
        <v>97</v>
      </c>
      <c r="H660" t="s">
        <v>133</v>
      </c>
      <c r="I660">
        <v>1</v>
      </c>
      <c r="J660" s="8">
        <v>54300</v>
      </c>
      <c r="K660">
        <v>0</v>
      </c>
      <c r="L660" t="s">
        <v>19</v>
      </c>
      <c r="M660" s="5">
        <f>Cleaned_Data[[#This Row],[Quantity]]*Cleaned_Data[[#This Row],[Unit_Price]]</f>
        <v>54300</v>
      </c>
      <c r="N660" s="7">
        <f>Cleaned_Data[[#This Row],[Total_sales]]*(Cleaned_Data[[#This Row],[Discount_Percent]]/100)</f>
        <v>0</v>
      </c>
      <c r="O660" s="7">
        <f>Cleaned_Data[[#This Row],[Total_sales]]-Cleaned_Data[[#This Row],[Discount_Amount]]</f>
        <v>54300</v>
      </c>
      <c r="P660" t="str">
        <f>TEXT(Cleaned_Data[[#This Row],[Order_Date]],"MMM-YYYY")</f>
        <v>Aug-2023</v>
      </c>
      <c r="Q660" t="str">
        <f>"Q"&amp;ROUNDUP(MONTH(Cleaned_Data[[#This Row],[Order_Date]])/3,0)&amp;"-2023"</f>
        <v>Q3-2023</v>
      </c>
      <c r="R660" t="str">
        <f>TEXT(Cleaned_Data[[#This Row],[Order_Date]],"DDD")</f>
        <v>Sun</v>
      </c>
      <c r="S660" t="str">
        <f>IF(Cleaned_Data[[#This Row],[Net_Sales]]&gt;=100000,"High",IF(Cleaned_Data[[#This Row],[Net_Sales]]&gt;=50000,"Medium","Low"))</f>
        <v>Medium</v>
      </c>
    </row>
    <row r="661" spans="1:19" x14ac:dyDescent="0.3">
      <c r="A661" t="s">
        <v>809</v>
      </c>
      <c r="B661" s="1">
        <v>45219</v>
      </c>
      <c r="C661" t="s">
        <v>112</v>
      </c>
      <c r="D661" t="s">
        <v>113</v>
      </c>
      <c r="E661" t="s">
        <v>37</v>
      </c>
      <c r="F661" t="s">
        <v>61</v>
      </c>
      <c r="G661" t="s">
        <v>39</v>
      </c>
      <c r="H661" t="s">
        <v>68</v>
      </c>
      <c r="I661">
        <v>1</v>
      </c>
      <c r="J661" s="8">
        <v>17700</v>
      </c>
      <c r="K661">
        <v>20</v>
      </c>
      <c r="L661" t="s">
        <v>103</v>
      </c>
      <c r="M661" s="5">
        <f>Cleaned_Data[[#This Row],[Quantity]]*Cleaned_Data[[#This Row],[Unit_Price]]</f>
        <v>17700</v>
      </c>
      <c r="N661" s="7">
        <f>Cleaned_Data[[#This Row],[Total_sales]]*(Cleaned_Data[[#This Row],[Discount_Percent]]/100)</f>
        <v>3540</v>
      </c>
      <c r="O661" s="7">
        <f>Cleaned_Data[[#This Row],[Total_sales]]-Cleaned_Data[[#This Row],[Discount_Amount]]</f>
        <v>14160</v>
      </c>
      <c r="P661" t="str">
        <f>TEXT(Cleaned_Data[[#This Row],[Order_Date]],"MMM-YYYY")</f>
        <v>Oct-2023</v>
      </c>
      <c r="Q661" t="str">
        <f>"Q"&amp;ROUNDUP(MONTH(Cleaned_Data[[#This Row],[Order_Date]])/3,0)&amp;"-2023"</f>
        <v>Q4-2023</v>
      </c>
      <c r="R661" t="str">
        <f>TEXT(Cleaned_Data[[#This Row],[Order_Date]],"DDD")</f>
        <v>Fri</v>
      </c>
      <c r="S661" t="str">
        <f>IF(Cleaned_Data[[#This Row],[Net_Sales]]&gt;=100000,"High",IF(Cleaned_Data[[#This Row],[Net_Sales]]&gt;=50000,"Medium","Low"))</f>
        <v>Low</v>
      </c>
    </row>
    <row r="662" spans="1:19" x14ac:dyDescent="0.3">
      <c r="A662" t="s">
        <v>810</v>
      </c>
      <c r="B662" s="1">
        <v>45219</v>
      </c>
      <c r="C662" t="s">
        <v>232</v>
      </c>
      <c r="D662" t="s">
        <v>233</v>
      </c>
      <c r="E662" t="s">
        <v>15</v>
      </c>
      <c r="F662" t="s">
        <v>128</v>
      </c>
      <c r="G662" t="s">
        <v>25</v>
      </c>
      <c r="H662" t="s">
        <v>32</v>
      </c>
      <c r="I662">
        <v>2</v>
      </c>
      <c r="J662" s="8">
        <v>1700</v>
      </c>
      <c r="K662">
        <v>0</v>
      </c>
      <c r="L662" t="s">
        <v>47</v>
      </c>
      <c r="M662" s="5">
        <f>Cleaned_Data[[#This Row],[Quantity]]*Cleaned_Data[[#This Row],[Unit_Price]]</f>
        <v>3400</v>
      </c>
      <c r="N662" s="7">
        <f>Cleaned_Data[[#This Row],[Total_sales]]*(Cleaned_Data[[#This Row],[Discount_Percent]]/100)</f>
        <v>0</v>
      </c>
      <c r="O662" s="7">
        <f>Cleaned_Data[[#This Row],[Total_sales]]-Cleaned_Data[[#This Row],[Discount_Amount]]</f>
        <v>3400</v>
      </c>
      <c r="P662" t="str">
        <f>TEXT(Cleaned_Data[[#This Row],[Order_Date]],"MMM-YYYY")</f>
        <v>Oct-2023</v>
      </c>
      <c r="Q662" t="str">
        <f>"Q"&amp;ROUNDUP(MONTH(Cleaned_Data[[#This Row],[Order_Date]])/3,0)&amp;"-2023"</f>
        <v>Q4-2023</v>
      </c>
      <c r="R662" t="str">
        <f>TEXT(Cleaned_Data[[#This Row],[Order_Date]],"DDD")</f>
        <v>Fri</v>
      </c>
      <c r="S662" t="str">
        <f>IF(Cleaned_Data[[#This Row],[Net_Sales]]&gt;=100000,"High",IF(Cleaned_Data[[#This Row],[Net_Sales]]&gt;=50000,"Medium","Low"))</f>
        <v>Low</v>
      </c>
    </row>
    <row r="663" spans="1:19" x14ac:dyDescent="0.3">
      <c r="A663" t="s">
        <v>811</v>
      </c>
      <c r="B663" s="1">
        <v>45219</v>
      </c>
      <c r="C663" t="s">
        <v>188</v>
      </c>
      <c r="D663" t="s">
        <v>189</v>
      </c>
      <c r="E663" t="s">
        <v>66</v>
      </c>
      <c r="F663" t="s">
        <v>72</v>
      </c>
      <c r="G663" t="s">
        <v>39</v>
      </c>
      <c r="H663" t="s">
        <v>40</v>
      </c>
      <c r="I663">
        <v>1</v>
      </c>
      <c r="J663" s="8">
        <v>30100</v>
      </c>
      <c r="K663">
        <v>0</v>
      </c>
      <c r="L663" t="s">
        <v>33</v>
      </c>
      <c r="M663" s="5">
        <f>Cleaned_Data[[#This Row],[Quantity]]*Cleaned_Data[[#This Row],[Unit_Price]]</f>
        <v>30100</v>
      </c>
      <c r="N663" s="7">
        <f>Cleaned_Data[[#This Row],[Total_sales]]*(Cleaned_Data[[#This Row],[Discount_Percent]]/100)</f>
        <v>0</v>
      </c>
      <c r="O663" s="7">
        <f>Cleaned_Data[[#This Row],[Total_sales]]-Cleaned_Data[[#This Row],[Discount_Amount]]</f>
        <v>30100</v>
      </c>
      <c r="P663" t="str">
        <f>TEXT(Cleaned_Data[[#This Row],[Order_Date]],"MMM-YYYY")</f>
        <v>Oct-2023</v>
      </c>
      <c r="Q663" t="str">
        <f>"Q"&amp;ROUNDUP(MONTH(Cleaned_Data[[#This Row],[Order_Date]])/3,0)&amp;"-2023"</f>
        <v>Q4-2023</v>
      </c>
      <c r="R663" t="str">
        <f>TEXT(Cleaned_Data[[#This Row],[Order_Date]],"DDD")</f>
        <v>Fri</v>
      </c>
      <c r="S663" t="str">
        <f>IF(Cleaned_Data[[#This Row],[Net_Sales]]&gt;=100000,"High",IF(Cleaned_Data[[#This Row],[Net_Sales]]&gt;=50000,"Medium","Low"))</f>
        <v>Low</v>
      </c>
    </row>
    <row r="664" spans="1:19" x14ac:dyDescent="0.3">
      <c r="A664" t="s">
        <v>812</v>
      </c>
      <c r="B664" s="1">
        <v>45250</v>
      </c>
      <c r="C664" t="s">
        <v>135</v>
      </c>
      <c r="D664" t="s">
        <v>136</v>
      </c>
      <c r="E664" t="s">
        <v>66</v>
      </c>
      <c r="F664" t="s">
        <v>87</v>
      </c>
      <c r="G664" t="s">
        <v>17</v>
      </c>
      <c r="H664" t="s">
        <v>88</v>
      </c>
      <c r="I664">
        <v>1</v>
      </c>
      <c r="J664" s="8">
        <v>51900</v>
      </c>
      <c r="K664">
        <v>5</v>
      </c>
      <c r="L664" t="s">
        <v>33</v>
      </c>
      <c r="M664" s="5">
        <f>Cleaned_Data[[#This Row],[Quantity]]*Cleaned_Data[[#This Row],[Unit_Price]]</f>
        <v>51900</v>
      </c>
      <c r="N664" s="7">
        <f>Cleaned_Data[[#This Row],[Total_sales]]*(Cleaned_Data[[#This Row],[Discount_Percent]]/100)</f>
        <v>2595</v>
      </c>
      <c r="O664" s="7">
        <f>Cleaned_Data[[#This Row],[Total_sales]]-Cleaned_Data[[#This Row],[Discount_Amount]]</f>
        <v>49305</v>
      </c>
      <c r="P664" t="str">
        <f>TEXT(Cleaned_Data[[#This Row],[Order_Date]],"MMM-YYYY")</f>
        <v>Nov-2023</v>
      </c>
      <c r="Q664" t="str">
        <f>"Q"&amp;ROUNDUP(MONTH(Cleaned_Data[[#This Row],[Order_Date]])/3,0)&amp;"-2023"</f>
        <v>Q4-2023</v>
      </c>
      <c r="R664" t="str">
        <f>TEXT(Cleaned_Data[[#This Row],[Order_Date]],"DDD")</f>
        <v>Mon</v>
      </c>
      <c r="S664" t="str">
        <f>IF(Cleaned_Data[[#This Row],[Net_Sales]]&gt;=100000,"High",IF(Cleaned_Data[[#This Row],[Net_Sales]]&gt;=50000,"Medium","Low"))</f>
        <v>Low</v>
      </c>
    </row>
    <row r="665" spans="1:19" x14ac:dyDescent="0.3">
      <c r="A665" t="s">
        <v>813</v>
      </c>
      <c r="B665" s="1">
        <v>45280</v>
      </c>
      <c r="C665" t="s">
        <v>244</v>
      </c>
      <c r="D665" t="s">
        <v>245</v>
      </c>
      <c r="E665" t="s">
        <v>23</v>
      </c>
      <c r="F665" t="s">
        <v>44</v>
      </c>
      <c r="G665" t="s">
        <v>25</v>
      </c>
      <c r="H665" t="s">
        <v>212</v>
      </c>
      <c r="I665">
        <v>2</v>
      </c>
      <c r="J665" s="8">
        <v>1800</v>
      </c>
      <c r="K665">
        <v>0</v>
      </c>
      <c r="L665" t="s">
        <v>47</v>
      </c>
      <c r="M665" s="5">
        <f>Cleaned_Data[[#This Row],[Quantity]]*Cleaned_Data[[#This Row],[Unit_Price]]</f>
        <v>3600</v>
      </c>
      <c r="N665" s="7">
        <f>Cleaned_Data[[#This Row],[Total_sales]]*(Cleaned_Data[[#This Row],[Discount_Percent]]/100)</f>
        <v>0</v>
      </c>
      <c r="O665" s="7">
        <f>Cleaned_Data[[#This Row],[Total_sales]]-Cleaned_Data[[#This Row],[Discount_Amount]]</f>
        <v>3600</v>
      </c>
      <c r="P665" t="str">
        <f>TEXT(Cleaned_Data[[#This Row],[Order_Date]],"MMM-YYYY")</f>
        <v>Dec-2023</v>
      </c>
      <c r="Q665" t="str">
        <f>"Q"&amp;ROUNDUP(MONTH(Cleaned_Data[[#This Row],[Order_Date]])/3,0)&amp;"-2023"</f>
        <v>Q4-2023</v>
      </c>
      <c r="R665" t="str">
        <f>TEXT(Cleaned_Data[[#This Row],[Order_Date]],"DDD")</f>
        <v>Wed</v>
      </c>
      <c r="S665" t="str">
        <f>IF(Cleaned_Data[[#This Row],[Net_Sales]]&gt;=100000,"High",IF(Cleaned_Data[[#This Row],[Net_Sales]]&gt;=50000,"Medium","Low"))</f>
        <v>Low</v>
      </c>
    </row>
    <row r="666" spans="1:19" x14ac:dyDescent="0.3">
      <c r="A666" t="s">
        <v>814</v>
      </c>
      <c r="B666" s="1">
        <v>45280</v>
      </c>
      <c r="C666" t="s">
        <v>165</v>
      </c>
      <c r="D666" t="s">
        <v>166</v>
      </c>
      <c r="E666" t="s">
        <v>66</v>
      </c>
      <c r="F666" t="s">
        <v>92</v>
      </c>
      <c r="G666" t="s">
        <v>97</v>
      </c>
      <c r="H666" t="s">
        <v>171</v>
      </c>
      <c r="I666">
        <v>1</v>
      </c>
      <c r="J666" s="8">
        <v>62400</v>
      </c>
      <c r="K666">
        <v>0</v>
      </c>
      <c r="L666" t="s">
        <v>33</v>
      </c>
      <c r="M666" s="5">
        <f>Cleaned_Data[[#This Row],[Quantity]]*Cleaned_Data[[#This Row],[Unit_Price]]</f>
        <v>62400</v>
      </c>
      <c r="N666" s="7">
        <f>Cleaned_Data[[#This Row],[Total_sales]]*(Cleaned_Data[[#This Row],[Discount_Percent]]/100)</f>
        <v>0</v>
      </c>
      <c r="O666" s="7">
        <f>Cleaned_Data[[#This Row],[Total_sales]]-Cleaned_Data[[#This Row],[Discount_Amount]]</f>
        <v>62400</v>
      </c>
      <c r="P666" t="str">
        <f>TEXT(Cleaned_Data[[#This Row],[Order_Date]],"MMM-YYYY")</f>
        <v>Dec-2023</v>
      </c>
      <c r="Q666" t="str">
        <f>"Q"&amp;ROUNDUP(MONTH(Cleaned_Data[[#This Row],[Order_Date]])/3,0)&amp;"-2023"</f>
        <v>Q4-2023</v>
      </c>
      <c r="R666" t="str">
        <f>TEXT(Cleaned_Data[[#This Row],[Order_Date]],"DDD")</f>
        <v>Wed</v>
      </c>
      <c r="S666" t="str">
        <f>IF(Cleaned_Data[[#This Row],[Net_Sales]]&gt;=100000,"High",IF(Cleaned_Data[[#This Row],[Net_Sales]]&gt;=50000,"Medium","Low"))</f>
        <v>Medium</v>
      </c>
    </row>
    <row r="667" spans="1:19" x14ac:dyDescent="0.3">
      <c r="A667" t="s">
        <v>815</v>
      </c>
      <c r="B667" s="1">
        <v>45280</v>
      </c>
      <c r="C667" t="s">
        <v>42</v>
      </c>
      <c r="D667" t="s">
        <v>43</v>
      </c>
      <c r="E667" t="s">
        <v>23</v>
      </c>
      <c r="F667" t="s">
        <v>31</v>
      </c>
      <c r="G667" t="s">
        <v>17</v>
      </c>
      <c r="H667" t="s">
        <v>18</v>
      </c>
      <c r="I667">
        <v>1</v>
      </c>
      <c r="J667" s="8">
        <v>57400</v>
      </c>
      <c r="K667">
        <v>25</v>
      </c>
      <c r="L667" t="s">
        <v>33</v>
      </c>
      <c r="M667" s="5">
        <f>Cleaned_Data[[#This Row],[Quantity]]*Cleaned_Data[[#This Row],[Unit_Price]]</f>
        <v>57400</v>
      </c>
      <c r="N667" s="7">
        <f>Cleaned_Data[[#This Row],[Total_sales]]*(Cleaned_Data[[#This Row],[Discount_Percent]]/100)</f>
        <v>14350</v>
      </c>
      <c r="O667" s="7">
        <f>Cleaned_Data[[#This Row],[Total_sales]]-Cleaned_Data[[#This Row],[Discount_Amount]]</f>
        <v>43050</v>
      </c>
      <c r="P667" t="str">
        <f>TEXT(Cleaned_Data[[#This Row],[Order_Date]],"MMM-YYYY")</f>
        <v>Dec-2023</v>
      </c>
      <c r="Q667" t="str">
        <f>"Q"&amp;ROUNDUP(MONTH(Cleaned_Data[[#This Row],[Order_Date]])/3,0)&amp;"-2023"</f>
        <v>Q4-2023</v>
      </c>
      <c r="R667" t="str">
        <f>TEXT(Cleaned_Data[[#This Row],[Order_Date]],"DDD")</f>
        <v>Wed</v>
      </c>
      <c r="S667" t="str">
        <f>IF(Cleaned_Data[[#This Row],[Net_Sales]]&gt;=100000,"High",IF(Cleaned_Data[[#This Row],[Net_Sales]]&gt;=50000,"Medium","Low"))</f>
        <v>Low</v>
      </c>
    </row>
    <row r="668" spans="1:19" x14ac:dyDescent="0.3">
      <c r="A668" t="s">
        <v>816</v>
      </c>
      <c r="B668" s="1">
        <v>45280</v>
      </c>
      <c r="C668" t="s">
        <v>75</v>
      </c>
      <c r="D668" t="s">
        <v>76</v>
      </c>
      <c r="E668" t="s">
        <v>23</v>
      </c>
      <c r="F668" t="s">
        <v>31</v>
      </c>
      <c r="G668" t="s">
        <v>45</v>
      </c>
      <c r="H668" t="s">
        <v>46</v>
      </c>
      <c r="I668">
        <v>1</v>
      </c>
      <c r="J668" s="8">
        <v>36900</v>
      </c>
      <c r="K668">
        <v>5</v>
      </c>
      <c r="L668" t="s">
        <v>73</v>
      </c>
      <c r="M668" s="5">
        <f>Cleaned_Data[[#This Row],[Quantity]]*Cleaned_Data[[#This Row],[Unit_Price]]</f>
        <v>36900</v>
      </c>
      <c r="N668" s="7">
        <f>Cleaned_Data[[#This Row],[Total_sales]]*(Cleaned_Data[[#This Row],[Discount_Percent]]/100)</f>
        <v>1845</v>
      </c>
      <c r="O668" s="7">
        <f>Cleaned_Data[[#This Row],[Total_sales]]-Cleaned_Data[[#This Row],[Discount_Amount]]</f>
        <v>35055</v>
      </c>
      <c r="P668" t="str">
        <f>TEXT(Cleaned_Data[[#This Row],[Order_Date]],"MMM-YYYY")</f>
        <v>Dec-2023</v>
      </c>
      <c r="Q668" t="str">
        <f>"Q"&amp;ROUNDUP(MONTH(Cleaned_Data[[#This Row],[Order_Date]])/3,0)&amp;"-2023"</f>
        <v>Q4-2023</v>
      </c>
      <c r="R668" t="str">
        <f>TEXT(Cleaned_Data[[#This Row],[Order_Date]],"DDD")</f>
        <v>Wed</v>
      </c>
      <c r="S668" t="str">
        <f>IF(Cleaned_Data[[#This Row],[Net_Sales]]&gt;=100000,"High",IF(Cleaned_Data[[#This Row],[Net_Sales]]&gt;=50000,"Medium","Low"))</f>
        <v>Low</v>
      </c>
    </row>
    <row r="669" spans="1:19" x14ac:dyDescent="0.3">
      <c r="A669" t="s">
        <v>817</v>
      </c>
      <c r="B669" s="1">
        <v>44947</v>
      </c>
      <c r="C669" t="s">
        <v>185</v>
      </c>
      <c r="D669" t="s">
        <v>186</v>
      </c>
      <c r="E669" t="s">
        <v>37</v>
      </c>
      <c r="F669" t="s">
        <v>61</v>
      </c>
      <c r="G669" t="s">
        <v>45</v>
      </c>
      <c r="H669" t="s">
        <v>156</v>
      </c>
      <c r="I669">
        <v>1</v>
      </c>
      <c r="J669" s="8">
        <v>30100</v>
      </c>
      <c r="K669">
        <v>10</v>
      </c>
      <c r="L669" t="s">
        <v>103</v>
      </c>
      <c r="M669" s="5">
        <f>Cleaned_Data[[#This Row],[Quantity]]*Cleaned_Data[[#This Row],[Unit_Price]]</f>
        <v>30100</v>
      </c>
      <c r="N669" s="7">
        <f>Cleaned_Data[[#This Row],[Total_sales]]*(Cleaned_Data[[#This Row],[Discount_Percent]]/100)</f>
        <v>3010</v>
      </c>
      <c r="O669" s="7">
        <f>Cleaned_Data[[#This Row],[Total_sales]]-Cleaned_Data[[#This Row],[Discount_Amount]]</f>
        <v>27090</v>
      </c>
      <c r="P669" t="str">
        <f>TEXT(Cleaned_Data[[#This Row],[Order_Date]],"MMM-YYYY")</f>
        <v>Jan-2023</v>
      </c>
      <c r="Q669" t="str">
        <f>"Q"&amp;ROUNDUP(MONTH(Cleaned_Data[[#This Row],[Order_Date]])/3,0)&amp;"-2023"</f>
        <v>Q1-2023</v>
      </c>
      <c r="R669" t="str">
        <f>TEXT(Cleaned_Data[[#This Row],[Order_Date]],"DDD")</f>
        <v>Sat</v>
      </c>
      <c r="S669" t="str">
        <f>IF(Cleaned_Data[[#This Row],[Net_Sales]]&gt;=100000,"High",IF(Cleaned_Data[[#This Row],[Net_Sales]]&gt;=50000,"Medium","Low"))</f>
        <v>Low</v>
      </c>
    </row>
    <row r="670" spans="1:19" x14ac:dyDescent="0.3">
      <c r="A670" t="s">
        <v>818</v>
      </c>
      <c r="B670" s="1">
        <v>44947</v>
      </c>
      <c r="C670" t="s">
        <v>180</v>
      </c>
      <c r="D670" t="s">
        <v>181</v>
      </c>
      <c r="E670" t="s">
        <v>15</v>
      </c>
      <c r="F670" t="s">
        <v>16</v>
      </c>
      <c r="G670" t="s">
        <v>25</v>
      </c>
      <c r="H670" t="s">
        <v>32</v>
      </c>
      <c r="I670">
        <v>2</v>
      </c>
      <c r="J670" s="8">
        <v>2500</v>
      </c>
      <c r="K670">
        <v>0</v>
      </c>
      <c r="L670" t="s">
        <v>19</v>
      </c>
      <c r="M670" s="5">
        <f>Cleaned_Data[[#This Row],[Quantity]]*Cleaned_Data[[#This Row],[Unit_Price]]</f>
        <v>5000</v>
      </c>
      <c r="N670" s="7">
        <f>Cleaned_Data[[#This Row],[Total_sales]]*(Cleaned_Data[[#This Row],[Discount_Percent]]/100)</f>
        <v>0</v>
      </c>
      <c r="O670" s="7">
        <f>Cleaned_Data[[#This Row],[Total_sales]]-Cleaned_Data[[#This Row],[Discount_Amount]]</f>
        <v>5000</v>
      </c>
      <c r="P670" t="str">
        <f>TEXT(Cleaned_Data[[#This Row],[Order_Date]],"MMM-YYYY")</f>
        <v>Jan-2023</v>
      </c>
      <c r="Q670" t="str">
        <f>"Q"&amp;ROUNDUP(MONTH(Cleaned_Data[[#This Row],[Order_Date]])/3,0)&amp;"-2023"</f>
        <v>Q1-2023</v>
      </c>
      <c r="R670" t="str">
        <f>TEXT(Cleaned_Data[[#This Row],[Order_Date]],"DDD")</f>
        <v>Sat</v>
      </c>
      <c r="S670" t="str">
        <f>IF(Cleaned_Data[[#This Row],[Net_Sales]]&gt;=100000,"High",IF(Cleaned_Data[[#This Row],[Net_Sales]]&gt;=50000,"Medium","Low"))</f>
        <v>Low</v>
      </c>
    </row>
    <row r="671" spans="1:19" x14ac:dyDescent="0.3">
      <c r="A671" t="s">
        <v>819</v>
      </c>
      <c r="B671" s="1">
        <v>44947</v>
      </c>
      <c r="C671" t="s">
        <v>244</v>
      </c>
      <c r="D671" t="s">
        <v>245</v>
      </c>
      <c r="E671" t="s">
        <v>81</v>
      </c>
      <c r="F671" t="s">
        <v>117</v>
      </c>
      <c r="G671" t="s">
        <v>17</v>
      </c>
      <c r="H671" t="s">
        <v>88</v>
      </c>
      <c r="I671">
        <v>1</v>
      </c>
      <c r="J671" s="8">
        <v>33800</v>
      </c>
      <c r="K671">
        <v>10</v>
      </c>
      <c r="L671" t="s">
        <v>27</v>
      </c>
      <c r="M671" s="5">
        <f>Cleaned_Data[[#This Row],[Quantity]]*Cleaned_Data[[#This Row],[Unit_Price]]</f>
        <v>33800</v>
      </c>
      <c r="N671" s="7">
        <f>Cleaned_Data[[#This Row],[Total_sales]]*(Cleaned_Data[[#This Row],[Discount_Percent]]/100)</f>
        <v>3380</v>
      </c>
      <c r="O671" s="7">
        <f>Cleaned_Data[[#This Row],[Total_sales]]-Cleaned_Data[[#This Row],[Discount_Amount]]</f>
        <v>30420</v>
      </c>
      <c r="P671" t="str">
        <f>TEXT(Cleaned_Data[[#This Row],[Order_Date]],"MMM-YYYY")</f>
        <v>Jan-2023</v>
      </c>
      <c r="Q671" t="str">
        <f>"Q"&amp;ROUNDUP(MONTH(Cleaned_Data[[#This Row],[Order_Date]])/3,0)&amp;"-2023"</f>
        <v>Q1-2023</v>
      </c>
      <c r="R671" t="str">
        <f>TEXT(Cleaned_Data[[#This Row],[Order_Date]],"DDD")</f>
        <v>Sat</v>
      </c>
      <c r="S671" t="str">
        <f>IF(Cleaned_Data[[#This Row],[Net_Sales]]&gt;=100000,"High",IF(Cleaned_Data[[#This Row],[Net_Sales]]&gt;=50000,"Medium","Low"))</f>
        <v>Low</v>
      </c>
    </row>
    <row r="672" spans="1:19" x14ac:dyDescent="0.3">
      <c r="A672" t="s">
        <v>820</v>
      </c>
      <c r="B672" s="1">
        <v>44978</v>
      </c>
      <c r="C672" t="s">
        <v>59</v>
      </c>
      <c r="D672" t="s">
        <v>60</v>
      </c>
      <c r="E672" t="s">
        <v>37</v>
      </c>
      <c r="F672" t="s">
        <v>61</v>
      </c>
      <c r="G672" t="s">
        <v>39</v>
      </c>
      <c r="H672" t="s">
        <v>102</v>
      </c>
      <c r="I672">
        <v>1</v>
      </c>
      <c r="J672" s="8">
        <v>20700</v>
      </c>
      <c r="K672">
        <v>10</v>
      </c>
      <c r="L672" t="s">
        <v>53</v>
      </c>
      <c r="M672" s="5">
        <f>Cleaned_Data[[#This Row],[Quantity]]*Cleaned_Data[[#This Row],[Unit_Price]]</f>
        <v>20700</v>
      </c>
      <c r="N672" s="7">
        <f>Cleaned_Data[[#This Row],[Total_sales]]*(Cleaned_Data[[#This Row],[Discount_Percent]]/100)</f>
        <v>2070</v>
      </c>
      <c r="O672" s="7">
        <f>Cleaned_Data[[#This Row],[Total_sales]]-Cleaned_Data[[#This Row],[Discount_Amount]]</f>
        <v>18630</v>
      </c>
      <c r="P672" t="str">
        <f>TEXT(Cleaned_Data[[#This Row],[Order_Date]],"MMM-YYYY")</f>
        <v>Feb-2023</v>
      </c>
      <c r="Q672" t="str">
        <f>"Q"&amp;ROUNDUP(MONTH(Cleaned_Data[[#This Row],[Order_Date]])/3,0)&amp;"-2023"</f>
        <v>Q1-2023</v>
      </c>
      <c r="R672" t="str">
        <f>TEXT(Cleaned_Data[[#This Row],[Order_Date]],"DDD")</f>
        <v>Tue</v>
      </c>
      <c r="S672" t="str">
        <f>IF(Cleaned_Data[[#This Row],[Net_Sales]]&gt;=100000,"High",IF(Cleaned_Data[[#This Row],[Net_Sales]]&gt;=50000,"Medium","Low"))</f>
        <v>Low</v>
      </c>
    </row>
    <row r="673" spans="1:19" x14ac:dyDescent="0.3">
      <c r="A673" t="s">
        <v>821</v>
      </c>
      <c r="B673" s="1">
        <v>45006</v>
      </c>
      <c r="C673" t="s">
        <v>183</v>
      </c>
      <c r="D673" t="s">
        <v>27</v>
      </c>
      <c r="E673" t="s">
        <v>37</v>
      </c>
      <c r="F673" t="s">
        <v>61</v>
      </c>
      <c r="G673" t="s">
        <v>97</v>
      </c>
      <c r="H673" t="s">
        <v>174</v>
      </c>
      <c r="I673">
        <v>1</v>
      </c>
      <c r="J673" s="8">
        <v>63600</v>
      </c>
      <c r="K673">
        <v>10</v>
      </c>
      <c r="L673" t="s">
        <v>53</v>
      </c>
      <c r="M673" s="5">
        <f>Cleaned_Data[[#This Row],[Quantity]]*Cleaned_Data[[#This Row],[Unit_Price]]</f>
        <v>63600</v>
      </c>
      <c r="N673" s="7">
        <f>Cleaned_Data[[#This Row],[Total_sales]]*(Cleaned_Data[[#This Row],[Discount_Percent]]/100)</f>
        <v>6360</v>
      </c>
      <c r="O673" s="7">
        <f>Cleaned_Data[[#This Row],[Total_sales]]-Cleaned_Data[[#This Row],[Discount_Amount]]</f>
        <v>57240</v>
      </c>
      <c r="P673" t="str">
        <f>TEXT(Cleaned_Data[[#This Row],[Order_Date]],"MMM-YYYY")</f>
        <v>Mar-2023</v>
      </c>
      <c r="Q673" t="str">
        <f>"Q"&amp;ROUNDUP(MONTH(Cleaned_Data[[#This Row],[Order_Date]])/3,0)&amp;"-2023"</f>
        <v>Q1-2023</v>
      </c>
      <c r="R673" t="str">
        <f>TEXT(Cleaned_Data[[#This Row],[Order_Date]],"DDD")</f>
        <v>Tue</v>
      </c>
      <c r="S673" t="str">
        <f>IF(Cleaned_Data[[#This Row],[Net_Sales]]&gt;=100000,"High",IF(Cleaned_Data[[#This Row],[Net_Sales]]&gt;=50000,"Medium","Low"))</f>
        <v>Medium</v>
      </c>
    </row>
    <row r="674" spans="1:19" x14ac:dyDescent="0.3">
      <c r="A674" t="s">
        <v>822</v>
      </c>
      <c r="B674" s="1">
        <v>45006</v>
      </c>
      <c r="C674" t="s">
        <v>165</v>
      </c>
      <c r="D674" t="s">
        <v>166</v>
      </c>
      <c r="E674" t="s">
        <v>23</v>
      </c>
      <c r="F674" t="s">
        <v>24</v>
      </c>
      <c r="G674" t="s">
        <v>97</v>
      </c>
      <c r="H674" t="s">
        <v>133</v>
      </c>
      <c r="I674">
        <v>1</v>
      </c>
      <c r="J674" s="8">
        <v>61000</v>
      </c>
      <c r="K674">
        <v>25</v>
      </c>
      <c r="L674" t="s">
        <v>103</v>
      </c>
      <c r="M674" s="5">
        <f>Cleaned_Data[[#This Row],[Quantity]]*Cleaned_Data[[#This Row],[Unit_Price]]</f>
        <v>61000</v>
      </c>
      <c r="N674" s="7">
        <f>Cleaned_Data[[#This Row],[Total_sales]]*(Cleaned_Data[[#This Row],[Discount_Percent]]/100)</f>
        <v>15250</v>
      </c>
      <c r="O674" s="7">
        <f>Cleaned_Data[[#This Row],[Total_sales]]-Cleaned_Data[[#This Row],[Discount_Amount]]</f>
        <v>45750</v>
      </c>
      <c r="P674" t="str">
        <f>TEXT(Cleaned_Data[[#This Row],[Order_Date]],"MMM-YYYY")</f>
        <v>Mar-2023</v>
      </c>
      <c r="Q674" t="str">
        <f>"Q"&amp;ROUNDUP(MONTH(Cleaned_Data[[#This Row],[Order_Date]])/3,0)&amp;"-2023"</f>
        <v>Q1-2023</v>
      </c>
      <c r="R674" t="str">
        <f>TEXT(Cleaned_Data[[#This Row],[Order_Date]],"DDD")</f>
        <v>Tue</v>
      </c>
      <c r="S674" t="str">
        <f>IF(Cleaned_Data[[#This Row],[Net_Sales]]&gt;=100000,"High",IF(Cleaned_Data[[#This Row],[Net_Sales]]&gt;=50000,"Medium","Low"))</f>
        <v>Low</v>
      </c>
    </row>
    <row r="675" spans="1:19" x14ac:dyDescent="0.3">
      <c r="A675" t="s">
        <v>823</v>
      </c>
      <c r="B675" s="1">
        <v>45006</v>
      </c>
      <c r="C675" t="s">
        <v>188</v>
      </c>
      <c r="D675" t="s">
        <v>189</v>
      </c>
      <c r="E675" t="s">
        <v>66</v>
      </c>
      <c r="F675" t="s">
        <v>87</v>
      </c>
      <c r="G675" t="s">
        <v>97</v>
      </c>
      <c r="H675" t="s">
        <v>98</v>
      </c>
      <c r="I675">
        <v>1</v>
      </c>
      <c r="J675" s="8">
        <v>80000</v>
      </c>
      <c r="K675">
        <v>20</v>
      </c>
      <c r="L675" t="s">
        <v>19</v>
      </c>
      <c r="M675" s="5">
        <f>Cleaned_Data[[#This Row],[Quantity]]*Cleaned_Data[[#This Row],[Unit_Price]]</f>
        <v>80000</v>
      </c>
      <c r="N675" s="7">
        <f>Cleaned_Data[[#This Row],[Total_sales]]*(Cleaned_Data[[#This Row],[Discount_Percent]]/100)</f>
        <v>16000</v>
      </c>
      <c r="O675" s="7">
        <f>Cleaned_Data[[#This Row],[Total_sales]]-Cleaned_Data[[#This Row],[Discount_Amount]]</f>
        <v>64000</v>
      </c>
      <c r="P675" t="str">
        <f>TEXT(Cleaned_Data[[#This Row],[Order_Date]],"MMM-YYYY")</f>
        <v>Mar-2023</v>
      </c>
      <c r="Q675" t="str">
        <f>"Q"&amp;ROUNDUP(MONTH(Cleaned_Data[[#This Row],[Order_Date]])/3,0)&amp;"-2023"</f>
        <v>Q1-2023</v>
      </c>
      <c r="R675" t="str">
        <f>TEXT(Cleaned_Data[[#This Row],[Order_Date]],"DDD")</f>
        <v>Tue</v>
      </c>
      <c r="S675" t="str">
        <f>IF(Cleaned_Data[[#This Row],[Net_Sales]]&gt;=100000,"High",IF(Cleaned_Data[[#This Row],[Net_Sales]]&gt;=50000,"Medium","Low"))</f>
        <v>Medium</v>
      </c>
    </row>
    <row r="676" spans="1:19" x14ac:dyDescent="0.3">
      <c r="A676" t="s">
        <v>824</v>
      </c>
      <c r="B676" s="1">
        <v>45006</v>
      </c>
      <c r="C676" t="s">
        <v>112</v>
      </c>
      <c r="D676" t="s">
        <v>113</v>
      </c>
      <c r="E676" t="s">
        <v>23</v>
      </c>
      <c r="F676" t="s">
        <v>24</v>
      </c>
      <c r="G676" t="s">
        <v>97</v>
      </c>
      <c r="H676" t="s">
        <v>171</v>
      </c>
      <c r="I676">
        <v>2</v>
      </c>
      <c r="J676" s="8">
        <v>50700</v>
      </c>
      <c r="K676">
        <v>25</v>
      </c>
      <c r="L676" t="s">
        <v>47</v>
      </c>
      <c r="M676" s="5">
        <f>Cleaned_Data[[#This Row],[Quantity]]*Cleaned_Data[[#This Row],[Unit_Price]]</f>
        <v>101400</v>
      </c>
      <c r="N676" s="7">
        <f>Cleaned_Data[[#This Row],[Total_sales]]*(Cleaned_Data[[#This Row],[Discount_Percent]]/100)</f>
        <v>25350</v>
      </c>
      <c r="O676" s="7">
        <f>Cleaned_Data[[#This Row],[Total_sales]]-Cleaned_Data[[#This Row],[Discount_Amount]]</f>
        <v>76050</v>
      </c>
      <c r="P676" t="str">
        <f>TEXT(Cleaned_Data[[#This Row],[Order_Date]],"MMM-YYYY")</f>
        <v>Mar-2023</v>
      </c>
      <c r="Q676" t="str">
        <f>"Q"&amp;ROUNDUP(MONTH(Cleaned_Data[[#This Row],[Order_Date]])/3,0)&amp;"-2023"</f>
        <v>Q1-2023</v>
      </c>
      <c r="R676" t="str">
        <f>TEXT(Cleaned_Data[[#This Row],[Order_Date]],"DDD")</f>
        <v>Tue</v>
      </c>
      <c r="S676" t="str">
        <f>IF(Cleaned_Data[[#This Row],[Net_Sales]]&gt;=100000,"High",IF(Cleaned_Data[[#This Row],[Net_Sales]]&gt;=50000,"Medium","Low"))</f>
        <v>Medium</v>
      </c>
    </row>
    <row r="677" spans="1:19" x14ac:dyDescent="0.3">
      <c r="A677" t="s">
        <v>825</v>
      </c>
      <c r="B677" s="1">
        <v>45037</v>
      </c>
      <c r="C677" t="s">
        <v>115</v>
      </c>
      <c r="D677" t="s">
        <v>116</v>
      </c>
      <c r="E677" t="s">
        <v>15</v>
      </c>
      <c r="F677" t="s">
        <v>119</v>
      </c>
      <c r="G677" t="s">
        <v>25</v>
      </c>
      <c r="H677" t="s">
        <v>124</v>
      </c>
      <c r="I677">
        <v>2</v>
      </c>
      <c r="J677" s="8">
        <v>1700</v>
      </c>
      <c r="K677">
        <v>0</v>
      </c>
      <c r="L677" t="s">
        <v>33</v>
      </c>
      <c r="M677" s="5">
        <f>Cleaned_Data[[#This Row],[Quantity]]*Cleaned_Data[[#This Row],[Unit_Price]]</f>
        <v>3400</v>
      </c>
      <c r="N677" s="7">
        <f>Cleaned_Data[[#This Row],[Total_sales]]*(Cleaned_Data[[#This Row],[Discount_Percent]]/100)</f>
        <v>0</v>
      </c>
      <c r="O677" s="7">
        <f>Cleaned_Data[[#This Row],[Total_sales]]-Cleaned_Data[[#This Row],[Discount_Amount]]</f>
        <v>3400</v>
      </c>
      <c r="P677" t="str">
        <f>TEXT(Cleaned_Data[[#This Row],[Order_Date]],"MMM-YYYY")</f>
        <v>Apr-2023</v>
      </c>
      <c r="Q677" t="str">
        <f>"Q"&amp;ROUNDUP(MONTH(Cleaned_Data[[#This Row],[Order_Date]])/3,0)&amp;"-2023"</f>
        <v>Q2-2023</v>
      </c>
      <c r="R677" t="str">
        <f>TEXT(Cleaned_Data[[#This Row],[Order_Date]],"DDD")</f>
        <v>Fri</v>
      </c>
      <c r="S677" t="str">
        <f>IF(Cleaned_Data[[#This Row],[Net_Sales]]&gt;=100000,"High",IF(Cleaned_Data[[#This Row],[Net_Sales]]&gt;=50000,"Medium","Low"))</f>
        <v>Low</v>
      </c>
    </row>
    <row r="678" spans="1:19" x14ac:dyDescent="0.3">
      <c r="A678" t="s">
        <v>826</v>
      </c>
      <c r="B678" s="1">
        <v>45037</v>
      </c>
      <c r="C678" t="s">
        <v>122</v>
      </c>
      <c r="D678" t="s">
        <v>123</v>
      </c>
      <c r="E678" t="s">
        <v>37</v>
      </c>
      <c r="F678" t="s">
        <v>141</v>
      </c>
      <c r="G678" t="s">
        <v>97</v>
      </c>
      <c r="H678" t="s">
        <v>98</v>
      </c>
      <c r="I678">
        <v>1</v>
      </c>
      <c r="J678" s="8">
        <v>63300</v>
      </c>
      <c r="K678">
        <v>5</v>
      </c>
      <c r="L678" t="s">
        <v>19</v>
      </c>
      <c r="M678" s="5">
        <f>Cleaned_Data[[#This Row],[Quantity]]*Cleaned_Data[[#This Row],[Unit_Price]]</f>
        <v>63300</v>
      </c>
      <c r="N678" s="7">
        <f>Cleaned_Data[[#This Row],[Total_sales]]*(Cleaned_Data[[#This Row],[Discount_Percent]]/100)</f>
        <v>3165</v>
      </c>
      <c r="O678" s="7">
        <f>Cleaned_Data[[#This Row],[Total_sales]]-Cleaned_Data[[#This Row],[Discount_Amount]]</f>
        <v>60135</v>
      </c>
      <c r="P678" t="str">
        <f>TEXT(Cleaned_Data[[#This Row],[Order_Date]],"MMM-YYYY")</f>
        <v>Apr-2023</v>
      </c>
      <c r="Q678" t="str">
        <f>"Q"&amp;ROUNDUP(MONTH(Cleaned_Data[[#This Row],[Order_Date]])/3,0)&amp;"-2023"</f>
        <v>Q2-2023</v>
      </c>
      <c r="R678" t="str">
        <f>TEXT(Cleaned_Data[[#This Row],[Order_Date]],"DDD")</f>
        <v>Fri</v>
      </c>
      <c r="S678" t="str">
        <f>IF(Cleaned_Data[[#This Row],[Net_Sales]]&gt;=100000,"High",IF(Cleaned_Data[[#This Row],[Net_Sales]]&gt;=50000,"Medium","Low"))</f>
        <v>Medium</v>
      </c>
    </row>
    <row r="679" spans="1:19" x14ac:dyDescent="0.3">
      <c r="A679" t="s">
        <v>827</v>
      </c>
      <c r="B679" s="1">
        <v>45067</v>
      </c>
      <c r="C679" t="s">
        <v>185</v>
      </c>
      <c r="D679" t="s">
        <v>186</v>
      </c>
      <c r="E679" t="s">
        <v>37</v>
      </c>
      <c r="F679" t="s">
        <v>141</v>
      </c>
      <c r="G679" t="s">
        <v>17</v>
      </c>
      <c r="H679" t="s">
        <v>168</v>
      </c>
      <c r="I679">
        <v>1</v>
      </c>
      <c r="J679" s="8">
        <v>42300</v>
      </c>
      <c r="K679">
        <v>20</v>
      </c>
      <c r="L679" t="s">
        <v>73</v>
      </c>
      <c r="M679" s="5">
        <f>Cleaned_Data[[#This Row],[Quantity]]*Cleaned_Data[[#This Row],[Unit_Price]]</f>
        <v>42300</v>
      </c>
      <c r="N679" s="7">
        <f>Cleaned_Data[[#This Row],[Total_sales]]*(Cleaned_Data[[#This Row],[Discount_Percent]]/100)</f>
        <v>8460</v>
      </c>
      <c r="O679" s="7">
        <f>Cleaned_Data[[#This Row],[Total_sales]]-Cleaned_Data[[#This Row],[Discount_Amount]]</f>
        <v>33840</v>
      </c>
      <c r="P679" t="str">
        <f>TEXT(Cleaned_Data[[#This Row],[Order_Date]],"MMM-YYYY")</f>
        <v>May-2023</v>
      </c>
      <c r="Q679" t="str">
        <f>"Q"&amp;ROUNDUP(MONTH(Cleaned_Data[[#This Row],[Order_Date]])/3,0)&amp;"-2023"</f>
        <v>Q2-2023</v>
      </c>
      <c r="R679" t="str">
        <f>TEXT(Cleaned_Data[[#This Row],[Order_Date]],"DDD")</f>
        <v>Sun</v>
      </c>
      <c r="S679" t="str">
        <f>IF(Cleaned_Data[[#This Row],[Net_Sales]]&gt;=100000,"High",IF(Cleaned_Data[[#This Row],[Net_Sales]]&gt;=50000,"Medium","Low"))</f>
        <v>Low</v>
      </c>
    </row>
    <row r="680" spans="1:19" x14ac:dyDescent="0.3">
      <c r="A680" t="s">
        <v>828</v>
      </c>
      <c r="B680" s="1">
        <v>45067</v>
      </c>
      <c r="C680" t="s">
        <v>185</v>
      </c>
      <c r="D680" t="s">
        <v>186</v>
      </c>
      <c r="E680" t="s">
        <v>23</v>
      </c>
      <c r="F680" t="s">
        <v>24</v>
      </c>
      <c r="G680" t="s">
        <v>25</v>
      </c>
      <c r="H680" t="s">
        <v>124</v>
      </c>
      <c r="I680">
        <v>1</v>
      </c>
      <c r="J680" s="8">
        <v>1700</v>
      </c>
      <c r="K680">
        <v>20</v>
      </c>
      <c r="L680" t="s">
        <v>103</v>
      </c>
      <c r="M680" s="5">
        <f>Cleaned_Data[[#This Row],[Quantity]]*Cleaned_Data[[#This Row],[Unit_Price]]</f>
        <v>1700</v>
      </c>
      <c r="N680" s="7">
        <f>Cleaned_Data[[#This Row],[Total_sales]]*(Cleaned_Data[[#This Row],[Discount_Percent]]/100)</f>
        <v>340</v>
      </c>
      <c r="O680" s="7">
        <f>Cleaned_Data[[#This Row],[Total_sales]]-Cleaned_Data[[#This Row],[Discount_Amount]]</f>
        <v>1360</v>
      </c>
      <c r="P680" t="str">
        <f>TEXT(Cleaned_Data[[#This Row],[Order_Date]],"MMM-YYYY")</f>
        <v>May-2023</v>
      </c>
      <c r="Q680" t="str">
        <f>"Q"&amp;ROUNDUP(MONTH(Cleaned_Data[[#This Row],[Order_Date]])/3,0)&amp;"-2023"</f>
        <v>Q2-2023</v>
      </c>
      <c r="R680" t="str">
        <f>TEXT(Cleaned_Data[[#This Row],[Order_Date]],"DDD")</f>
        <v>Sun</v>
      </c>
      <c r="S680" t="str">
        <f>IF(Cleaned_Data[[#This Row],[Net_Sales]]&gt;=100000,"High",IF(Cleaned_Data[[#This Row],[Net_Sales]]&gt;=50000,"Medium","Low"))</f>
        <v>Low</v>
      </c>
    </row>
    <row r="681" spans="1:19" x14ac:dyDescent="0.3">
      <c r="A681" t="s">
        <v>829</v>
      </c>
      <c r="B681" s="1">
        <v>45067</v>
      </c>
      <c r="C681" t="s">
        <v>75</v>
      </c>
      <c r="D681" t="s">
        <v>76</v>
      </c>
      <c r="E681" t="s">
        <v>66</v>
      </c>
      <c r="F681" t="s">
        <v>92</v>
      </c>
      <c r="G681" t="s">
        <v>45</v>
      </c>
      <c r="H681" t="s">
        <v>156</v>
      </c>
      <c r="I681">
        <v>1</v>
      </c>
      <c r="J681" s="8">
        <v>45400</v>
      </c>
      <c r="K681">
        <v>0</v>
      </c>
      <c r="L681" t="s">
        <v>27</v>
      </c>
      <c r="M681" s="5">
        <f>Cleaned_Data[[#This Row],[Quantity]]*Cleaned_Data[[#This Row],[Unit_Price]]</f>
        <v>45400</v>
      </c>
      <c r="N681" s="7">
        <f>Cleaned_Data[[#This Row],[Total_sales]]*(Cleaned_Data[[#This Row],[Discount_Percent]]/100)</f>
        <v>0</v>
      </c>
      <c r="O681" s="7">
        <f>Cleaned_Data[[#This Row],[Total_sales]]-Cleaned_Data[[#This Row],[Discount_Amount]]</f>
        <v>45400</v>
      </c>
      <c r="P681" t="str">
        <f>TEXT(Cleaned_Data[[#This Row],[Order_Date]],"MMM-YYYY")</f>
        <v>May-2023</v>
      </c>
      <c r="Q681" t="str">
        <f>"Q"&amp;ROUNDUP(MONTH(Cleaned_Data[[#This Row],[Order_Date]])/3,0)&amp;"-2023"</f>
        <v>Q2-2023</v>
      </c>
      <c r="R681" t="str">
        <f>TEXT(Cleaned_Data[[#This Row],[Order_Date]],"DDD")</f>
        <v>Sun</v>
      </c>
      <c r="S681" t="str">
        <f>IF(Cleaned_Data[[#This Row],[Net_Sales]]&gt;=100000,"High",IF(Cleaned_Data[[#This Row],[Net_Sales]]&gt;=50000,"Medium","Low"))</f>
        <v>Low</v>
      </c>
    </row>
    <row r="682" spans="1:19" x14ac:dyDescent="0.3">
      <c r="A682" t="s">
        <v>830</v>
      </c>
      <c r="B682" s="1">
        <v>45098</v>
      </c>
      <c r="C682" t="s">
        <v>42</v>
      </c>
      <c r="D682" t="s">
        <v>43</v>
      </c>
      <c r="E682" t="s">
        <v>81</v>
      </c>
      <c r="F682" t="s">
        <v>110</v>
      </c>
      <c r="G682" t="s">
        <v>39</v>
      </c>
      <c r="H682" t="s">
        <v>68</v>
      </c>
      <c r="I682">
        <v>1</v>
      </c>
      <c r="J682" s="8">
        <v>18900</v>
      </c>
      <c r="K682">
        <v>0</v>
      </c>
      <c r="L682" t="s">
        <v>73</v>
      </c>
      <c r="M682" s="5">
        <f>Cleaned_Data[[#This Row],[Quantity]]*Cleaned_Data[[#This Row],[Unit_Price]]</f>
        <v>18900</v>
      </c>
      <c r="N682" s="7">
        <f>Cleaned_Data[[#This Row],[Total_sales]]*(Cleaned_Data[[#This Row],[Discount_Percent]]/100)</f>
        <v>0</v>
      </c>
      <c r="O682" s="7">
        <f>Cleaned_Data[[#This Row],[Total_sales]]-Cleaned_Data[[#This Row],[Discount_Amount]]</f>
        <v>18900</v>
      </c>
      <c r="P682" t="str">
        <f>TEXT(Cleaned_Data[[#This Row],[Order_Date]],"MMM-YYYY")</f>
        <v>Jun-2023</v>
      </c>
      <c r="Q682" t="str">
        <f>"Q"&amp;ROUNDUP(MONTH(Cleaned_Data[[#This Row],[Order_Date]])/3,0)&amp;"-2023"</f>
        <v>Q2-2023</v>
      </c>
      <c r="R682" t="str">
        <f>TEXT(Cleaned_Data[[#This Row],[Order_Date]],"DDD")</f>
        <v>Wed</v>
      </c>
      <c r="S682" t="str">
        <f>IF(Cleaned_Data[[#This Row],[Net_Sales]]&gt;=100000,"High",IF(Cleaned_Data[[#This Row],[Net_Sales]]&gt;=50000,"Medium","Low"))</f>
        <v>Low</v>
      </c>
    </row>
    <row r="683" spans="1:19" x14ac:dyDescent="0.3">
      <c r="A683" t="s">
        <v>831</v>
      </c>
      <c r="B683" s="1">
        <v>45098</v>
      </c>
      <c r="C683" t="s">
        <v>35</v>
      </c>
      <c r="D683" t="s">
        <v>36</v>
      </c>
      <c r="E683" t="s">
        <v>23</v>
      </c>
      <c r="F683" t="s">
        <v>44</v>
      </c>
      <c r="G683" t="s">
        <v>45</v>
      </c>
      <c r="H683" t="s">
        <v>207</v>
      </c>
      <c r="I683">
        <v>1</v>
      </c>
      <c r="J683" s="8">
        <v>28300</v>
      </c>
      <c r="K683">
        <v>5</v>
      </c>
      <c r="L683" t="s">
        <v>33</v>
      </c>
      <c r="M683" s="5">
        <f>Cleaned_Data[[#This Row],[Quantity]]*Cleaned_Data[[#This Row],[Unit_Price]]</f>
        <v>28300</v>
      </c>
      <c r="N683" s="7">
        <f>Cleaned_Data[[#This Row],[Total_sales]]*(Cleaned_Data[[#This Row],[Discount_Percent]]/100)</f>
        <v>1415</v>
      </c>
      <c r="O683" s="7">
        <f>Cleaned_Data[[#This Row],[Total_sales]]-Cleaned_Data[[#This Row],[Discount_Amount]]</f>
        <v>26885</v>
      </c>
      <c r="P683" t="str">
        <f>TEXT(Cleaned_Data[[#This Row],[Order_Date]],"MMM-YYYY")</f>
        <v>Jun-2023</v>
      </c>
      <c r="Q683" t="str">
        <f>"Q"&amp;ROUNDUP(MONTH(Cleaned_Data[[#This Row],[Order_Date]])/3,0)&amp;"-2023"</f>
        <v>Q2-2023</v>
      </c>
      <c r="R683" t="str">
        <f>TEXT(Cleaned_Data[[#This Row],[Order_Date]],"DDD")</f>
        <v>Wed</v>
      </c>
      <c r="S683" t="str">
        <f>IF(Cleaned_Data[[#This Row],[Net_Sales]]&gt;=100000,"High",IF(Cleaned_Data[[#This Row],[Net_Sales]]&gt;=50000,"Medium","Low"))</f>
        <v>Low</v>
      </c>
    </row>
    <row r="684" spans="1:19" x14ac:dyDescent="0.3">
      <c r="A684" t="s">
        <v>832</v>
      </c>
      <c r="B684" s="1">
        <v>45128</v>
      </c>
      <c r="C684" t="s">
        <v>165</v>
      </c>
      <c r="D684" t="s">
        <v>166</v>
      </c>
      <c r="E684" t="s">
        <v>15</v>
      </c>
      <c r="F684" t="s">
        <v>119</v>
      </c>
      <c r="G684" t="s">
        <v>17</v>
      </c>
      <c r="H684" t="s">
        <v>88</v>
      </c>
      <c r="I684">
        <v>1</v>
      </c>
      <c r="J684" s="8">
        <v>43200</v>
      </c>
      <c r="K684">
        <v>10</v>
      </c>
      <c r="L684" t="s">
        <v>27</v>
      </c>
      <c r="M684" s="5">
        <f>Cleaned_Data[[#This Row],[Quantity]]*Cleaned_Data[[#This Row],[Unit_Price]]</f>
        <v>43200</v>
      </c>
      <c r="N684" s="7">
        <f>Cleaned_Data[[#This Row],[Total_sales]]*(Cleaned_Data[[#This Row],[Discount_Percent]]/100)</f>
        <v>4320</v>
      </c>
      <c r="O684" s="7">
        <f>Cleaned_Data[[#This Row],[Total_sales]]-Cleaned_Data[[#This Row],[Discount_Amount]]</f>
        <v>38880</v>
      </c>
      <c r="P684" t="str">
        <f>TEXT(Cleaned_Data[[#This Row],[Order_Date]],"MMM-YYYY")</f>
        <v>Jul-2023</v>
      </c>
      <c r="Q684" t="str">
        <f>"Q"&amp;ROUNDUP(MONTH(Cleaned_Data[[#This Row],[Order_Date]])/3,0)&amp;"-2023"</f>
        <v>Q3-2023</v>
      </c>
      <c r="R684" t="str">
        <f>TEXT(Cleaned_Data[[#This Row],[Order_Date]],"DDD")</f>
        <v>Fri</v>
      </c>
      <c r="S684" t="str">
        <f>IF(Cleaned_Data[[#This Row],[Net_Sales]]&gt;=100000,"High",IF(Cleaned_Data[[#This Row],[Net_Sales]]&gt;=50000,"Medium","Low"))</f>
        <v>Low</v>
      </c>
    </row>
    <row r="685" spans="1:19" x14ac:dyDescent="0.3">
      <c r="A685" t="s">
        <v>833</v>
      </c>
      <c r="B685" s="1">
        <v>45128</v>
      </c>
      <c r="C685" t="s">
        <v>55</v>
      </c>
      <c r="D685" t="s">
        <v>56</v>
      </c>
      <c r="E685" t="s">
        <v>15</v>
      </c>
      <c r="F685" t="s">
        <v>131</v>
      </c>
      <c r="G685" t="s">
        <v>97</v>
      </c>
      <c r="H685" t="s">
        <v>133</v>
      </c>
      <c r="I685">
        <v>1</v>
      </c>
      <c r="J685" s="8">
        <v>66300</v>
      </c>
      <c r="K685">
        <v>0</v>
      </c>
      <c r="L685" t="s">
        <v>62</v>
      </c>
      <c r="M685" s="5">
        <f>Cleaned_Data[[#This Row],[Quantity]]*Cleaned_Data[[#This Row],[Unit_Price]]</f>
        <v>66300</v>
      </c>
      <c r="N685" s="7">
        <f>Cleaned_Data[[#This Row],[Total_sales]]*(Cleaned_Data[[#This Row],[Discount_Percent]]/100)</f>
        <v>0</v>
      </c>
      <c r="O685" s="7">
        <f>Cleaned_Data[[#This Row],[Total_sales]]-Cleaned_Data[[#This Row],[Discount_Amount]]</f>
        <v>66300</v>
      </c>
      <c r="P685" t="str">
        <f>TEXT(Cleaned_Data[[#This Row],[Order_Date]],"MMM-YYYY")</f>
        <v>Jul-2023</v>
      </c>
      <c r="Q685" t="str">
        <f>"Q"&amp;ROUNDUP(MONTH(Cleaned_Data[[#This Row],[Order_Date]])/3,0)&amp;"-2023"</f>
        <v>Q3-2023</v>
      </c>
      <c r="R685" t="str">
        <f>TEXT(Cleaned_Data[[#This Row],[Order_Date]],"DDD")</f>
        <v>Fri</v>
      </c>
      <c r="S685" t="str">
        <f>IF(Cleaned_Data[[#This Row],[Net_Sales]]&gt;=100000,"High",IF(Cleaned_Data[[#This Row],[Net_Sales]]&gt;=50000,"Medium","Low"))</f>
        <v>Medium</v>
      </c>
    </row>
    <row r="686" spans="1:19" x14ac:dyDescent="0.3">
      <c r="A686" t="s">
        <v>834</v>
      </c>
      <c r="B686" s="1">
        <v>45159</v>
      </c>
      <c r="C686" t="s">
        <v>151</v>
      </c>
      <c r="D686" t="s">
        <v>152</v>
      </c>
      <c r="E686" t="s">
        <v>66</v>
      </c>
      <c r="F686" t="s">
        <v>67</v>
      </c>
      <c r="G686" t="s">
        <v>97</v>
      </c>
      <c r="H686" t="s">
        <v>133</v>
      </c>
      <c r="I686">
        <v>2</v>
      </c>
      <c r="J686" s="8">
        <v>64000</v>
      </c>
      <c r="K686">
        <v>0</v>
      </c>
      <c r="L686" t="s">
        <v>73</v>
      </c>
      <c r="M686" s="5">
        <f>Cleaned_Data[[#This Row],[Quantity]]*Cleaned_Data[[#This Row],[Unit_Price]]</f>
        <v>128000</v>
      </c>
      <c r="N686" s="7">
        <f>Cleaned_Data[[#This Row],[Total_sales]]*(Cleaned_Data[[#This Row],[Discount_Percent]]/100)</f>
        <v>0</v>
      </c>
      <c r="O686" s="7">
        <f>Cleaned_Data[[#This Row],[Total_sales]]-Cleaned_Data[[#This Row],[Discount_Amount]]</f>
        <v>128000</v>
      </c>
      <c r="P686" t="str">
        <f>TEXT(Cleaned_Data[[#This Row],[Order_Date]],"MMM-YYYY")</f>
        <v>Aug-2023</v>
      </c>
      <c r="Q686" t="str">
        <f>"Q"&amp;ROUNDUP(MONTH(Cleaned_Data[[#This Row],[Order_Date]])/3,0)&amp;"-2023"</f>
        <v>Q3-2023</v>
      </c>
      <c r="R686" t="str">
        <f>TEXT(Cleaned_Data[[#This Row],[Order_Date]],"DDD")</f>
        <v>Mon</v>
      </c>
      <c r="S686" t="str">
        <f>IF(Cleaned_Data[[#This Row],[Net_Sales]]&gt;=100000,"High",IF(Cleaned_Data[[#This Row],[Net_Sales]]&gt;=50000,"Medium","Low"))</f>
        <v>High</v>
      </c>
    </row>
    <row r="687" spans="1:19" x14ac:dyDescent="0.3">
      <c r="A687" t="s">
        <v>835</v>
      </c>
      <c r="B687" s="1">
        <v>45159</v>
      </c>
      <c r="C687" t="s">
        <v>165</v>
      </c>
      <c r="D687" t="s">
        <v>166</v>
      </c>
      <c r="E687" t="s">
        <v>66</v>
      </c>
      <c r="F687" t="s">
        <v>72</v>
      </c>
      <c r="G687" t="s">
        <v>97</v>
      </c>
      <c r="H687" t="s">
        <v>154</v>
      </c>
      <c r="I687">
        <v>1</v>
      </c>
      <c r="J687" s="8">
        <v>80000</v>
      </c>
      <c r="K687">
        <v>25</v>
      </c>
      <c r="L687" t="s">
        <v>33</v>
      </c>
      <c r="M687" s="5">
        <f>Cleaned_Data[[#This Row],[Quantity]]*Cleaned_Data[[#This Row],[Unit_Price]]</f>
        <v>80000</v>
      </c>
      <c r="N687" s="7">
        <f>Cleaned_Data[[#This Row],[Total_sales]]*(Cleaned_Data[[#This Row],[Discount_Percent]]/100)</f>
        <v>20000</v>
      </c>
      <c r="O687" s="7">
        <f>Cleaned_Data[[#This Row],[Total_sales]]-Cleaned_Data[[#This Row],[Discount_Amount]]</f>
        <v>60000</v>
      </c>
      <c r="P687" t="str">
        <f>TEXT(Cleaned_Data[[#This Row],[Order_Date]],"MMM-YYYY")</f>
        <v>Aug-2023</v>
      </c>
      <c r="Q687" t="str">
        <f>"Q"&amp;ROUNDUP(MONTH(Cleaned_Data[[#This Row],[Order_Date]])/3,0)&amp;"-2023"</f>
        <v>Q3-2023</v>
      </c>
      <c r="R687" t="str">
        <f>TEXT(Cleaned_Data[[#This Row],[Order_Date]],"DDD")</f>
        <v>Mon</v>
      </c>
      <c r="S687" t="str">
        <f>IF(Cleaned_Data[[#This Row],[Net_Sales]]&gt;=100000,"High",IF(Cleaned_Data[[#This Row],[Net_Sales]]&gt;=50000,"Medium","Low"))</f>
        <v>Medium</v>
      </c>
    </row>
    <row r="688" spans="1:19" x14ac:dyDescent="0.3">
      <c r="A688" t="s">
        <v>836</v>
      </c>
      <c r="B688" s="1">
        <v>45159</v>
      </c>
      <c r="C688" t="s">
        <v>232</v>
      </c>
      <c r="D688" t="s">
        <v>233</v>
      </c>
      <c r="E688" t="s">
        <v>23</v>
      </c>
      <c r="F688" t="s">
        <v>24</v>
      </c>
      <c r="G688" t="s">
        <v>45</v>
      </c>
      <c r="H688" t="s">
        <v>207</v>
      </c>
      <c r="I688">
        <v>1</v>
      </c>
      <c r="J688" s="8">
        <v>45300</v>
      </c>
      <c r="K688">
        <v>20</v>
      </c>
      <c r="L688" t="s">
        <v>47</v>
      </c>
      <c r="M688" s="5">
        <f>Cleaned_Data[[#This Row],[Quantity]]*Cleaned_Data[[#This Row],[Unit_Price]]</f>
        <v>45300</v>
      </c>
      <c r="N688" s="7">
        <f>Cleaned_Data[[#This Row],[Total_sales]]*(Cleaned_Data[[#This Row],[Discount_Percent]]/100)</f>
        <v>9060</v>
      </c>
      <c r="O688" s="7">
        <f>Cleaned_Data[[#This Row],[Total_sales]]-Cleaned_Data[[#This Row],[Discount_Amount]]</f>
        <v>36240</v>
      </c>
      <c r="P688" t="str">
        <f>TEXT(Cleaned_Data[[#This Row],[Order_Date]],"MMM-YYYY")</f>
        <v>Aug-2023</v>
      </c>
      <c r="Q688" t="str">
        <f>"Q"&amp;ROUNDUP(MONTH(Cleaned_Data[[#This Row],[Order_Date]])/3,0)&amp;"-2023"</f>
        <v>Q3-2023</v>
      </c>
      <c r="R688" t="str">
        <f>TEXT(Cleaned_Data[[#This Row],[Order_Date]],"DDD")</f>
        <v>Mon</v>
      </c>
      <c r="S688" t="str">
        <f>IF(Cleaned_Data[[#This Row],[Net_Sales]]&gt;=100000,"High",IF(Cleaned_Data[[#This Row],[Net_Sales]]&gt;=50000,"Medium","Low"))</f>
        <v>Low</v>
      </c>
    </row>
    <row r="689" spans="1:19" x14ac:dyDescent="0.3">
      <c r="A689" t="s">
        <v>837</v>
      </c>
      <c r="B689" s="1">
        <v>45159</v>
      </c>
      <c r="C689" t="s">
        <v>55</v>
      </c>
      <c r="D689" t="s">
        <v>56</v>
      </c>
      <c r="E689" t="s">
        <v>66</v>
      </c>
      <c r="F689" t="s">
        <v>87</v>
      </c>
      <c r="G689" t="s">
        <v>25</v>
      </c>
      <c r="H689" t="s">
        <v>32</v>
      </c>
      <c r="I689">
        <v>2</v>
      </c>
      <c r="J689" s="8">
        <v>900</v>
      </c>
      <c r="K689">
        <v>10</v>
      </c>
      <c r="L689" t="s">
        <v>103</v>
      </c>
      <c r="M689" s="5">
        <f>Cleaned_Data[[#This Row],[Quantity]]*Cleaned_Data[[#This Row],[Unit_Price]]</f>
        <v>1800</v>
      </c>
      <c r="N689" s="7">
        <f>Cleaned_Data[[#This Row],[Total_sales]]*(Cleaned_Data[[#This Row],[Discount_Percent]]/100)</f>
        <v>180</v>
      </c>
      <c r="O689" s="7">
        <f>Cleaned_Data[[#This Row],[Total_sales]]-Cleaned_Data[[#This Row],[Discount_Amount]]</f>
        <v>1620</v>
      </c>
      <c r="P689" t="str">
        <f>TEXT(Cleaned_Data[[#This Row],[Order_Date]],"MMM-YYYY")</f>
        <v>Aug-2023</v>
      </c>
      <c r="Q689" t="str">
        <f>"Q"&amp;ROUNDUP(MONTH(Cleaned_Data[[#This Row],[Order_Date]])/3,0)&amp;"-2023"</f>
        <v>Q3-2023</v>
      </c>
      <c r="R689" t="str">
        <f>TEXT(Cleaned_Data[[#This Row],[Order_Date]],"DDD")</f>
        <v>Mon</v>
      </c>
      <c r="S689" t="str">
        <f>IF(Cleaned_Data[[#This Row],[Net_Sales]]&gt;=100000,"High",IF(Cleaned_Data[[#This Row],[Net_Sales]]&gt;=50000,"Medium","Low"))</f>
        <v>Low</v>
      </c>
    </row>
    <row r="690" spans="1:19" x14ac:dyDescent="0.3">
      <c r="A690" t="s">
        <v>838</v>
      </c>
      <c r="B690" s="1">
        <v>45159</v>
      </c>
      <c r="C690" t="s">
        <v>183</v>
      </c>
      <c r="D690" t="s">
        <v>27</v>
      </c>
      <c r="E690" t="s">
        <v>81</v>
      </c>
      <c r="F690" t="s">
        <v>160</v>
      </c>
      <c r="G690" t="s">
        <v>39</v>
      </c>
      <c r="H690" t="s">
        <v>68</v>
      </c>
      <c r="I690">
        <v>1</v>
      </c>
      <c r="J690" s="8">
        <v>18700</v>
      </c>
      <c r="K690">
        <v>10</v>
      </c>
      <c r="L690" t="s">
        <v>33</v>
      </c>
      <c r="M690" s="5">
        <f>Cleaned_Data[[#This Row],[Quantity]]*Cleaned_Data[[#This Row],[Unit_Price]]</f>
        <v>18700</v>
      </c>
      <c r="N690" s="7">
        <f>Cleaned_Data[[#This Row],[Total_sales]]*(Cleaned_Data[[#This Row],[Discount_Percent]]/100)</f>
        <v>1870</v>
      </c>
      <c r="O690" s="7">
        <f>Cleaned_Data[[#This Row],[Total_sales]]-Cleaned_Data[[#This Row],[Discount_Amount]]</f>
        <v>16830</v>
      </c>
      <c r="P690" t="str">
        <f>TEXT(Cleaned_Data[[#This Row],[Order_Date]],"MMM-YYYY")</f>
        <v>Aug-2023</v>
      </c>
      <c r="Q690" t="str">
        <f>"Q"&amp;ROUNDUP(MONTH(Cleaned_Data[[#This Row],[Order_Date]])/3,0)&amp;"-2023"</f>
        <v>Q3-2023</v>
      </c>
      <c r="R690" t="str">
        <f>TEXT(Cleaned_Data[[#This Row],[Order_Date]],"DDD")</f>
        <v>Mon</v>
      </c>
      <c r="S690" t="str">
        <f>IF(Cleaned_Data[[#This Row],[Net_Sales]]&gt;=100000,"High",IF(Cleaned_Data[[#This Row],[Net_Sales]]&gt;=50000,"Medium","Low"))</f>
        <v>Low</v>
      </c>
    </row>
    <row r="691" spans="1:19" x14ac:dyDescent="0.3">
      <c r="A691" t="s">
        <v>839</v>
      </c>
      <c r="B691" s="1">
        <v>45159</v>
      </c>
      <c r="C691" t="s">
        <v>165</v>
      </c>
      <c r="D691" t="s">
        <v>166</v>
      </c>
      <c r="E691" t="s">
        <v>23</v>
      </c>
      <c r="F691" t="s">
        <v>24</v>
      </c>
      <c r="G691" t="s">
        <v>17</v>
      </c>
      <c r="H691" t="s">
        <v>77</v>
      </c>
      <c r="I691">
        <v>1</v>
      </c>
      <c r="J691" s="8">
        <v>33700</v>
      </c>
      <c r="K691">
        <v>0</v>
      </c>
      <c r="L691" t="s">
        <v>27</v>
      </c>
      <c r="M691" s="5">
        <f>Cleaned_Data[[#This Row],[Quantity]]*Cleaned_Data[[#This Row],[Unit_Price]]</f>
        <v>33700</v>
      </c>
      <c r="N691" s="7">
        <f>Cleaned_Data[[#This Row],[Total_sales]]*(Cleaned_Data[[#This Row],[Discount_Percent]]/100)</f>
        <v>0</v>
      </c>
      <c r="O691" s="7">
        <f>Cleaned_Data[[#This Row],[Total_sales]]-Cleaned_Data[[#This Row],[Discount_Amount]]</f>
        <v>33700</v>
      </c>
      <c r="P691" t="str">
        <f>TEXT(Cleaned_Data[[#This Row],[Order_Date]],"MMM-YYYY")</f>
        <v>Aug-2023</v>
      </c>
      <c r="Q691" t="str">
        <f>"Q"&amp;ROUNDUP(MONTH(Cleaned_Data[[#This Row],[Order_Date]])/3,0)&amp;"-2023"</f>
        <v>Q3-2023</v>
      </c>
      <c r="R691" t="str">
        <f>TEXT(Cleaned_Data[[#This Row],[Order_Date]],"DDD")</f>
        <v>Mon</v>
      </c>
      <c r="S691" t="str">
        <f>IF(Cleaned_Data[[#This Row],[Net_Sales]]&gt;=100000,"High",IF(Cleaned_Data[[#This Row],[Net_Sales]]&gt;=50000,"Medium","Low"))</f>
        <v>Low</v>
      </c>
    </row>
    <row r="692" spans="1:19" x14ac:dyDescent="0.3">
      <c r="A692" t="s">
        <v>840</v>
      </c>
      <c r="B692" s="1">
        <v>45159</v>
      </c>
      <c r="C692" t="s">
        <v>203</v>
      </c>
      <c r="D692" t="s">
        <v>204</v>
      </c>
      <c r="E692" t="s">
        <v>23</v>
      </c>
      <c r="F692" t="s">
        <v>24</v>
      </c>
      <c r="G692" t="s">
        <v>17</v>
      </c>
      <c r="H692" t="s">
        <v>77</v>
      </c>
      <c r="I692">
        <v>1</v>
      </c>
      <c r="J692" s="8">
        <v>41000</v>
      </c>
      <c r="K692">
        <v>10</v>
      </c>
      <c r="L692" t="s">
        <v>73</v>
      </c>
      <c r="M692" s="5">
        <f>Cleaned_Data[[#This Row],[Quantity]]*Cleaned_Data[[#This Row],[Unit_Price]]</f>
        <v>41000</v>
      </c>
      <c r="N692" s="7">
        <f>Cleaned_Data[[#This Row],[Total_sales]]*(Cleaned_Data[[#This Row],[Discount_Percent]]/100)</f>
        <v>4100</v>
      </c>
      <c r="O692" s="7">
        <f>Cleaned_Data[[#This Row],[Total_sales]]-Cleaned_Data[[#This Row],[Discount_Amount]]</f>
        <v>36900</v>
      </c>
      <c r="P692" t="str">
        <f>TEXT(Cleaned_Data[[#This Row],[Order_Date]],"MMM-YYYY")</f>
        <v>Aug-2023</v>
      </c>
      <c r="Q692" t="str">
        <f>"Q"&amp;ROUNDUP(MONTH(Cleaned_Data[[#This Row],[Order_Date]])/3,0)&amp;"-2023"</f>
        <v>Q3-2023</v>
      </c>
      <c r="R692" t="str">
        <f>TEXT(Cleaned_Data[[#This Row],[Order_Date]],"DDD")</f>
        <v>Mon</v>
      </c>
      <c r="S692" t="str">
        <f>IF(Cleaned_Data[[#This Row],[Net_Sales]]&gt;=100000,"High",IF(Cleaned_Data[[#This Row],[Net_Sales]]&gt;=50000,"Medium","Low"))</f>
        <v>Low</v>
      </c>
    </row>
    <row r="693" spans="1:19" x14ac:dyDescent="0.3">
      <c r="A693" t="s">
        <v>841</v>
      </c>
      <c r="B693" s="1">
        <v>45159</v>
      </c>
      <c r="C693" t="s">
        <v>232</v>
      </c>
      <c r="D693" t="s">
        <v>233</v>
      </c>
      <c r="E693" t="s">
        <v>81</v>
      </c>
      <c r="F693" t="s">
        <v>117</v>
      </c>
      <c r="G693" t="s">
        <v>45</v>
      </c>
      <c r="H693" t="s">
        <v>52</v>
      </c>
      <c r="I693">
        <v>1</v>
      </c>
      <c r="J693" s="8">
        <v>37400</v>
      </c>
      <c r="K693">
        <v>5</v>
      </c>
      <c r="L693" t="s">
        <v>19</v>
      </c>
      <c r="M693" s="5">
        <f>Cleaned_Data[[#This Row],[Quantity]]*Cleaned_Data[[#This Row],[Unit_Price]]</f>
        <v>37400</v>
      </c>
      <c r="N693" s="7">
        <f>Cleaned_Data[[#This Row],[Total_sales]]*(Cleaned_Data[[#This Row],[Discount_Percent]]/100)</f>
        <v>1870</v>
      </c>
      <c r="O693" s="7">
        <f>Cleaned_Data[[#This Row],[Total_sales]]-Cleaned_Data[[#This Row],[Discount_Amount]]</f>
        <v>35530</v>
      </c>
      <c r="P693" t="str">
        <f>TEXT(Cleaned_Data[[#This Row],[Order_Date]],"MMM-YYYY")</f>
        <v>Aug-2023</v>
      </c>
      <c r="Q693" t="str">
        <f>"Q"&amp;ROUNDUP(MONTH(Cleaned_Data[[#This Row],[Order_Date]])/3,0)&amp;"-2023"</f>
        <v>Q3-2023</v>
      </c>
      <c r="R693" t="str">
        <f>TEXT(Cleaned_Data[[#This Row],[Order_Date]],"DDD")</f>
        <v>Mon</v>
      </c>
      <c r="S693" t="str">
        <f>IF(Cleaned_Data[[#This Row],[Net_Sales]]&gt;=100000,"High",IF(Cleaned_Data[[#This Row],[Net_Sales]]&gt;=50000,"Medium","Low"))</f>
        <v>Low</v>
      </c>
    </row>
    <row r="694" spans="1:19" x14ac:dyDescent="0.3">
      <c r="A694" t="s">
        <v>842</v>
      </c>
      <c r="B694" s="1">
        <v>45190</v>
      </c>
      <c r="C694" t="s">
        <v>75</v>
      </c>
      <c r="D694" t="s">
        <v>76</v>
      </c>
      <c r="E694" t="s">
        <v>23</v>
      </c>
      <c r="F694" t="s">
        <v>51</v>
      </c>
      <c r="G694" t="s">
        <v>25</v>
      </c>
      <c r="H694" t="s">
        <v>26</v>
      </c>
      <c r="I694">
        <v>2</v>
      </c>
      <c r="J694" s="8">
        <v>700</v>
      </c>
      <c r="K694">
        <v>5</v>
      </c>
      <c r="L694" t="s">
        <v>62</v>
      </c>
      <c r="M694" s="5">
        <f>Cleaned_Data[[#This Row],[Quantity]]*Cleaned_Data[[#This Row],[Unit_Price]]</f>
        <v>1400</v>
      </c>
      <c r="N694" s="7">
        <f>Cleaned_Data[[#This Row],[Total_sales]]*(Cleaned_Data[[#This Row],[Discount_Percent]]/100)</f>
        <v>70</v>
      </c>
      <c r="O694" s="7">
        <f>Cleaned_Data[[#This Row],[Total_sales]]-Cleaned_Data[[#This Row],[Discount_Amount]]</f>
        <v>1330</v>
      </c>
      <c r="P694" t="str">
        <f>TEXT(Cleaned_Data[[#This Row],[Order_Date]],"MMM-YYYY")</f>
        <v>Sep-2023</v>
      </c>
      <c r="Q694" t="str">
        <f>"Q"&amp;ROUNDUP(MONTH(Cleaned_Data[[#This Row],[Order_Date]])/3,0)&amp;"-2023"</f>
        <v>Q3-2023</v>
      </c>
      <c r="R694" t="str">
        <f>TEXT(Cleaned_Data[[#This Row],[Order_Date]],"DDD")</f>
        <v>Thu</v>
      </c>
      <c r="S694" t="str">
        <f>IF(Cleaned_Data[[#This Row],[Net_Sales]]&gt;=100000,"High",IF(Cleaned_Data[[#This Row],[Net_Sales]]&gt;=50000,"Medium","Low"))</f>
        <v>Low</v>
      </c>
    </row>
    <row r="695" spans="1:19" x14ac:dyDescent="0.3">
      <c r="A695" t="s">
        <v>843</v>
      </c>
      <c r="B695" s="1">
        <v>45190</v>
      </c>
      <c r="C695" t="s">
        <v>130</v>
      </c>
      <c r="D695" t="s">
        <v>53</v>
      </c>
      <c r="E695" t="s">
        <v>66</v>
      </c>
      <c r="F695" t="s">
        <v>72</v>
      </c>
      <c r="G695" t="s">
        <v>45</v>
      </c>
      <c r="H695" t="s">
        <v>156</v>
      </c>
      <c r="I695">
        <v>1</v>
      </c>
      <c r="J695" s="8">
        <v>26900</v>
      </c>
      <c r="K695">
        <v>0</v>
      </c>
      <c r="L695" t="s">
        <v>27</v>
      </c>
      <c r="M695" s="5">
        <f>Cleaned_Data[[#This Row],[Quantity]]*Cleaned_Data[[#This Row],[Unit_Price]]</f>
        <v>26900</v>
      </c>
      <c r="N695" s="7">
        <f>Cleaned_Data[[#This Row],[Total_sales]]*(Cleaned_Data[[#This Row],[Discount_Percent]]/100)</f>
        <v>0</v>
      </c>
      <c r="O695" s="7">
        <f>Cleaned_Data[[#This Row],[Total_sales]]-Cleaned_Data[[#This Row],[Discount_Amount]]</f>
        <v>26900</v>
      </c>
      <c r="P695" t="str">
        <f>TEXT(Cleaned_Data[[#This Row],[Order_Date]],"MMM-YYYY")</f>
        <v>Sep-2023</v>
      </c>
      <c r="Q695" t="str">
        <f>"Q"&amp;ROUNDUP(MONTH(Cleaned_Data[[#This Row],[Order_Date]])/3,0)&amp;"-2023"</f>
        <v>Q3-2023</v>
      </c>
      <c r="R695" t="str">
        <f>TEXT(Cleaned_Data[[#This Row],[Order_Date]],"DDD")</f>
        <v>Thu</v>
      </c>
      <c r="S695" t="str">
        <f>IF(Cleaned_Data[[#This Row],[Net_Sales]]&gt;=100000,"High",IF(Cleaned_Data[[#This Row],[Net_Sales]]&gt;=50000,"Medium","Low"))</f>
        <v>Low</v>
      </c>
    </row>
    <row r="696" spans="1:19" x14ac:dyDescent="0.3">
      <c r="A696" t="s">
        <v>844</v>
      </c>
      <c r="B696" s="1">
        <v>45190</v>
      </c>
      <c r="C696" t="s">
        <v>147</v>
      </c>
      <c r="D696" t="s">
        <v>148</v>
      </c>
      <c r="E696" t="s">
        <v>66</v>
      </c>
      <c r="F696" t="s">
        <v>72</v>
      </c>
      <c r="G696" t="s">
        <v>45</v>
      </c>
      <c r="H696" t="s">
        <v>207</v>
      </c>
      <c r="I696">
        <v>1</v>
      </c>
      <c r="J696" s="8">
        <v>40100</v>
      </c>
      <c r="K696">
        <v>5</v>
      </c>
      <c r="L696" t="s">
        <v>53</v>
      </c>
      <c r="M696" s="5">
        <f>Cleaned_Data[[#This Row],[Quantity]]*Cleaned_Data[[#This Row],[Unit_Price]]</f>
        <v>40100</v>
      </c>
      <c r="N696" s="7">
        <f>Cleaned_Data[[#This Row],[Total_sales]]*(Cleaned_Data[[#This Row],[Discount_Percent]]/100)</f>
        <v>2005</v>
      </c>
      <c r="O696" s="7">
        <f>Cleaned_Data[[#This Row],[Total_sales]]-Cleaned_Data[[#This Row],[Discount_Amount]]</f>
        <v>38095</v>
      </c>
      <c r="P696" t="str">
        <f>TEXT(Cleaned_Data[[#This Row],[Order_Date]],"MMM-YYYY")</f>
        <v>Sep-2023</v>
      </c>
      <c r="Q696" t="str">
        <f>"Q"&amp;ROUNDUP(MONTH(Cleaned_Data[[#This Row],[Order_Date]])/3,0)&amp;"-2023"</f>
        <v>Q3-2023</v>
      </c>
      <c r="R696" t="str">
        <f>TEXT(Cleaned_Data[[#This Row],[Order_Date]],"DDD")</f>
        <v>Thu</v>
      </c>
      <c r="S696" t="str">
        <f>IF(Cleaned_Data[[#This Row],[Net_Sales]]&gt;=100000,"High",IF(Cleaned_Data[[#This Row],[Net_Sales]]&gt;=50000,"Medium","Low"))</f>
        <v>Low</v>
      </c>
    </row>
    <row r="697" spans="1:19" x14ac:dyDescent="0.3">
      <c r="A697" t="s">
        <v>845</v>
      </c>
      <c r="B697" s="1">
        <v>45190</v>
      </c>
      <c r="C697" t="s">
        <v>284</v>
      </c>
      <c r="D697" t="s">
        <v>285</v>
      </c>
      <c r="E697" t="s">
        <v>66</v>
      </c>
      <c r="F697" t="s">
        <v>72</v>
      </c>
      <c r="G697" t="s">
        <v>25</v>
      </c>
      <c r="H697" t="s">
        <v>212</v>
      </c>
      <c r="I697">
        <v>2</v>
      </c>
      <c r="J697" s="8">
        <v>1300</v>
      </c>
      <c r="K697">
        <v>0</v>
      </c>
      <c r="L697" t="s">
        <v>33</v>
      </c>
      <c r="M697" s="5">
        <f>Cleaned_Data[[#This Row],[Quantity]]*Cleaned_Data[[#This Row],[Unit_Price]]</f>
        <v>2600</v>
      </c>
      <c r="N697" s="7">
        <f>Cleaned_Data[[#This Row],[Total_sales]]*(Cleaned_Data[[#This Row],[Discount_Percent]]/100)</f>
        <v>0</v>
      </c>
      <c r="O697" s="7">
        <f>Cleaned_Data[[#This Row],[Total_sales]]-Cleaned_Data[[#This Row],[Discount_Amount]]</f>
        <v>2600</v>
      </c>
      <c r="P697" t="str">
        <f>TEXT(Cleaned_Data[[#This Row],[Order_Date]],"MMM-YYYY")</f>
        <v>Sep-2023</v>
      </c>
      <c r="Q697" t="str">
        <f>"Q"&amp;ROUNDUP(MONTH(Cleaned_Data[[#This Row],[Order_Date]])/3,0)&amp;"-2023"</f>
        <v>Q3-2023</v>
      </c>
      <c r="R697" t="str">
        <f>TEXT(Cleaned_Data[[#This Row],[Order_Date]],"DDD")</f>
        <v>Thu</v>
      </c>
      <c r="S697" t="str">
        <f>IF(Cleaned_Data[[#This Row],[Net_Sales]]&gt;=100000,"High",IF(Cleaned_Data[[#This Row],[Net_Sales]]&gt;=50000,"Medium","Low"))</f>
        <v>Low</v>
      </c>
    </row>
    <row r="698" spans="1:19" x14ac:dyDescent="0.3">
      <c r="A698" t="s">
        <v>846</v>
      </c>
      <c r="B698" s="1">
        <v>45220</v>
      </c>
      <c r="C698" t="s">
        <v>183</v>
      </c>
      <c r="D698" t="s">
        <v>27</v>
      </c>
      <c r="E698" t="s">
        <v>66</v>
      </c>
      <c r="F698" t="s">
        <v>87</v>
      </c>
      <c r="G698" t="s">
        <v>97</v>
      </c>
      <c r="H698" t="s">
        <v>154</v>
      </c>
      <c r="I698">
        <v>2</v>
      </c>
      <c r="J698" s="8">
        <v>67900</v>
      </c>
      <c r="K698">
        <v>0</v>
      </c>
      <c r="L698" t="s">
        <v>47</v>
      </c>
      <c r="M698" s="5">
        <f>Cleaned_Data[[#This Row],[Quantity]]*Cleaned_Data[[#This Row],[Unit_Price]]</f>
        <v>135800</v>
      </c>
      <c r="N698" s="7">
        <f>Cleaned_Data[[#This Row],[Total_sales]]*(Cleaned_Data[[#This Row],[Discount_Percent]]/100)</f>
        <v>0</v>
      </c>
      <c r="O698" s="7">
        <f>Cleaned_Data[[#This Row],[Total_sales]]-Cleaned_Data[[#This Row],[Discount_Amount]]</f>
        <v>135800</v>
      </c>
      <c r="P698" t="str">
        <f>TEXT(Cleaned_Data[[#This Row],[Order_Date]],"MMM-YYYY")</f>
        <v>Oct-2023</v>
      </c>
      <c r="Q698" t="str">
        <f>"Q"&amp;ROUNDUP(MONTH(Cleaned_Data[[#This Row],[Order_Date]])/3,0)&amp;"-2023"</f>
        <v>Q4-2023</v>
      </c>
      <c r="R698" t="str">
        <f>TEXT(Cleaned_Data[[#This Row],[Order_Date]],"DDD")</f>
        <v>Sat</v>
      </c>
      <c r="S698" t="str">
        <f>IF(Cleaned_Data[[#This Row],[Net_Sales]]&gt;=100000,"High",IF(Cleaned_Data[[#This Row],[Net_Sales]]&gt;=50000,"Medium","Low"))</f>
        <v>High</v>
      </c>
    </row>
    <row r="699" spans="1:19" x14ac:dyDescent="0.3">
      <c r="A699" t="s">
        <v>847</v>
      </c>
      <c r="B699" s="1">
        <v>45220</v>
      </c>
      <c r="C699" t="s">
        <v>95</v>
      </c>
      <c r="D699" t="s">
        <v>96</v>
      </c>
      <c r="E699" t="s">
        <v>37</v>
      </c>
      <c r="F699" t="s">
        <v>38</v>
      </c>
      <c r="G699" t="s">
        <v>97</v>
      </c>
      <c r="H699" t="s">
        <v>98</v>
      </c>
      <c r="I699">
        <v>1</v>
      </c>
      <c r="J699" s="8">
        <v>74100</v>
      </c>
      <c r="K699">
        <v>25</v>
      </c>
      <c r="L699" t="s">
        <v>73</v>
      </c>
      <c r="M699" s="5">
        <f>Cleaned_Data[[#This Row],[Quantity]]*Cleaned_Data[[#This Row],[Unit_Price]]</f>
        <v>74100</v>
      </c>
      <c r="N699" s="7">
        <f>Cleaned_Data[[#This Row],[Total_sales]]*(Cleaned_Data[[#This Row],[Discount_Percent]]/100)</f>
        <v>18525</v>
      </c>
      <c r="O699" s="7">
        <f>Cleaned_Data[[#This Row],[Total_sales]]-Cleaned_Data[[#This Row],[Discount_Amount]]</f>
        <v>55575</v>
      </c>
      <c r="P699" t="str">
        <f>TEXT(Cleaned_Data[[#This Row],[Order_Date]],"MMM-YYYY")</f>
        <v>Oct-2023</v>
      </c>
      <c r="Q699" t="str">
        <f>"Q"&amp;ROUNDUP(MONTH(Cleaned_Data[[#This Row],[Order_Date]])/3,0)&amp;"-2023"</f>
        <v>Q4-2023</v>
      </c>
      <c r="R699" t="str">
        <f>TEXT(Cleaned_Data[[#This Row],[Order_Date]],"DDD")</f>
        <v>Sat</v>
      </c>
      <c r="S699" t="str">
        <f>IF(Cleaned_Data[[#This Row],[Net_Sales]]&gt;=100000,"High",IF(Cleaned_Data[[#This Row],[Net_Sales]]&gt;=50000,"Medium","Low"))</f>
        <v>Medium</v>
      </c>
    </row>
    <row r="700" spans="1:19" x14ac:dyDescent="0.3">
      <c r="A700" t="s">
        <v>848</v>
      </c>
      <c r="B700" s="1">
        <v>45220</v>
      </c>
      <c r="C700" t="s">
        <v>115</v>
      </c>
      <c r="D700" t="s">
        <v>116</v>
      </c>
      <c r="E700" t="s">
        <v>66</v>
      </c>
      <c r="F700" t="s">
        <v>72</v>
      </c>
      <c r="G700" t="s">
        <v>25</v>
      </c>
      <c r="H700" t="s">
        <v>26</v>
      </c>
      <c r="I700">
        <v>3</v>
      </c>
      <c r="J700" s="8">
        <v>1100</v>
      </c>
      <c r="K700">
        <v>10</v>
      </c>
      <c r="L700" t="s">
        <v>62</v>
      </c>
      <c r="M700" s="5">
        <f>Cleaned_Data[[#This Row],[Quantity]]*Cleaned_Data[[#This Row],[Unit_Price]]</f>
        <v>3300</v>
      </c>
      <c r="N700" s="7">
        <f>Cleaned_Data[[#This Row],[Total_sales]]*(Cleaned_Data[[#This Row],[Discount_Percent]]/100)</f>
        <v>330</v>
      </c>
      <c r="O700" s="7">
        <f>Cleaned_Data[[#This Row],[Total_sales]]-Cleaned_Data[[#This Row],[Discount_Amount]]</f>
        <v>2970</v>
      </c>
      <c r="P700" t="str">
        <f>TEXT(Cleaned_Data[[#This Row],[Order_Date]],"MMM-YYYY")</f>
        <v>Oct-2023</v>
      </c>
      <c r="Q700" t="str">
        <f>"Q"&amp;ROUNDUP(MONTH(Cleaned_Data[[#This Row],[Order_Date]])/3,0)&amp;"-2023"</f>
        <v>Q4-2023</v>
      </c>
      <c r="R700" t="str">
        <f>TEXT(Cleaned_Data[[#This Row],[Order_Date]],"DDD")</f>
        <v>Sat</v>
      </c>
      <c r="S700" t="str">
        <f>IF(Cleaned_Data[[#This Row],[Net_Sales]]&gt;=100000,"High",IF(Cleaned_Data[[#This Row],[Net_Sales]]&gt;=50000,"Medium","Low"))</f>
        <v>Low</v>
      </c>
    </row>
    <row r="701" spans="1:19" x14ac:dyDescent="0.3">
      <c r="A701" t="s">
        <v>849</v>
      </c>
      <c r="B701" s="1">
        <v>45220</v>
      </c>
      <c r="C701" t="s">
        <v>176</v>
      </c>
      <c r="D701" t="s">
        <v>177</v>
      </c>
      <c r="E701" t="s">
        <v>37</v>
      </c>
      <c r="F701" t="s">
        <v>141</v>
      </c>
      <c r="G701" t="s">
        <v>45</v>
      </c>
      <c r="H701" t="s">
        <v>207</v>
      </c>
      <c r="I701">
        <v>1</v>
      </c>
      <c r="J701" s="8">
        <v>22900</v>
      </c>
      <c r="K701">
        <v>15</v>
      </c>
      <c r="L701" t="s">
        <v>62</v>
      </c>
      <c r="M701" s="5">
        <f>Cleaned_Data[[#This Row],[Quantity]]*Cleaned_Data[[#This Row],[Unit_Price]]</f>
        <v>22900</v>
      </c>
      <c r="N701" s="7">
        <f>Cleaned_Data[[#This Row],[Total_sales]]*(Cleaned_Data[[#This Row],[Discount_Percent]]/100)</f>
        <v>3435</v>
      </c>
      <c r="O701" s="7">
        <f>Cleaned_Data[[#This Row],[Total_sales]]-Cleaned_Data[[#This Row],[Discount_Amount]]</f>
        <v>19465</v>
      </c>
      <c r="P701" t="str">
        <f>TEXT(Cleaned_Data[[#This Row],[Order_Date]],"MMM-YYYY")</f>
        <v>Oct-2023</v>
      </c>
      <c r="Q701" t="str">
        <f>"Q"&amp;ROUNDUP(MONTH(Cleaned_Data[[#This Row],[Order_Date]])/3,0)&amp;"-2023"</f>
        <v>Q4-2023</v>
      </c>
      <c r="R701" t="str">
        <f>TEXT(Cleaned_Data[[#This Row],[Order_Date]],"DDD")</f>
        <v>Sat</v>
      </c>
      <c r="S701" t="str">
        <f>IF(Cleaned_Data[[#This Row],[Net_Sales]]&gt;=100000,"High",IF(Cleaned_Data[[#This Row],[Net_Sales]]&gt;=50000,"Medium","Low"))</f>
        <v>Low</v>
      </c>
    </row>
    <row r="702" spans="1:19" x14ac:dyDescent="0.3">
      <c r="A702" t="s">
        <v>850</v>
      </c>
      <c r="B702" s="1">
        <v>45220</v>
      </c>
      <c r="C702" t="s">
        <v>176</v>
      </c>
      <c r="D702" t="s">
        <v>177</v>
      </c>
      <c r="E702" t="s">
        <v>37</v>
      </c>
      <c r="F702" t="s">
        <v>141</v>
      </c>
      <c r="G702" t="s">
        <v>45</v>
      </c>
      <c r="H702" t="s">
        <v>207</v>
      </c>
      <c r="I702">
        <v>1</v>
      </c>
      <c r="J702" s="8">
        <v>35300</v>
      </c>
      <c r="K702">
        <v>10</v>
      </c>
      <c r="L702" t="s">
        <v>62</v>
      </c>
      <c r="M702" s="5">
        <f>Cleaned_Data[[#This Row],[Quantity]]*Cleaned_Data[[#This Row],[Unit_Price]]</f>
        <v>35300</v>
      </c>
      <c r="N702" s="7">
        <f>Cleaned_Data[[#This Row],[Total_sales]]*(Cleaned_Data[[#This Row],[Discount_Percent]]/100)</f>
        <v>3530</v>
      </c>
      <c r="O702" s="7">
        <f>Cleaned_Data[[#This Row],[Total_sales]]-Cleaned_Data[[#This Row],[Discount_Amount]]</f>
        <v>31770</v>
      </c>
      <c r="P702" t="str">
        <f>TEXT(Cleaned_Data[[#This Row],[Order_Date]],"MMM-YYYY")</f>
        <v>Oct-2023</v>
      </c>
      <c r="Q702" t="str">
        <f>"Q"&amp;ROUNDUP(MONTH(Cleaned_Data[[#This Row],[Order_Date]])/3,0)&amp;"-2023"</f>
        <v>Q4-2023</v>
      </c>
      <c r="R702" t="str">
        <f>TEXT(Cleaned_Data[[#This Row],[Order_Date]],"DDD")</f>
        <v>Sat</v>
      </c>
      <c r="S702" t="str">
        <f>IF(Cleaned_Data[[#This Row],[Net_Sales]]&gt;=100000,"High",IF(Cleaned_Data[[#This Row],[Net_Sales]]&gt;=50000,"Medium","Low"))</f>
        <v>Low</v>
      </c>
    </row>
    <row r="703" spans="1:19" x14ac:dyDescent="0.3">
      <c r="A703" t="s">
        <v>851</v>
      </c>
      <c r="B703" s="1">
        <v>45220</v>
      </c>
      <c r="C703" t="s">
        <v>105</v>
      </c>
      <c r="D703" t="s">
        <v>106</v>
      </c>
      <c r="E703" t="s">
        <v>15</v>
      </c>
      <c r="F703" t="s">
        <v>128</v>
      </c>
      <c r="G703" t="s">
        <v>17</v>
      </c>
      <c r="H703" t="s">
        <v>18</v>
      </c>
      <c r="I703">
        <v>2</v>
      </c>
      <c r="J703" s="8">
        <v>48900</v>
      </c>
      <c r="K703">
        <v>0</v>
      </c>
      <c r="L703" t="s">
        <v>62</v>
      </c>
      <c r="M703" s="5">
        <f>Cleaned_Data[[#This Row],[Quantity]]*Cleaned_Data[[#This Row],[Unit_Price]]</f>
        <v>97800</v>
      </c>
      <c r="N703" s="7">
        <f>Cleaned_Data[[#This Row],[Total_sales]]*(Cleaned_Data[[#This Row],[Discount_Percent]]/100)</f>
        <v>0</v>
      </c>
      <c r="O703" s="7">
        <f>Cleaned_Data[[#This Row],[Total_sales]]-Cleaned_Data[[#This Row],[Discount_Amount]]</f>
        <v>97800</v>
      </c>
      <c r="P703" t="str">
        <f>TEXT(Cleaned_Data[[#This Row],[Order_Date]],"MMM-YYYY")</f>
        <v>Oct-2023</v>
      </c>
      <c r="Q703" t="str">
        <f>"Q"&amp;ROUNDUP(MONTH(Cleaned_Data[[#This Row],[Order_Date]])/3,0)&amp;"-2023"</f>
        <v>Q4-2023</v>
      </c>
      <c r="R703" t="str">
        <f>TEXT(Cleaned_Data[[#This Row],[Order_Date]],"DDD")</f>
        <v>Sat</v>
      </c>
      <c r="S703" t="str">
        <f>IF(Cleaned_Data[[#This Row],[Net_Sales]]&gt;=100000,"High",IF(Cleaned_Data[[#This Row],[Net_Sales]]&gt;=50000,"Medium","Low"))</f>
        <v>Medium</v>
      </c>
    </row>
    <row r="704" spans="1:19" x14ac:dyDescent="0.3">
      <c r="A704" t="s">
        <v>852</v>
      </c>
      <c r="B704" s="1">
        <v>45251</v>
      </c>
      <c r="C704" t="s">
        <v>236</v>
      </c>
      <c r="D704" t="s">
        <v>237</v>
      </c>
      <c r="E704" t="s">
        <v>81</v>
      </c>
      <c r="F704" t="s">
        <v>117</v>
      </c>
      <c r="G704" t="s">
        <v>45</v>
      </c>
      <c r="H704" t="s">
        <v>46</v>
      </c>
      <c r="I704">
        <v>1</v>
      </c>
      <c r="J704" s="8">
        <v>29200</v>
      </c>
      <c r="K704">
        <v>10</v>
      </c>
      <c r="L704" t="s">
        <v>19</v>
      </c>
      <c r="M704" s="5">
        <f>Cleaned_Data[[#This Row],[Quantity]]*Cleaned_Data[[#This Row],[Unit_Price]]</f>
        <v>29200</v>
      </c>
      <c r="N704" s="7">
        <f>Cleaned_Data[[#This Row],[Total_sales]]*(Cleaned_Data[[#This Row],[Discount_Percent]]/100)</f>
        <v>2920</v>
      </c>
      <c r="O704" s="7">
        <f>Cleaned_Data[[#This Row],[Total_sales]]-Cleaned_Data[[#This Row],[Discount_Amount]]</f>
        <v>26280</v>
      </c>
      <c r="P704" t="str">
        <f>TEXT(Cleaned_Data[[#This Row],[Order_Date]],"MMM-YYYY")</f>
        <v>Nov-2023</v>
      </c>
      <c r="Q704" t="str">
        <f>"Q"&amp;ROUNDUP(MONTH(Cleaned_Data[[#This Row],[Order_Date]])/3,0)&amp;"-2023"</f>
        <v>Q4-2023</v>
      </c>
      <c r="R704" t="str">
        <f>TEXT(Cleaned_Data[[#This Row],[Order_Date]],"DDD")</f>
        <v>Tue</v>
      </c>
      <c r="S704" t="str">
        <f>IF(Cleaned_Data[[#This Row],[Net_Sales]]&gt;=100000,"High",IF(Cleaned_Data[[#This Row],[Net_Sales]]&gt;=50000,"Medium","Low"))</f>
        <v>Low</v>
      </c>
    </row>
    <row r="705" spans="1:19" x14ac:dyDescent="0.3">
      <c r="A705" t="s">
        <v>853</v>
      </c>
      <c r="B705" s="1">
        <v>45281</v>
      </c>
      <c r="C705" t="s">
        <v>143</v>
      </c>
      <c r="D705" t="s">
        <v>144</v>
      </c>
      <c r="E705" t="s">
        <v>66</v>
      </c>
      <c r="F705" t="s">
        <v>87</v>
      </c>
      <c r="G705" t="s">
        <v>17</v>
      </c>
      <c r="H705" t="s">
        <v>168</v>
      </c>
      <c r="I705">
        <v>1</v>
      </c>
      <c r="J705" s="8">
        <v>34600</v>
      </c>
      <c r="K705">
        <v>5</v>
      </c>
      <c r="L705" t="s">
        <v>19</v>
      </c>
      <c r="M705" s="5">
        <f>Cleaned_Data[[#This Row],[Quantity]]*Cleaned_Data[[#This Row],[Unit_Price]]</f>
        <v>34600</v>
      </c>
      <c r="N705" s="7">
        <f>Cleaned_Data[[#This Row],[Total_sales]]*(Cleaned_Data[[#This Row],[Discount_Percent]]/100)</f>
        <v>1730</v>
      </c>
      <c r="O705" s="7">
        <f>Cleaned_Data[[#This Row],[Total_sales]]-Cleaned_Data[[#This Row],[Discount_Amount]]</f>
        <v>32870</v>
      </c>
      <c r="P705" t="str">
        <f>TEXT(Cleaned_Data[[#This Row],[Order_Date]],"MMM-YYYY")</f>
        <v>Dec-2023</v>
      </c>
      <c r="Q705" t="str">
        <f>"Q"&amp;ROUNDUP(MONTH(Cleaned_Data[[#This Row],[Order_Date]])/3,0)&amp;"-2023"</f>
        <v>Q4-2023</v>
      </c>
      <c r="R705" t="str">
        <f>TEXT(Cleaned_Data[[#This Row],[Order_Date]],"DDD")</f>
        <v>Thu</v>
      </c>
      <c r="S705" t="str">
        <f>IF(Cleaned_Data[[#This Row],[Net_Sales]]&gt;=100000,"High",IF(Cleaned_Data[[#This Row],[Net_Sales]]&gt;=50000,"Medium","Low"))</f>
        <v>Low</v>
      </c>
    </row>
    <row r="706" spans="1:19" x14ac:dyDescent="0.3">
      <c r="A706" t="s">
        <v>854</v>
      </c>
      <c r="B706" s="1">
        <v>44948</v>
      </c>
      <c r="C706" t="s">
        <v>90</v>
      </c>
      <c r="D706" t="s">
        <v>91</v>
      </c>
      <c r="E706" t="s">
        <v>81</v>
      </c>
      <c r="F706" t="s">
        <v>160</v>
      </c>
      <c r="G706" t="s">
        <v>25</v>
      </c>
      <c r="H706" t="s">
        <v>108</v>
      </c>
      <c r="I706">
        <v>2</v>
      </c>
      <c r="J706" s="8">
        <v>2300</v>
      </c>
      <c r="K706">
        <v>15</v>
      </c>
      <c r="L706" t="s">
        <v>103</v>
      </c>
      <c r="M706" s="5">
        <f>Cleaned_Data[[#This Row],[Quantity]]*Cleaned_Data[[#This Row],[Unit_Price]]</f>
        <v>4600</v>
      </c>
      <c r="N706" s="7">
        <f>Cleaned_Data[[#This Row],[Total_sales]]*(Cleaned_Data[[#This Row],[Discount_Percent]]/100)</f>
        <v>690</v>
      </c>
      <c r="O706" s="7">
        <f>Cleaned_Data[[#This Row],[Total_sales]]-Cleaned_Data[[#This Row],[Discount_Amount]]</f>
        <v>3910</v>
      </c>
      <c r="P706" t="str">
        <f>TEXT(Cleaned_Data[[#This Row],[Order_Date]],"MMM-YYYY")</f>
        <v>Jan-2023</v>
      </c>
      <c r="Q706" t="str">
        <f>"Q"&amp;ROUNDUP(MONTH(Cleaned_Data[[#This Row],[Order_Date]])/3,0)&amp;"-2023"</f>
        <v>Q1-2023</v>
      </c>
      <c r="R706" t="str">
        <f>TEXT(Cleaned_Data[[#This Row],[Order_Date]],"DDD")</f>
        <v>Sun</v>
      </c>
      <c r="S706" t="str">
        <f>IF(Cleaned_Data[[#This Row],[Net_Sales]]&gt;=100000,"High",IF(Cleaned_Data[[#This Row],[Net_Sales]]&gt;=50000,"Medium","Low"))</f>
        <v>Low</v>
      </c>
    </row>
    <row r="707" spans="1:19" x14ac:dyDescent="0.3">
      <c r="A707" t="s">
        <v>855</v>
      </c>
      <c r="B707" s="1">
        <v>44979</v>
      </c>
      <c r="C707" t="s">
        <v>49</v>
      </c>
      <c r="D707" t="s">
        <v>50</v>
      </c>
      <c r="E707" t="s">
        <v>15</v>
      </c>
      <c r="F707" t="s">
        <v>16</v>
      </c>
      <c r="G707" t="s">
        <v>97</v>
      </c>
      <c r="H707" t="s">
        <v>154</v>
      </c>
      <c r="I707">
        <v>1</v>
      </c>
      <c r="J707" s="8">
        <v>51300</v>
      </c>
      <c r="K707">
        <v>5</v>
      </c>
      <c r="L707" t="s">
        <v>53</v>
      </c>
      <c r="M707" s="5">
        <f>Cleaned_Data[[#This Row],[Quantity]]*Cleaned_Data[[#This Row],[Unit_Price]]</f>
        <v>51300</v>
      </c>
      <c r="N707" s="7">
        <f>Cleaned_Data[[#This Row],[Total_sales]]*(Cleaned_Data[[#This Row],[Discount_Percent]]/100)</f>
        <v>2565</v>
      </c>
      <c r="O707" s="7">
        <f>Cleaned_Data[[#This Row],[Total_sales]]-Cleaned_Data[[#This Row],[Discount_Amount]]</f>
        <v>48735</v>
      </c>
      <c r="P707" t="str">
        <f>TEXT(Cleaned_Data[[#This Row],[Order_Date]],"MMM-YYYY")</f>
        <v>Feb-2023</v>
      </c>
      <c r="Q707" t="str">
        <f>"Q"&amp;ROUNDUP(MONTH(Cleaned_Data[[#This Row],[Order_Date]])/3,0)&amp;"-2023"</f>
        <v>Q1-2023</v>
      </c>
      <c r="R707" t="str">
        <f>TEXT(Cleaned_Data[[#This Row],[Order_Date]],"DDD")</f>
        <v>Wed</v>
      </c>
      <c r="S707" t="str">
        <f>IF(Cleaned_Data[[#This Row],[Net_Sales]]&gt;=100000,"High",IF(Cleaned_Data[[#This Row],[Net_Sales]]&gt;=50000,"Medium","Low"))</f>
        <v>Low</v>
      </c>
    </row>
    <row r="708" spans="1:19" x14ac:dyDescent="0.3">
      <c r="A708" t="s">
        <v>856</v>
      </c>
      <c r="B708" s="1">
        <v>44979</v>
      </c>
      <c r="C708" t="s">
        <v>90</v>
      </c>
      <c r="D708" t="s">
        <v>91</v>
      </c>
      <c r="E708" t="s">
        <v>81</v>
      </c>
      <c r="F708" t="s">
        <v>160</v>
      </c>
      <c r="G708" t="s">
        <v>17</v>
      </c>
      <c r="H708" t="s">
        <v>77</v>
      </c>
      <c r="I708">
        <v>1</v>
      </c>
      <c r="J708" s="8">
        <v>60000</v>
      </c>
      <c r="K708">
        <v>0</v>
      </c>
      <c r="L708" t="s">
        <v>19</v>
      </c>
      <c r="M708" s="5">
        <f>Cleaned_Data[[#This Row],[Quantity]]*Cleaned_Data[[#This Row],[Unit_Price]]</f>
        <v>60000</v>
      </c>
      <c r="N708" s="7">
        <f>Cleaned_Data[[#This Row],[Total_sales]]*(Cleaned_Data[[#This Row],[Discount_Percent]]/100)</f>
        <v>0</v>
      </c>
      <c r="O708" s="7">
        <f>Cleaned_Data[[#This Row],[Total_sales]]-Cleaned_Data[[#This Row],[Discount_Amount]]</f>
        <v>60000</v>
      </c>
      <c r="P708" t="str">
        <f>TEXT(Cleaned_Data[[#This Row],[Order_Date]],"MMM-YYYY")</f>
        <v>Feb-2023</v>
      </c>
      <c r="Q708" t="str">
        <f>"Q"&amp;ROUNDUP(MONTH(Cleaned_Data[[#This Row],[Order_Date]])/3,0)&amp;"-2023"</f>
        <v>Q1-2023</v>
      </c>
      <c r="R708" t="str">
        <f>TEXT(Cleaned_Data[[#This Row],[Order_Date]],"DDD")</f>
        <v>Wed</v>
      </c>
      <c r="S708" t="str">
        <f>IF(Cleaned_Data[[#This Row],[Net_Sales]]&gt;=100000,"High",IF(Cleaned_Data[[#This Row],[Net_Sales]]&gt;=50000,"Medium","Low"))</f>
        <v>Medium</v>
      </c>
    </row>
    <row r="709" spans="1:19" x14ac:dyDescent="0.3">
      <c r="A709" t="s">
        <v>857</v>
      </c>
      <c r="B709" s="1">
        <v>44979</v>
      </c>
      <c r="C709" t="s">
        <v>84</v>
      </c>
      <c r="D709" t="s">
        <v>85</v>
      </c>
      <c r="E709" t="s">
        <v>23</v>
      </c>
      <c r="F709" t="s">
        <v>24</v>
      </c>
      <c r="G709" t="s">
        <v>45</v>
      </c>
      <c r="H709" t="s">
        <v>207</v>
      </c>
      <c r="I709">
        <v>1</v>
      </c>
      <c r="J709" s="8">
        <v>26700</v>
      </c>
      <c r="K709">
        <v>25</v>
      </c>
      <c r="L709" t="s">
        <v>53</v>
      </c>
      <c r="M709" s="5">
        <f>Cleaned_Data[[#This Row],[Quantity]]*Cleaned_Data[[#This Row],[Unit_Price]]</f>
        <v>26700</v>
      </c>
      <c r="N709" s="7">
        <f>Cleaned_Data[[#This Row],[Total_sales]]*(Cleaned_Data[[#This Row],[Discount_Percent]]/100)</f>
        <v>6675</v>
      </c>
      <c r="O709" s="7">
        <f>Cleaned_Data[[#This Row],[Total_sales]]-Cleaned_Data[[#This Row],[Discount_Amount]]</f>
        <v>20025</v>
      </c>
      <c r="P709" t="str">
        <f>TEXT(Cleaned_Data[[#This Row],[Order_Date]],"MMM-YYYY")</f>
        <v>Feb-2023</v>
      </c>
      <c r="Q709" t="str">
        <f>"Q"&amp;ROUNDUP(MONTH(Cleaned_Data[[#This Row],[Order_Date]])/3,0)&amp;"-2023"</f>
        <v>Q1-2023</v>
      </c>
      <c r="R709" t="str">
        <f>TEXT(Cleaned_Data[[#This Row],[Order_Date]],"DDD")</f>
        <v>Wed</v>
      </c>
      <c r="S709" t="str">
        <f>IF(Cleaned_Data[[#This Row],[Net_Sales]]&gt;=100000,"High",IF(Cleaned_Data[[#This Row],[Net_Sales]]&gt;=50000,"Medium","Low"))</f>
        <v>Low</v>
      </c>
    </row>
    <row r="710" spans="1:19" x14ac:dyDescent="0.3">
      <c r="A710" t="s">
        <v>858</v>
      </c>
      <c r="B710" s="1">
        <v>45007</v>
      </c>
      <c r="C710" t="s">
        <v>147</v>
      </c>
      <c r="D710" t="s">
        <v>148</v>
      </c>
      <c r="E710" t="s">
        <v>23</v>
      </c>
      <c r="F710" t="s">
        <v>44</v>
      </c>
      <c r="G710" t="s">
        <v>25</v>
      </c>
      <c r="H710" t="s">
        <v>108</v>
      </c>
      <c r="I710">
        <v>2</v>
      </c>
      <c r="J710" s="8">
        <v>2100</v>
      </c>
      <c r="K710">
        <v>15</v>
      </c>
      <c r="L710" t="s">
        <v>103</v>
      </c>
      <c r="M710" s="5">
        <f>Cleaned_Data[[#This Row],[Quantity]]*Cleaned_Data[[#This Row],[Unit_Price]]</f>
        <v>4200</v>
      </c>
      <c r="N710" s="7">
        <f>Cleaned_Data[[#This Row],[Total_sales]]*(Cleaned_Data[[#This Row],[Discount_Percent]]/100)</f>
        <v>630</v>
      </c>
      <c r="O710" s="7">
        <f>Cleaned_Data[[#This Row],[Total_sales]]-Cleaned_Data[[#This Row],[Discount_Amount]]</f>
        <v>3570</v>
      </c>
      <c r="P710" t="str">
        <f>TEXT(Cleaned_Data[[#This Row],[Order_Date]],"MMM-YYYY")</f>
        <v>Mar-2023</v>
      </c>
      <c r="Q710" t="str">
        <f>"Q"&amp;ROUNDUP(MONTH(Cleaned_Data[[#This Row],[Order_Date]])/3,0)&amp;"-2023"</f>
        <v>Q1-2023</v>
      </c>
      <c r="R710" t="str">
        <f>TEXT(Cleaned_Data[[#This Row],[Order_Date]],"DDD")</f>
        <v>Wed</v>
      </c>
      <c r="S710" t="str">
        <f>IF(Cleaned_Data[[#This Row],[Net_Sales]]&gt;=100000,"High",IF(Cleaned_Data[[#This Row],[Net_Sales]]&gt;=50000,"Medium","Low"))</f>
        <v>Low</v>
      </c>
    </row>
    <row r="711" spans="1:19" x14ac:dyDescent="0.3">
      <c r="A711" t="s">
        <v>859</v>
      </c>
      <c r="B711" s="1">
        <v>45007</v>
      </c>
      <c r="C711" t="s">
        <v>42</v>
      </c>
      <c r="D711" t="s">
        <v>43</v>
      </c>
      <c r="E711" t="s">
        <v>81</v>
      </c>
      <c r="F711" t="s">
        <v>82</v>
      </c>
      <c r="G711" t="s">
        <v>39</v>
      </c>
      <c r="H711" t="s">
        <v>102</v>
      </c>
      <c r="I711">
        <v>1</v>
      </c>
      <c r="J711" s="8">
        <v>14500</v>
      </c>
      <c r="K711">
        <v>5</v>
      </c>
      <c r="L711" t="s">
        <v>103</v>
      </c>
      <c r="M711" s="5">
        <f>Cleaned_Data[[#This Row],[Quantity]]*Cleaned_Data[[#This Row],[Unit_Price]]</f>
        <v>14500</v>
      </c>
      <c r="N711" s="7">
        <f>Cleaned_Data[[#This Row],[Total_sales]]*(Cleaned_Data[[#This Row],[Discount_Percent]]/100)</f>
        <v>725</v>
      </c>
      <c r="O711" s="7">
        <f>Cleaned_Data[[#This Row],[Total_sales]]-Cleaned_Data[[#This Row],[Discount_Amount]]</f>
        <v>13775</v>
      </c>
      <c r="P711" t="str">
        <f>TEXT(Cleaned_Data[[#This Row],[Order_Date]],"MMM-YYYY")</f>
        <v>Mar-2023</v>
      </c>
      <c r="Q711" t="str">
        <f>"Q"&amp;ROUNDUP(MONTH(Cleaned_Data[[#This Row],[Order_Date]])/3,0)&amp;"-2023"</f>
        <v>Q1-2023</v>
      </c>
      <c r="R711" t="str">
        <f>TEXT(Cleaned_Data[[#This Row],[Order_Date]],"DDD")</f>
        <v>Wed</v>
      </c>
      <c r="S711" t="str">
        <f>IF(Cleaned_Data[[#This Row],[Net_Sales]]&gt;=100000,"High",IF(Cleaned_Data[[#This Row],[Net_Sales]]&gt;=50000,"Medium","Low"))</f>
        <v>Low</v>
      </c>
    </row>
    <row r="712" spans="1:19" x14ac:dyDescent="0.3">
      <c r="A712" t="s">
        <v>860</v>
      </c>
      <c r="B712" s="1">
        <v>45038</v>
      </c>
      <c r="C712" t="s">
        <v>59</v>
      </c>
      <c r="D712" t="s">
        <v>60</v>
      </c>
      <c r="E712" t="s">
        <v>37</v>
      </c>
      <c r="F712" t="s">
        <v>101</v>
      </c>
      <c r="G712" t="s">
        <v>39</v>
      </c>
      <c r="H712" t="s">
        <v>57</v>
      </c>
      <c r="I712">
        <v>1</v>
      </c>
      <c r="J712" s="8">
        <v>21000</v>
      </c>
      <c r="K712">
        <v>20</v>
      </c>
      <c r="L712" t="s">
        <v>33</v>
      </c>
      <c r="M712" s="5">
        <f>Cleaned_Data[[#This Row],[Quantity]]*Cleaned_Data[[#This Row],[Unit_Price]]</f>
        <v>21000</v>
      </c>
      <c r="N712" s="7">
        <f>Cleaned_Data[[#This Row],[Total_sales]]*(Cleaned_Data[[#This Row],[Discount_Percent]]/100)</f>
        <v>4200</v>
      </c>
      <c r="O712" s="7">
        <f>Cleaned_Data[[#This Row],[Total_sales]]-Cleaned_Data[[#This Row],[Discount_Amount]]</f>
        <v>16800</v>
      </c>
      <c r="P712" t="str">
        <f>TEXT(Cleaned_Data[[#This Row],[Order_Date]],"MMM-YYYY")</f>
        <v>Apr-2023</v>
      </c>
      <c r="Q712" t="str">
        <f>"Q"&amp;ROUNDUP(MONTH(Cleaned_Data[[#This Row],[Order_Date]])/3,0)&amp;"-2023"</f>
        <v>Q2-2023</v>
      </c>
      <c r="R712" t="str">
        <f>TEXT(Cleaned_Data[[#This Row],[Order_Date]],"DDD")</f>
        <v>Sat</v>
      </c>
      <c r="S712" t="str">
        <f>IF(Cleaned_Data[[#This Row],[Net_Sales]]&gt;=100000,"High",IF(Cleaned_Data[[#This Row],[Net_Sales]]&gt;=50000,"Medium","Low"))</f>
        <v>Low</v>
      </c>
    </row>
    <row r="713" spans="1:19" x14ac:dyDescent="0.3">
      <c r="A713" t="s">
        <v>861</v>
      </c>
      <c r="B713" s="1">
        <v>45038</v>
      </c>
      <c r="C713" t="s">
        <v>29</v>
      </c>
      <c r="D713" t="s">
        <v>30</v>
      </c>
      <c r="E713" t="s">
        <v>15</v>
      </c>
      <c r="F713" t="s">
        <v>16</v>
      </c>
      <c r="G713" t="s">
        <v>17</v>
      </c>
      <c r="H713" t="s">
        <v>196</v>
      </c>
      <c r="I713">
        <v>1</v>
      </c>
      <c r="J713" s="8">
        <v>40600</v>
      </c>
      <c r="K713">
        <v>15</v>
      </c>
      <c r="L713" t="s">
        <v>33</v>
      </c>
      <c r="M713" s="5">
        <f>Cleaned_Data[[#This Row],[Quantity]]*Cleaned_Data[[#This Row],[Unit_Price]]</f>
        <v>40600</v>
      </c>
      <c r="N713" s="7">
        <f>Cleaned_Data[[#This Row],[Total_sales]]*(Cleaned_Data[[#This Row],[Discount_Percent]]/100)</f>
        <v>6090</v>
      </c>
      <c r="O713" s="7">
        <f>Cleaned_Data[[#This Row],[Total_sales]]-Cleaned_Data[[#This Row],[Discount_Amount]]</f>
        <v>34510</v>
      </c>
      <c r="P713" t="str">
        <f>TEXT(Cleaned_Data[[#This Row],[Order_Date]],"MMM-YYYY")</f>
        <v>Apr-2023</v>
      </c>
      <c r="Q713" t="str">
        <f>"Q"&amp;ROUNDUP(MONTH(Cleaned_Data[[#This Row],[Order_Date]])/3,0)&amp;"-2023"</f>
        <v>Q2-2023</v>
      </c>
      <c r="R713" t="str">
        <f>TEXT(Cleaned_Data[[#This Row],[Order_Date]],"DDD")</f>
        <v>Sat</v>
      </c>
      <c r="S713" t="str">
        <f>IF(Cleaned_Data[[#This Row],[Net_Sales]]&gt;=100000,"High",IF(Cleaned_Data[[#This Row],[Net_Sales]]&gt;=50000,"Medium","Low"))</f>
        <v>Low</v>
      </c>
    </row>
    <row r="714" spans="1:19" x14ac:dyDescent="0.3">
      <c r="A714" t="s">
        <v>862</v>
      </c>
      <c r="B714" s="1">
        <v>45038</v>
      </c>
      <c r="C714" t="s">
        <v>236</v>
      </c>
      <c r="D714" t="s">
        <v>237</v>
      </c>
      <c r="E714" t="s">
        <v>23</v>
      </c>
      <c r="F714" t="s">
        <v>24</v>
      </c>
      <c r="G714" t="s">
        <v>17</v>
      </c>
      <c r="H714" t="s">
        <v>88</v>
      </c>
      <c r="I714">
        <v>2</v>
      </c>
      <c r="J714" s="8">
        <v>36400</v>
      </c>
      <c r="K714">
        <v>25</v>
      </c>
      <c r="L714" t="s">
        <v>53</v>
      </c>
      <c r="M714" s="5">
        <f>Cleaned_Data[[#This Row],[Quantity]]*Cleaned_Data[[#This Row],[Unit_Price]]</f>
        <v>72800</v>
      </c>
      <c r="N714" s="7">
        <f>Cleaned_Data[[#This Row],[Total_sales]]*(Cleaned_Data[[#This Row],[Discount_Percent]]/100)</f>
        <v>18200</v>
      </c>
      <c r="O714" s="7">
        <f>Cleaned_Data[[#This Row],[Total_sales]]-Cleaned_Data[[#This Row],[Discount_Amount]]</f>
        <v>54600</v>
      </c>
      <c r="P714" t="str">
        <f>TEXT(Cleaned_Data[[#This Row],[Order_Date]],"MMM-YYYY")</f>
        <v>Apr-2023</v>
      </c>
      <c r="Q714" t="str">
        <f>"Q"&amp;ROUNDUP(MONTH(Cleaned_Data[[#This Row],[Order_Date]])/3,0)&amp;"-2023"</f>
        <v>Q2-2023</v>
      </c>
      <c r="R714" t="str">
        <f>TEXT(Cleaned_Data[[#This Row],[Order_Date]],"DDD")</f>
        <v>Sat</v>
      </c>
      <c r="S714" t="str">
        <f>IF(Cleaned_Data[[#This Row],[Net_Sales]]&gt;=100000,"High",IF(Cleaned_Data[[#This Row],[Net_Sales]]&gt;=50000,"Medium","Low"))</f>
        <v>Medium</v>
      </c>
    </row>
    <row r="715" spans="1:19" x14ac:dyDescent="0.3">
      <c r="A715" t="s">
        <v>863</v>
      </c>
      <c r="B715" s="1">
        <v>45038</v>
      </c>
      <c r="C715" t="s">
        <v>250</v>
      </c>
      <c r="D715" t="s">
        <v>251</v>
      </c>
      <c r="E715" t="s">
        <v>15</v>
      </c>
      <c r="F715" t="s">
        <v>131</v>
      </c>
      <c r="G715" t="s">
        <v>97</v>
      </c>
      <c r="H715" t="s">
        <v>133</v>
      </c>
      <c r="I715">
        <v>1</v>
      </c>
      <c r="J715" s="8">
        <v>46200</v>
      </c>
      <c r="K715">
        <v>10</v>
      </c>
      <c r="L715" t="s">
        <v>103</v>
      </c>
      <c r="M715" s="5">
        <f>Cleaned_Data[[#This Row],[Quantity]]*Cleaned_Data[[#This Row],[Unit_Price]]</f>
        <v>46200</v>
      </c>
      <c r="N715" s="7">
        <f>Cleaned_Data[[#This Row],[Total_sales]]*(Cleaned_Data[[#This Row],[Discount_Percent]]/100)</f>
        <v>4620</v>
      </c>
      <c r="O715" s="7">
        <f>Cleaned_Data[[#This Row],[Total_sales]]-Cleaned_Data[[#This Row],[Discount_Amount]]</f>
        <v>41580</v>
      </c>
      <c r="P715" t="str">
        <f>TEXT(Cleaned_Data[[#This Row],[Order_Date]],"MMM-YYYY")</f>
        <v>Apr-2023</v>
      </c>
      <c r="Q715" t="str">
        <f>"Q"&amp;ROUNDUP(MONTH(Cleaned_Data[[#This Row],[Order_Date]])/3,0)&amp;"-2023"</f>
        <v>Q2-2023</v>
      </c>
      <c r="R715" t="str">
        <f>TEXT(Cleaned_Data[[#This Row],[Order_Date]],"DDD")</f>
        <v>Sat</v>
      </c>
      <c r="S715" t="str">
        <f>IF(Cleaned_Data[[#This Row],[Net_Sales]]&gt;=100000,"High",IF(Cleaned_Data[[#This Row],[Net_Sales]]&gt;=50000,"Medium","Low"))</f>
        <v>Low</v>
      </c>
    </row>
    <row r="716" spans="1:19" x14ac:dyDescent="0.3">
      <c r="A716" t="s">
        <v>864</v>
      </c>
      <c r="B716" s="1">
        <v>45038</v>
      </c>
      <c r="C716" t="s">
        <v>176</v>
      </c>
      <c r="D716" t="s">
        <v>177</v>
      </c>
      <c r="E716" t="s">
        <v>15</v>
      </c>
      <c r="F716" t="s">
        <v>131</v>
      </c>
      <c r="G716" t="s">
        <v>25</v>
      </c>
      <c r="H716" t="s">
        <v>124</v>
      </c>
      <c r="I716">
        <v>2</v>
      </c>
      <c r="J716" s="8">
        <v>800</v>
      </c>
      <c r="K716">
        <v>0</v>
      </c>
      <c r="L716" t="s">
        <v>19</v>
      </c>
      <c r="M716" s="5">
        <f>Cleaned_Data[[#This Row],[Quantity]]*Cleaned_Data[[#This Row],[Unit_Price]]</f>
        <v>1600</v>
      </c>
      <c r="N716" s="7">
        <f>Cleaned_Data[[#This Row],[Total_sales]]*(Cleaned_Data[[#This Row],[Discount_Percent]]/100)</f>
        <v>0</v>
      </c>
      <c r="O716" s="7">
        <f>Cleaned_Data[[#This Row],[Total_sales]]-Cleaned_Data[[#This Row],[Discount_Amount]]</f>
        <v>1600</v>
      </c>
      <c r="P716" t="str">
        <f>TEXT(Cleaned_Data[[#This Row],[Order_Date]],"MMM-YYYY")</f>
        <v>Apr-2023</v>
      </c>
      <c r="Q716" t="str">
        <f>"Q"&amp;ROUNDUP(MONTH(Cleaned_Data[[#This Row],[Order_Date]])/3,0)&amp;"-2023"</f>
        <v>Q2-2023</v>
      </c>
      <c r="R716" t="str">
        <f>TEXT(Cleaned_Data[[#This Row],[Order_Date]],"DDD")</f>
        <v>Sat</v>
      </c>
      <c r="S716" t="str">
        <f>IF(Cleaned_Data[[#This Row],[Net_Sales]]&gt;=100000,"High",IF(Cleaned_Data[[#This Row],[Net_Sales]]&gt;=50000,"Medium","Low"))</f>
        <v>Low</v>
      </c>
    </row>
    <row r="717" spans="1:19" x14ac:dyDescent="0.3">
      <c r="A717" t="s">
        <v>865</v>
      </c>
      <c r="B717" s="1">
        <v>45068</v>
      </c>
      <c r="C717" t="s">
        <v>29</v>
      </c>
      <c r="D717" t="s">
        <v>30</v>
      </c>
      <c r="E717" t="s">
        <v>66</v>
      </c>
      <c r="F717" t="s">
        <v>92</v>
      </c>
      <c r="G717" t="s">
        <v>25</v>
      </c>
      <c r="H717" t="s">
        <v>212</v>
      </c>
      <c r="I717">
        <v>2</v>
      </c>
      <c r="J717" s="8">
        <v>2600</v>
      </c>
      <c r="K717">
        <v>25</v>
      </c>
      <c r="L717" t="s">
        <v>103</v>
      </c>
      <c r="M717" s="5">
        <f>Cleaned_Data[[#This Row],[Quantity]]*Cleaned_Data[[#This Row],[Unit_Price]]</f>
        <v>5200</v>
      </c>
      <c r="N717" s="7">
        <f>Cleaned_Data[[#This Row],[Total_sales]]*(Cleaned_Data[[#This Row],[Discount_Percent]]/100)</f>
        <v>1300</v>
      </c>
      <c r="O717" s="7">
        <f>Cleaned_Data[[#This Row],[Total_sales]]-Cleaned_Data[[#This Row],[Discount_Amount]]</f>
        <v>3900</v>
      </c>
      <c r="P717" t="str">
        <f>TEXT(Cleaned_Data[[#This Row],[Order_Date]],"MMM-YYYY")</f>
        <v>May-2023</v>
      </c>
      <c r="Q717" t="str">
        <f>"Q"&amp;ROUNDUP(MONTH(Cleaned_Data[[#This Row],[Order_Date]])/3,0)&amp;"-2023"</f>
        <v>Q2-2023</v>
      </c>
      <c r="R717" t="str">
        <f>TEXT(Cleaned_Data[[#This Row],[Order_Date]],"DDD")</f>
        <v>Mon</v>
      </c>
      <c r="S717" t="str">
        <f>IF(Cleaned_Data[[#This Row],[Net_Sales]]&gt;=100000,"High",IF(Cleaned_Data[[#This Row],[Net_Sales]]&gt;=50000,"Medium","Low"))</f>
        <v>Low</v>
      </c>
    </row>
    <row r="718" spans="1:19" x14ac:dyDescent="0.3">
      <c r="A718" t="s">
        <v>866</v>
      </c>
      <c r="B718" s="1">
        <v>45068</v>
      </c>
      <c r="C718" t="s">
        <v>112</v>
      </c>
      <c r="D718" t="s">
        <v>113</v>
      </c>
      <c r="E718" t="s">
        <v>81</v>
      </c>
      <c r="F718" t="s">
        <v>160</v>
      </c>
      <c r="G718" t="s">
        <v>45</v>
      </c>
      <c r="H718" t="s">
        <v>52</v>
      </c>
      <c r="I718">
        <v>1</v>
      </c>
      <c r="J718" s="8">
        <v>37600</v>
      </c>
      <c r="K718">
        <v>5</v>
      </c>
      <c r="L718" t="s">
        <v>33</v>
      </c>
      <c r="M718" s="5">
        <f>Cleaned_Data[[#This Row],[Quantity]]*Cleaned_Data[[#This Row],[Unit_Price]]</f>
        <v>37600</v>
      </c>
      <c r="N718" s="7">
        <f>Cleaned_Data[[#This Row],[Total_sales]]*(Cleaned_Data[[#This Row],[Discount_Percent]]/100)</f>
        <v>1880</v>
      </c>
      <c r="O718" s="7">
        <f>Cleaned_Data[[#This Row],[Total_sales]]-Cleaned_Data[[#This Row],[Discount_Amount]]</f>
        <v>35720</v>
      </c>
      <c r="P718" t="str">
        <f>TEXT(Cleaned_Data[[#This Row],[Order_Date]],"MMM-YYYY")</f>
        <v>May-2023</v>
      </c>
      <c r="Q718" t="str">
        <f>"Q"&amp;ROUNDUP(MONTH(Cleaned_Data[[#This Row],[Order_Date]])/3,0)&amp;"-2023"</f>
        <v>Q2-2023</v>
      </c>
      <c r="R718" t="str">
        <f>TEXT(Cleaned_Data[[#This Row],[Order_Date]],"DDD")</f>
        <v>Mon</v>
      </c>
      <c r="S718" t="str">
        <f>IF(Cleaned_Data[[#This Row],[Net_Sales]]&gt;=100000,"High",IF(Cleaned_Data[[#This Row],[Net_Sales]]&gt;=50000,"Medium","Low"))</f>
        <v>Low</v>
      </c>
    </row>
    <row r="719" spans="1:19" x14ac:dyDescent="0.3">
      <c r="A719" t="s">
        <v>867</v>
      </c>
      <c r="B719" s="1">
        <v>45068</v>
      </c>
      <c r="C719" t="s">
        <v>176</v>
      </c>
      <c r="D719" t="s">
        <v>177</v>
      </c>
      <c r="E719" t="s">
        <v>15</v>
      </c>
      <c r="F719" t="s">
        <v>131</v>
      </c>
      <c r="G719" t="s">
        <v>25</v>
      </c>
      <c r="H719" t="s">
        <v>32</v>
      </c>
      <c r="I719">
        <v>2</v>
      </c>
      <c r="J719" s="8">
        <v>1700</v>
      </c>
      <c r="K719">
        <v>0</v>
      </c>
      <c r="L719" t="s">
        <v>73</v>
      </c>
      <c r="M719" s="5">
        <f>Cleaned_Data[[#This Row],[Quantity]]*Cleaned_Data[[#This Row],[Unit_Price]]</f>
        <v>3400</v>
      </c>
      <c r="N719" s="7">
        <f>Cleaned_Data[[#This Row],[Total_sales]]*(Cleaned_Data[[#This Row],[Discount_Percent]]/100)</f>
        <v>0</v>
      </c>
      <c r="O719" s="7">
        <f>Cleaned_Data[[#This Row],[Total_sales]]-Cleaned_Data[[#This Row],[Discount_Amount]]</f>
        <v>3400</v>
      </c>
      <c r="P719" t="str">
        <f>TEXT(Cleaned_Data[[#This Row],[Order_Date]],"MMM-YYYY")</f>
        <v>May-2023</v>
      </c>
      <c r="Q719" t="str">
        <f>"Q"&amp;ROUNDUP(MONTH(Cleaned_Data[[#This Row],[Order_Date]])/3,0)&amp;"-2023"</f>
        <v>Q2-2023</v>
      </c>
      <c r="R719" t="str">
        <f>TEXT(Cleaned_Data[[#This Row],[Order_Date]],"DDD")</f>
        <v>Mon</v>
      </c>
      <c r="S719" t="str">
        <f>IF(Cleaned_Data[[#This Row],[Net_Sales]]&gt;=100000,"High",IF(Cleaned_Data[[#This Row],[Net_Sales]]&gt;=50000,"Medium","Low"))</f>
        <v>Low</v>
      </c>
    </row>
    <row r="720" spans="1:19" x14ac:dyDescent="0.3">
      <c r="A720" t="s">
        <v>868</v>
      </c>
      <c r="B720" s="1">
        <v>45099</v>
      </c>
      <c r="C720" t="s">
        <v>49</v>
      </c>
      <c r="D720" t="s">
        <v>50</v>
      </c>
      <c r="E720" t="s">
        <v>23</v>
      </c>
      <c r="F720" t="s">
        <v>44</v>
      </c>
      <c r="G720" t="s">
        <v>45</v>
      </c>
      <c r="H720" t="s">
        <v>46</v>
      </c>
      <c r="I720">
        <v>1</v>
      </c>
      <c r="J720" s="8">
        <v>29300</v>
      </c>
      <c r="K720">
        <v>15</v>
      </c>
      <c r="L720" t="s">
        <v>53</v>
      </c>
      <c r="M720" s="5">
        <f>Cleaned_Data[[#This Row],[Quantity]]*Cleaned_Data[[#This Row],[Unit_Price]]</f>
        <v>29300</v>
      </c>
      <c r="N720" s="7">
        <f>Cleaned_Data[[#This Row],[Total_sales]]*(Cleaned_Data[[#This Row],[Discount_Percent]]/100)</f>
        <v>4395</v>
      </c>
      <c r="O720" s="7">
        <f>Cleaned_Data[[#This Row],[Total_sales]]-Cleaned_Data[[#This Row],[Discount_Amount]]</f>
        <v>24905</v>
      </c>
      <c r="P720" t="str">
        <f>TEXT(Cleaned_Data[[#This Row],[Order_Date]],"MMM-YYYY")</f>
        <v>Jun-2023</v>
      </c>
      <c r="Q720" t="str">
        <f>"Q"&amp;ROUNDUP(MONTH(Cleaned_Data[[#This Row],[Order_Date]])/3,0)&amp;"-2023"</f>
        <v>Q2-2023</v>
      </c>
      <c r="R720" t="str">
        <f>TEXT(Cleaned_Data[[#This Row],[Order_Date]],"DDD")</f>
        <v>Thu</v>
      </c>
      <c r="S720" t="str">
        <f>IF(Cleaned_Data[[#This Row],[Net_Sales]]&gt;=100000,"High",IF(Cleaned_Data[[#This Row],[Net_Sales]]&gt;=50000,"Medium","Low"))</f>
        <v>Low</v>
      </c>
    </row>
    <row r="721" spans="1:19" x14ac:dyDescent="0.3">
      <c r="A721" t="s">
        <v>869</v>
      </c>
      <c r="B721" s="1">
        <v>45099</v>
      </c>
      <c r="C721" t="s">
        <v>180</v>
      </c>
      <c r="D721" t="s">
        <v>181</v>
      </c>
      <c r="E721" t="s">
        <v>81</v>
      </c>
      <c r="F721" t="s">
        <v>160</v>
      </c>
      <c r="G721" t="s">
        <v>17</v>
      </c>
      <c r="H721" t="s">
        <v>196</v>
      </c>
      <c r="I721">
        <v>1</v>
      </c>
      <c r="J721" s="8">
        <v>33100</v>
      </c>
      <c r="K721">
        <v>10</v>
      </c>
      <c r="L721" t="s">
        <v>53</v>
      </c>
      <c r="M721" s="5">
        <f>Cleaned_Data[[#This Row],[Quantity]]*Cleaned_Data[[#This Row],[Unit_Price]]</f>
        <v>33100</v>
      </c>
      <c r="N721" s="7">
        <f>Cleaned_Data[[#This Row],[Total_sales]]*(Cleaned_Data[[#This Row],[Discount_Percent]]/100)</f>
        <v>3310</v>
      </c>
      <c r="O721" s="7">
        <f>Cleaned_Data[[#This Row],[Total_sales]]-Cleaned_Data[[#This Row],[Discount_Amount]]</f>
        <v>29790</v>
      </c>
      <c r="P721" t="str">
        <f>TEXT(Cleaned_Data[[#This Row],[Order_Date]],"MMM-YYYY")</f>
        <v>Jun-2023</v>
      </c>
      <c r="Q721" t="str">
        <f>"Q"&amp;ROUNDUP(MONTH(Cleaned_Data[[#This Row],[Order_Date]])/3,0)&amp;"-2023"</f>
        <v>Q2-2023</v>
      </c>
      <c r="R721" t="str">
        <f>TEXT(Cleaned_Data[[#This Row],[Order_Date]],"DDD")</f>
        <v>Thu</v>
      </c>
      <c r="S721" t="str">
        <f>IF(Cleaned_Data[[#This Row],[Net_Sales]]&gt;=100000,"High",IF(Cleaned_Data[[#This Row],[Net_Sales]]&gt;=50000,"Medium","Low"))</f>
        <v>Low</v>
      </c>
    </row>
    <row r="722" spans="1:19" x14ac:dyDescent="0.3">
      <c r="A722" t="s">
        <v>870</v>
      </c>
      <c r="B722" s="1">
        <v>45099</v>
      </c>
      <c r="C722" t="s">
        <v>90</v>
      </c>
      <c r="D722" t="s">
        <v>91</v>
      </c>
      <c r="E722" t="s">
        <v>81</v>
      </c>
      <c r="F722" t="s">
        <v>160</v>
      </c>
      <c r="G722" t="s">
        <v>45</v>
      </c>
      <c r="H722" t="s">
        <v>156</v>
      </c>
      <c r="I722">
        <v>1</v>
      </c>
      <c r="J722" s="8">
        <v>29700</v>
      </c>
      <c r="K722">
        <v>0</v>
      </c>
      <c r="L722" t="s">
        <v>62</v>
      </c>
      <c r="M722" s="5">
        <f>Cleaned_Data[[#This Row],[Quantity]]*Cleaned_Data[[#This Row],[Unit_Price]]</f>
        <v>29700</v>
      </c>
      <c r="N722" s="7">
        <f>Cleaned_Data[[#This Row],[Total_sales]]*(Cleaned_Data[[#This Row],[Discount_Percent]]/100)</f>
        <v>0</v>
      </c>
      <c r="O722" s="7">
        <f>Cleaned_Data[[#This Row],[Total_sales]]-Cleaned_Data[[#This Row],[Discount_Amount]]</f>
        <v>29700</v>
      </c>
      <c r="P722" t="str">
        <f>TEXT(Cleaned_Data[[#This Row],[Order_Date]],"MMM-YYYY")</f>
        <v>Jun-2023</v>
      </c>
      <c r="Q722" t="str">
        <f>"Q"&amp;ROUNDUP(MONTH(Cleaned_Data[[#This Row],[Order_Date]])/3,0)&amp;"-2023"</f>
        <v>Q2-2023</v>
      </c>
      <c r="R722" t="str">
        <f>TEXT(Cleaned_Data[[#This Row],[Order_Date]],"DDD")</f>
        <v>Thu</v>
      </c>
      <c r="S722" t="str">
        <f>IF(Cleaned_Data[[#This Row],[Net_Sales]]&gt;=100000,"High",IF(Cleaned_Data[[#This Row],[Net_Sales]]&gt;=50000,"Medium","Low"))</f>
        <v>Low</v>
      </c>
    </row>
    <row r="723" spans="1:19" x14ac:dyDescent="0.3">
      <c r="A723" t="s">
        <v>871</v>
      </c>
      <c r="B723" s="1">
        <v>45129</v>
      </c>
      <c r="C723" t="s">
        <v>250</v>
      </c>
      <c r="D723" t="s">
        <v>251</v>
      </c>
      <c r="E723" t="s">
        <v>15</v>
      </c>
      <c r="F723" t="s">
        <v>128</v>
      </c>
      <c r="G723" t="s">
        <v>39</v>
      </c>
      <c r="H723" t="s">
        <v>57</v>
      </c>
      <c r="I723">
        <v>1</v>
      </c>
      <c r="J723" s="8">
        <v>21200</v>
      </c>
      <c r="K723">
        <v>5</v>
      </c>
      <c r="L723" t="s">
        <v>47</v>
      </c>
      <c r="M723" s="5">
        <f>Cleaned_Data[[#This Row],[Quantity]]*Cleaned_Data[[#This Row],[Unit_Price]]</f>
        <v>21200</v>
      </c>
      <c r="N723" s="7">
        <f>Cleaned_Data[[#This Row],[Total_sales]]*(Cleaned_Data[[#This Row],[Discount_Percent]]/100)</f>
        <v>1060</v>
      </c>
      <c r="O723" s="7">
        <f>Cleaned_Data[[#This Row],[Total_sales]]-Cleaned_Data[[#This Row],[Discount_Amount]]</f>
        <v>20140</v>
      </c>
      <c r="P723" t="str">
        <f>TEXT(Cleaned_Data[[#This Row],[Order_Date]],"MMM-YYYY")</f>
        <v>Jul-2023</v>
      </c>
      <c r="Q723" t="str">
        <f>"Q"&amp;ROUNDUP(MONTH(Cleaned_Data[[#This Row],[Order_Date]])/3,0)&amp;"-2023"</f>
        <v>Q3-2023</v>
      </c>
      <c r="R723" t="str">
        <f>TEXT(Cleaned_Data[[#This Row],[Order_Date]],"DDD")</f>
        <v>Sat</v>
      </c>
      <c r="S723" t="str">
        <f>IF(Cleaned_Data[[#This Row],[Net_Sales]]&gt;=100000,"High",IF(Cleaned_Data[[#This Row],[Net_Sales]]&gt;=50000,"Medium","Low"))</f>
        <v>Low</v>
      </c>
    </row>
    <row r="724" spans="1:19" x14ac:dyDescent="0.3">
      <c r="A724" t="s">
        <v>872</v>
      </c>
      <c r="B724" s="1">
        <v>45129</v>
      </c>
      <c r="C724" t="s">
        <v>188</v>
      </c>
      <c r="D724" t="s">
        <v>189</v>
      </c>
      <c r="E724" t="s">
        <v>81</v>
      </c>
      <c r="F724" t="s">
        <v>117</v>
      </c>
      <c r="G724" t="s">
        <v>97</v>
      </c>
      <c r="H724" t="s">
        <v>133</v>
      </c>
      <c r="I724">
        <v>2</v>
      </c>
      <c r="J724" s="8">
        <v>46000</v>
      </c>
      <c r="K724">
        <v>5</v>
      </c>
      <c r="L724" t="s">
        <v>103</v>
      </c>
      <c r="M724" s="5">
        <f>Cleaned_Data[[#This Row],[Quantity]]*Cleaned_Data[[#This Row],[Unit_Price]]</f>
        <v>92000</v>
      </c>
      <c r="N724" s="7">
        <f>Cleaned_Data[[#This Row],[Total_sales]]*(Cleaned_Data[[#This Row],[Discount_Percent]]/100)</f>
        <v>4600</v>
      </c>
      <c r="O724" s="7">
        <f>Cleaned_Data[[#This Row],[Total_sales]]-Cleaned_Data[[#This Row],[Discount_Amount]]</f>
        <v>87400</v>
      </c>
      <c r="P724" t="str">
        <f>TEXT(Cleaned_Data[[#This Row],[Order_Date]],"MMM-YYYY")</f>
        <v>Jul-2023</v>
      </c>
      <c r="Q724" t="str">
        <f>"Q"&amp;ROUNDUP(MONTH(Cleaned_Data[[#This Row],[Order_Date]])/3,0)&amp;"-2023"</f>
        <v>Q3-2023</v>
      </c>
      <c r="R724" t="str">
        <f>TEXT(Cleaned_Data[[#This Row],[Order_Date]],"DDD")</f>
        <v>Sat</v>
      </c>
      <c r="S724" t="str">
        <f>IF(Cleaned_Data[[#This Row],[Net_Sales]]&gt;=100000,"High",IF(Cleaned_Data[[#This Row],[Net_Sales]]&gt;=50000,"Medium","Low"))</f>
        <v>Medium</v>
      </c>
    </row>
    <row r="725" spans="1:19" x14ac:dyDescent="0.3">
      <c r="A725" t="s">
        <v>873</v>
      </c>
      <c r="B725" s="1">
        <v>45160</v>
      </c>
      <c r="C725" t="s">
        <v>180</v>
      </c>
      <c r="D725" t="s">
        <v>181</v>
      </c>
      <c r="E725" t="s">
        <v>15</v>
      </c>
      <c r="F725" t="s">
        <v>16</v>
      </c>
      <c r="G725" t="s">
        <v>25</v>
      </c>
      <c r="H725" t="s">
        <v>32</v>
      </c>
      <c r="I725">
        <v>2</v>
      </c>
      <c r="J725" s="8">
        <v>2000</v>
      </c>
      <c r="K725">
        <v>10</v>
      </c>
      <c r="L725" t="s">
        <v>53</v>
      </c>
      <c r="M725" s="5">
        <f>Cleaned_Data[[#This Row],[Quantity]]*Cleaned_Data[[#This Row],[Unit_Price]]</f>
        <v>4000</v>
      </c>
      <c r="N725" s="7">
        <f>Cleaned_Data[[#This Row],[Total_sales]]*(Cleaned_Data[[#This Row],[Discount_Percent]]/100)</f>
        <v>400</v>
      </c>
      <c r="O725" s="7">
        <f>Cleaned_Data[[#This Row],[Total_sales]]-Cleaned_Data[[#This Row],[Discount_Amount]]</f>
        <v>3600</v>
      </c>
      <c r="P725" t="str">
        <f>TEXT(Cleaned_Data[[#This Row],[Order_Date]],"MMM-YYYY")</f>
        <v>Aug-2023</v>
      </c>
      <c r="Q725" t="str">
        <f>"Q"&amp;ROUNDUP(MONTH(Cleaned_Data[[#This Row],[Order_Date]])/3,0)&amp;"-2023"</f>
        <v>Q3-2023</v>
      </c>
      <c r="R725" t="str">
        <f>TEXT(Cleaned_Data[[#This Row],[Order_Date]],"DDD")</f>
        <v>Tue</v>
      </c>
      <c r="S725" t="str">
        <f>IF(Cleaned_Data[[#This Row],[Net_Sales]]&gt;=100000,"High",IF(Cleaned_Data[[#This Row],[Net_Sales]]&gt;=50000,"Medium","Low"))</f>
        <v>Low</v>
      </c>
    </row>
    <row r="726" spans="1:19" x14ac:dyDescent="0.3">
      <c r="A726" t="s">
        <v>874</v>
      </c>
      <c r="B726" s="1">
        <v>45160</v>
      </c>
      <c r="C726" t="s">
        <v>70</v>
      </c>
      <c r="D726" t="s">
        <v>71</v>
      </c>
      <c r="E726" t="s">
        <v>15</v>
      </c>
      <c r="F726" t="s">
        <v>16</v>
      </c>
      <c r="G726" t="s">
        <v>97</v>
      </c>
      <c r="H726" t="s">
        <v>174</v>
      </c>
      <c r="I726">
        <v>1</v>
      </c>
      <c r="J726" s="8">
        <v>43700</v>
      </c>
      <c r="K726">
        <v>5</v>
      </c>
      <c r="L726" t="s">
        <v>53</v>
      </c>
      <c r="M726" s="5">
        <f>Cleaned_Data[[#This Row],[Quantity]]*Cleaned_Data[[#This Row],[Unit_Price]]</f>
        <v>43700</v>
      </c>
      <c r="N726" s="7">
        <f>Cleaned_Data[[#This Row],[Total_sales]]*(Cleaned_Data[[#This Row],[Discount_Percent]]/100)</f>
        <v>2185</v>
      </c>
      <c r="O726" s="7">
        <f>Cleaned_Data[[#This Row],[Total_sales]]-Cleaned_Data[[#This Row],[Discount_Amount]]</f>
        <v>41515</v>
      </c>
      <c r="P726" t="str">
        <f>TEXT(Cleaned_Data[[#This Row],[Order_Date]],"MMM-YYYY")</f>
        <v>Aug-2023</v>
      </c>
      <c r="Q726" t="str">
        <f>"Q"&amp;ROUNDUP(MONTH(Cleaned_Data[[#This Row],[Order_Date]])/3,0)&amp;"-2023"</f>
        <v>Q3-2023</v>
      </c>
      <c r="R726" t="str">
        <f>TEXT(Cleaned_Data[[#This Row],[Order_Date]],"DDD")</f>
        <v>Tue</v>
      </c>
      <c r="S726" t="str">
        <f>IF(Cleaned_Data[[#This Row],[Net_Sales]]&gt;=100000,"High",IF(Cleaned_Data[[#This Row],[Net_Sales]]&gt;=50000,"Medium","Low"))</f>
        <v>Low</v>
      </c>
    </row>
    <row r="727" spans="1:19" x14ac:dyDescent="0.3">
      <c r="A727" t="s">
        <v>875</v>
      </c>
      <c r="B727" s="1">
        <v>45160</v>
      </c>
      <c r="C727" t="s">
        <v>143</v>
      </c>
      <c r="D727" t="s">
        <v>144</v>
      </c>
      <c r="E727" t="s">
        <v>66</v>
      </c>
      <c r="F727" t="s">
        <v>87</v>
      </c>
      <c r="G727" t="s">
        <v>25</v>
      </c>
      <c r="H727" t="s">
        <v>212</v>
      </c>
      <c r="I727">
        <v>3</v>
      </c>
      <c r="J727" s="8">
        <v>900</v>
      </c>
      <c r="K727">
        <v>10</v>
      </c>
      <c r="L727" t="s">
        <v>62</v>
      </c>
      <c r="M727" s="5">
        <f>Cleaned_Data[[#This Row],[Quantity]]*Cleaned_Data[[#This Row],[Unit_Price]]</f>
        <v>2700</v>
      </c>
      <c r="N727" s="7">
        <f>Cleaned_Data[[#This Row],[Total_sales]]*(Cleaned_Data[[#This Row],[Discount_Percent]]/100)</f>
        <v>270</v>
      </c>
      <c r="O727" s="7">
        <f>Cleaned_Data[[#This Row],[Total_sales]]-Cleaned_Data[[#This Row],[Discount_Amount]]</f>
        <v>2430</v>
      </c>
      <c r="P727" t="str">
        <f>TEXT(Cleaned_Data[[#This Row],[Order_Date]],"MMM-YYYY")</f>
        <v>Aug-2023</v>
      </c>
      <c r="Q727" t="str">
        <f>"Q"&amp;ROUNDUP(MONTH(Cleaned_Data[[#This Row],[Order_Date]])/3,0)&amp;"-2023"</f>
        <v>Q3-2023</v>
      </c>
      <c r="R727" t="str">
        <f>TEXT(Cleaned_Data[[#This Row],[Order_Date]],"DDD")</f>
        <v>Tue</v>
      </c>
      <c r="S727" t="str">
        <f>IF(Cleaned_Data[[#This Row],[Net_Sales]]&gt;=100000,"High",IF(Cleaned_Data[[#This Row],[Net_Sales]]&gt;=50000,"Medium","Low"))</f>
        <v>Low</v>
      </c>
    </row>
    <row r="728" spans="1:19" x14ac:dyDescent="0.3">
      <c r="A728" t="s">
        <v>876</v>
      </c>
      <c r="B728" s="1">
        <v>45191</v>
      </c>
      <c r="C728" t="s">
        <v>122</v>
      </c>
      <c r="D728" t="s">
        <v>123</v>
      </c>
      <c r="E728" t="s">
        <v>23</v>
      </c>
      <c r="F728" t="s">
        <v>44</v>
      </c>
      <c r="G728" t="s">
        <v>97</v>
      </c>
      <c r="H728" t="s">
        <v>133</v>
      </c>
      <c r="I728">
        <v>1</v>
      </c>
      <c r="J728" s="8">
        <v>51700</v>
      </c>
      <c r="K728">
        <v>5</v>
      </c>
      <c r="L728" t="s">
        <v>53</v>
      </c>
      <c r="M728" s="5">
        <f>Cleaned_Data[[#This Row],[Quantity]]*Cleaned_Data[[#This Row],[Unit_Price]]</f>
        <v>51700</v>
      </c>
      <c r="N728" s="7">
        <f>Cleaned_Data[[#This Row],[Total_sales]]*(Cleaned_Data[[#This Row],[Discount_Percent]]/100)</f>
        <v>2585</v>
      </c>
      <c r="O728" s="7">
        <f>Cleaned_Data[[#This Row],[Total_sales]]-Cleaned_Data[[#This Row],[Discount_Amount]]</f>
        <v>49115</v>
      </c>
      <c r="P728" t="str">
        <f>TEXT(Cleaned_Data[[#This Row],[Order_Date]],"MMM-YYYY")</f>
        <v>Sep-2023</v>
      </c>
      <c r="Q728" t="str">
        <f>"Q"&amp;ROUNDUP(MONTH(Cleaned_Data[[#This Row],[Order_Date]])/3,0)&amp;"-2023"</f>
        <v>Q3-2023</v>
      </c>
      <c r="R728" t="str">
        <f>TEXT(Cleaned_Data[[#This Row],[Order_Date]],"DDD")</f>
        <v>Fri</v>
      </c>
      <c r="S728" t="str">
        <f>IF(Cleaned_Data[[#This Row],[Net_Sales]]&gt;=100000,"High",IF(Cleaned_Data[[#This Row],[Net_Sales]]&gt;=50000,"Medium","Low"))</f>
        <v>Low</v>
      </c>
    </row>
    <row r="729" spans="1:19" x14ac:dyDescent="0.3">
      <c r="A729" t="s">
        <v>877</v>
      </c>
      <c r="B729" s="1">
        <v>45191</v>
      </c>
      <c r="C729" t="s">
        <v>151</v>
      </c>
      <c r="D729" t="s">
        <v>152</v>
      </c>
      <c r="E729" t="s">
        <v>81</v>
      </c>
      <c r="F729" t="s">
        <v>110</v>
      </c>
      <c r="G729" t="s">
        <v>17</v>
      </c>
      <c r="H729" t="s">
        <v>18</v>
      </c>
      <c r="I729">
        <v>1</v>
      </c>
      <c r="J729" s="8">
        <v>37700</v>
      </c>
      <c r="K729">
        <v>10</v>
      </c>
      <c r="L729" t="s">
        <v>53</v>
      </c>
      <c r="M729" s="5">
        <f>Cleaned_Data[[#This Row],[Quantity]]*Cleaned_Data[[#This Row],[Unit_Price]]</f>
        <v>37700</v>
      </c>
      <c r="N729" s="7">
        <f>Cleaned_Data[[#This Row],[Total_sales]]*(Cleaned_Data[[#This Row],[Discount_Percent]]/100)</f>
        <v>3770</v>
      </c>
      <c r="O729" s="7">
        <f>Cleaned_Data[[#This Row],[Total_sales]]-Cleaned_Data[[#This Row],[Discount_Amount]]</f>
        <v>33930</v>
      </c>
      <c r="P729" t="str">
        <f>TEXT(Cleaned_Data[[#This Row],[Order_Date]],"MMM-YYYY")</f>
        <v>Sep-2023</v>
      </c>
      <c r="Q729" t="str">
        <f>"Q"&amp;ROUNDUP(MONTH(Cleaned_Data[[#This Row],[Order_Date]])/3,0)&amp;"-2023"</f>
        <v>Q3-2023</v>
      </c>
      <c r="R729" t="str">
        <f>TEXT(Cleaned_Data[[#This Row],[Order_Date]],"DDD")</f>
        <v>Fri</v>
      </c>
      <c r="S729" t="str">
        <f>IF(Cleaned_Data[[#This Row],[Net_Sales]]&gt;=100000,"High",IF(Cleaned_Data[[#This Row],[Net_Sales]]&gt;=50000,"Medium","Low"))</f>
        <v>Low</v>
      </c>
    </row>
    <row r="730" spans="1:19" x14ac:dyDescent="0.3">
      <c r="A730" t="s">
        <v>878</v>
      </c>
      <c r="B730" s="1">
        <v>45191</v>
      </c>
      <c r="C730" t="s">
        <v>75</v>
      </c>
      <c r="D730" t="s">
        <v>76</v>
      </c>
      <c r="E730" t="s">
        <v>37</v>
      </c>
      <c r="F730" t="s">
        <v>141</v>
      </c>
      <c r="G730" t="s">
        <v>45</v>
      </c>
      <c r="H730" t="s">
        <v>156</v>
      </c>
      <c r="I730">
        <v>1</v>
      </c>
      <c r="J730" s="8">
        <v>38400</v>
      </c>
      <c r="K730">
        <v>15</v>
      </c>
      <c r="L730" t="s">
        <v>47</v>
      </c>
      <c r="M730" s="5">
        <f>Cleaned_Data[[#This Row],[Quantity]]*Cleaned_Data[[#This Row],[Unit_Price]]</f>
        <v>38400</v>
      </c>
      <c r="N730" s="7">
        <f>Cleaned_Data[[#This Row],[Total_sales]]*(Cleaned_Data[[#This Row],[Discount_Percent]]/100)</f>
        <v>5760</v>
      </c>
      <c r="O730" s="7">
        <f>Cleaned_Data[[#This Row],[Total_sales]]-Cleaned_Data[[#This Row],[Discount_Amount]]</f>
        <v>32640</v>
      </c>
      <c r="P730" t="str">
        <f>TEXT(Cleaned_Data[[#This Row],[Order_Date]],"MMM-YYYY")</f>
        <v>Sep-2023</v>
      </c>
      <c r="Q730" t="str">
        <f>"Q"&amp;ROUNDUP(MONTH(Cleaned_Data[[#This Row],[Order_Date]])/3,0)&amp;"-2023"</f>
        <v>Q3-2023</v>
      </c>
      <c r="R730" t="str">
        <f>TEXT(Cleaned_Data[[#This Row],[Order_Date]],"DDD")</f>
        <v>Fri</v>
      </c>
      <c r="S730" t="str">
        <f>IF(Cleaned_Data[[#This Row],[Net_Sales]]&gt;=100000,"High",IF(Cleaned_Data[[#This Row],[Net_Sales]]&gt;=50000,"Medium","Low"))</f>
        <v>Low</v>
      </c>
    </row>
    <row r="731" spans="1:19" x14ac:dyDescent="0.3">
      <c r="A731" t="s">
        <v>879</v>
      </c>
      <c r="B731" s="1">
        <v>45191</v>
      </c>
      <c r="C731" t="s">
        <v>130</v>
      </c>
      <c r="D731" t="s">
        <v>53</v>
      </c>
      <c r="E731" t="s">
        <v>15</v>
      </c>
      <c r="F731" t="s">
        <v>131</v>
      </c>
      <c r="G731" t="s">
        <v>45</v>
      </c>
      <c r="H731" t="s">
        <v>46</v>
      </c>
      <c r="I731">
        <v>1</v>
      </c>
      <c r="J731" s="8">
        <v>41700</v>
      </c>
      <c r="K731">
        <v>5</v>
      </c>
      <c r="L731" t="s">
        <v>27</v>
      </c>
      <c r="M731" s="5">
        <f>Cleaned_Data[[#This Row],[Quantity]]*Cleaned_Data[[#This Row],[Unit_Price]]</f>
        <v>41700</v>
      </c>
      <c r="N731" s="7">
        <f>Cleaned_Data[[#This Row],[Total_sales]]*(Cleaned_Data[[#This Row],[Discount_Percent]]/100)</f>
        <v>2085</v>
      </c>
      <c r="O731" s="7">
        <f>Cleaned_Data[[#This Row],[Total_sales]]-Cleaned_Data[[#This Row],[Discount_Amount]]</f>
        <v>39615</v>
      </c>
      <c r="P731" t="str">
        <f>TEXT(Cleaned_Data[[#This Row],[Order_Date]],"MMM-YYYY")</f>
        <v>Sep-2023</v>
      </c>
      <c r="Q731" t="str">
        <f>"Q"&amp;ROUNDUP(MONTH(Cleaned_Data[[#This Row],[Order_Date]])/3,0)&amp;"-2023"</f>
        <v>Q3-2023</v>
      </c>
      <c r="R731" t="str">
        <f>TEXT(Cleaned_Data[[#This Row],[Order_Date]],"DDD")</f>
        <v>Fri</v>
      </c>
      <c r="S731" t="str">
        <f>IF(Cleaned_Data[[#This Row],[Net_Sales]]&gt;=100000,"High",IF(Cleaned_Data[[#This Row],[Net_Sales]]&gt;=50000,"Medium","Low"))</f>
        <v>Low</v>
      </c>
    </row>
    <row r="732" spans="1:19" x14ac:dyDescent="0.3">
      <c r="A732" t="s">
        <v>880</v>
      </c>
      <c r="B732" s="1">
        <v>45221</v>
      </c>
      <c r="C732" t="s">
        <v>49</v>
      </c>
      <c r="D732" t="s">
        <v>50</v>
      </c>
      <c r="E732" t="s">
        <v>37</v>
      </c>
      <c r="F732" t="s">
        <v>141</v>
      </c>
      <c r="G732" t="s">
        <v>45</v>
      </c>
      <c r="H732" t="s">
        <v>52</v>
      </c>
      <c r="I732">
        <v>1</v>
      </c>
      <c r="J732" s="8">
        <v>41100</v>
      </c>
      <c r="K732">
        <v>0</v>
      </c>
      <c r="L732" t="s">
        <v>103</v>
      </c>
      <c r="M732" s="5">
        <f>Cleaned_Data[[#This Row],[Quantity]]*Cleaned_Data[[#This Row],[Unit_Price]]</f>
        <v>41100</v>
      </c>
      <c r="N732" s="7">
        <f>Cleaned_Data[[#This Row],[Total_sales]]*(Cleaned_Data[[#This Row],[Discount_Percent]]/100)</f>
        <v>0</v>
      </c>
      <c r="O732" s="7">
        <f>Cleaned_Data[[#This Row],[Total_sales]]-Cleaned_Data[[#This Row],[Discount_Amount]]</f>
        <v>41100</v>
      </c>
      <c r="P732" t="str">
        <f>TEXT(Cleaned_Data[[#This Row],[Order_Date]],"MMM-YYYY")</f>
        <v>Oct-2023</v>
      </c>
      <c r="Q732" t="str">
        <f>"Q"&amp;ROUNDUP(MONTH(Cleaned_Data[[#This Row],[Order_Date]])/3,0)&amp;"-2023"</f>
        <v>Q4-2023</v>
      </c>
      <c r="R732" t="str">
        <f>TEXT(Cleaned_Data[[#This Row],[Order_Date]],"DDD")</f>
        <v>Sun</v>
      </c>
      <c r="S732" t="str">
        <f>IF(Cleaned_Data[[#This Row],[Net_Sales]]&gt;=100000,"High",IF(Cleaned_Data[[#This Row],[Net_Sales]]&gt;=50000,"Medium","Low"))</f>
        <v>Low</v>
      </c>
    </row>
    <row r="733" spans="1:19" x14ac:dyDescent="0.3">
      <c r="A733" t="s">
        <v>881</v>
      </c>
      <c r="B733" s="1">
        <v>45221</v>
      </c>
      <c r="C733" t="s">
        <v>165</v>
      </c>
      <c r="D733" t="s">
        <v>166</v>
      </c>
      <c r="E733" t="s">
        <v>81</v>
      </c>
      <c r="F733" t="s">
        <v>160</v>
      </c>
      <c r="G733" t="s">
        <v>97</v>
      </c>
      <c r="H733" t="s">
        <v>133</v>
      </c>
      <c r="I733">
        <v>1</v>
      </c>
      <c r="J733" s="8">
        <v>46000</v>
      </c>
      <c r="K733">
        <v>5</v>
      </c>
      <c r="L733" t="s">
        <v>103</v>
      </c>
      <c r="M733" s="5">
        <f>Cleaned_Data[[#This Row],[Quantity]]*Cleaned_Data[[#This Row],[Unit_Price]]</f>
        <v>46000</v>
      </c>
      <c r="N733" s="7">
        <f>Cleaned_Data[[#This Row],[Total_sales]]*(Cleaned_Data[[#This Row],[Discount_Percent]]/100)</f>
        <v>2300</v>
      </c>
      <c r="O733" s="7">
        <f>Cleaned_Data[[#This Row],[Total_sales]]-Cleaned_Data[[#This Row],[Discount_Amount]]</f>
        <v>43700</v>
      </c>
      <c r="P733" t="str">
        <f>TEXT(Cleaned_Data[[#This Row],[Order_Date]],"MMM-YYYY")</f>
        <v>Oct-2023</v>
      </c>
      <c r="Q733" t="str">
        <f>"Q"&amp;ROUNDUP(MONTH(Cleaned_Data[[#This Row],[Order_Date]])/3,0)&amp;"-2023"</f>
        <v>Q4-2023</v>
      </c>
      <c r="R733" t="str">
        <f>TEXT(Cleaned_Data[[#This Row],[Order_Date]],"DDD")</f>
        <v>Sun</v>
      </c>
      <c r="S733" t="str">
        <f>IF(Cleaned_Data[[#This Row],[Net_Sales]]&gt;=100000,"High",IF(Cleaned_Data[[#This Row],[Net_Sales]]&gt;=50000,"Medium","Low"))</f>
        <v>Low</v>
      </c>
    </row>
    <row r="734" spans="1:19" x14ac:dyDescent="0.3">
      <c r="A734" t="s">
        <v>882</v>
      </c>
      <c r="B734" s="1">
        <v>45221</v>
      </c>
      <c r="C734" t="s">
        <v>13</v>
      </c>
      <c r="D734" t="s">
        <v>14</v>
      </c>
      <c r="E734" t="s">
        <v>66</v>
      </c>
      <c r="F734" t="s">
        <v>72</v>
      </c>
      <c r="G734" t="s">
        <v>17</v>
      </c>
      <c r="H734" t="s">
        <v>77</v>
      </c>
      <c r="I734">
        <v>1</v>
      </c>
      <c r="J734" s="8">
        <v>36400</v>
      </c>
      <c r="K734">
        <v>20</v>
      </c>
      <c r="L734" t="s">
        <v>62</v>
      </c>
      <c r="M734" s="5">
        <f>Cleaned_Data[[#This Row],[Quantity]]*Cleaned_Data[[#This Row],[Unit_Price]]</f>
        <v>36400</v>
      </c>
      <c r="N734" s="7">
        <f>Cleaned_Data[[#This Row],[Total_sales]]*(Cleaned_Data[[#This Row],[Discount_Percent]]/100)</f>
        <v>7280</v>
      </c>
      <c r="O734" s="7">
        <f>Cleaned_Data[[#This Row],[Total_sales]]-Cleaned_Data[[#This Row],[Discount_Amount]]</f>
        <v>29120</v>
      </c>
      <c r="P734" t="str">
        <f>TEXT(Cleaned_Data[[#This Row],[Order_Date]],"MMM-YYYY")</f>
        <v>Oct-2023</v>
      </c>
      <c r="Q734" t="str">
        <f>"Q"&amp;ROUNDUP(MONTH(Cleaned_Data[[#This Row],[Order_Date]])/3,0)&amp;"-2023"</f>
        <v>Q4-2023</v>
      </c>
      <c r="R734" t="str">
        <f>TEXT(Cleaned_Data[[#This Row],[Order_Date]],"DDD")</f>
        <v>Sun</v>
      </c>
      <c r="S734" t="str">
        <f>IF(Cleaned_Data[[#This Row],[Net_Sales]]&gt;=100000,"High",IF(Cleaned_Data[[#This Row],[Net_Sales]]&gt;=50000,"Medium","Low"))</f>
        <v>Low</v>
      </c>
    </row>
    <row r="735" spans="1:19" x14ac:dyDescent="0.3">
      <c r="A735" t="s">
        <v>883</v>
      </c>
      <c r="B735" s="1">
        <v>45252</v>
      </c>
      <c r="C735" t="s">
        <v>250</v>
      </c>
      <c r="D735" t="s">
        <v>251</v>
      </c>
      <c r="E735" t="s">
        <v>66</v>
      </c>
      <c r="F735" t="s">
        <v>92</v>
      </c>
      <c r="G735" t="s">
        <v>45</v>
      </c>
      <c r="H735" t="s">
        <v>207</v>
      </c>
      <c r="I735">
        <v>1</v>
      </c>
      <c r="J735" s="8">
        <v>35500</v>
      </c>
      <c r="K735">
        <v>10</v>
      </c>
      <c r="L735" t="s">
        <v>53</v>
      </c>
      <c r="M735" s="5">
        <f>Cleaned_Data[[#This Row],[Quantity]]*Cleaned_Data[[#This Row],[Unit_Price]]</f>
        <v>35500</v>
      </c>
      <c r="N735" s="7">
        <f>Cleaned_Data[[#This Row],[Total_sales]]*(Cleaned_Data[[#This Row],[Discount_Percent]]/100)</f>
        <v>3550</v>
      </c>
      <c r="O735" s="7">
        <f>Cleaned_Data[[#This Row],[Total_sales]]-Cleaned_Data[[#This Row],[Discount_Amount]]</f>
        <v>31950</v>
      </c>
      <c r="P735" t="str">
        <f>TEXT(Cleaned_Data[[#This Row],[Order_Date]],"MMM-YYYY")</f>
        <v>Nov-2023</v>
      </c>
      <c r="Q735" t="str">
        <f>"Q"&amp;ROUNDUP(MONTH(Cleaned_Data[[#This Row],[Order_Date]])/3,0)&amp;"-2023"</f>
        <v>Q4-2023</v>
      </c>
      <c r="R735" t="str">
        <f>TEXT(Cleaned_Data[[#This Row],[Order_Date]],"DDD")</f>
        <v>Wed</v>
      </c>
      <c r="S735" t="str">
        <f>IF(Cleaned_Data[[#This Row],[Net_Sales]]&gt;=100000,"High",IF(Cleaned_Data[[#This Row],[Net_Sales]]&gt;=50000,"Medium","Low"))</f>
        <v>Low</v>
      </c>
    </row>
    <row r="736" spans="1:19" x14ac:dyDescent="0.3">
      <c r="A736" t="s">
        <v>884</v>
      </c>
      <c r="B736" s="1">
        <v>45282</v>
      </c>
      <c r="C736" t="s">
        <v>115</v>
      </c>
      <c r="D736" t="s">
        <v>116</v>
      </c>
      <c r="E736" t="s">
        <v>15</v>
      </c>
      <c r="F736" t="s">
        <v>128</v>
      </c>
      <c r="G736" t="s">
        <v>39</v>
      </c>
      <c r="H736" t="s">
        <v>40</v>
      </c>
      <c r="I736">
        <v>1</v>
      </c>
      <c r="J736" s="8">
        <v>29100</v>
      </c>
      <c r="K736">
        <v>10</v>
      </c>
      <c r="L736" t="s">
        <v>62</v>
      </c>
      <c r="M736" s="5">
        <f>Cleaned_Data[[#This Row],[Quantity]]*Cleaned_Data[[#This Row],[Unit_Price]]</f>
        <v>29100</v>
      </c>
      <c r="N736" s="7">
        <f>Cleaned_Data[[#This Row],[Total_sales]]*(Cleaned_Data[[#This Row],[Discount_Percent]]/100)</f>
        <v>2910</v>
      </c>
      <c r="O736" s="7">
        <f>Cleaned_Data[[#This Row],[Total_sales]]-Cleaned_Data[[#This Row],[Discount_Amount]]</f>
        <v>26190</v>
      </c>
      <c r="P736" t="str">
        <f>TEXT(Cleaned_Data[[#This Row],[Order_Date]],"MMM-YYYY")</f>
        <v>Dec-2023</v>
      </c>
      <c r="Q736" t="str">
        <f>"Q"&amp;ROUNDUP(MONTH(Cleaned_Data[[#This Row],[Order_Date]])/3,0)&amp;"-2023"</f>
        <v>Q4-2023</v>
      </c>
      <c r="R736" t="str">
        <f>TEXT(Cleaned_Data[[#This Row],[Order_Date]],"DDD")</f>
        <v>Fri</v>
      </c>
      <c r="S736" t="str">
        <f>IF(Cleaned_Data[[#This Row],[Net_Sales]]&gt;=100000,"High",IF(Cleaned_Data[[#This Row],[Net_Sales]]&gt;=50000,"Medium","Low"))</f>
        <v>Low</v>
      </c>
    </row>
    <row r="737" spans="1:19" x14ac:dyDescent="0.3">
      <c r="A737" t="s">
        <v>885</v>
      </c>
      <c r="B737" s="1">
        <v>45282</v>
      </c>
      <c r="C737" t="s">
        <v>165</v>
      </c>
      <c r="D737" t="s">
        <v>166</v>
      </c>
      <c r="E737" t="s">
        <v>81</v>
      </c>
      <c r="F737" t="s">
        <v>110</v>
      </c>
      <c r="G737" t="s">
        <v>25</v>
      </c>
      <c r="H737" t="s">
        <v>124</v>
      </c>
      <c r="I737">
        <v>3</v>
      </c>
      <c r="J737" s="8">
        <v>2400</v>
      </c>
      <c r="K737">
        <v>25</v>
      </c>
      <c r="L737" t="s">
        <v>19</v>
      </c>
      <c r="M737" s="5">
        <f>Cleaned_Data[[#This Row],[Quantity]]*Cleaned_Data[[#This Row],[Unit_Price]]</f>
        <v>7200</v>
      </c>
      <c r="N737" s="7">
        <f>Cleaned_Data[[#This Row],[Total_sales]]*(Cleaned_Data[[#This Row],[Discount_Percent]]/100)</f>
        <v>1800</v>
      </c>
      <c r="O737" s="7">
        <f>Cleaned_Data[[#This Row],[Total_sales]]-Cleaned_Data[[#This Row],[Discount_Amount]]</f>
        <v>5400</v>
      </c>
      <c r="P737" t="str">
        <f>TEXT(Cleaned_Data[[#This Row],[Order_Date]],"MMM-YYYY")</f>
        <v>Dec-2023</v>
      </c>
      <c r="Q737" t="str">
        <f>"Q"&amp;ROUNDUP(MONTH(Cleaned_Data[[#This Row],[Order_Date]])/3,0)&amp;"-2023"</f>
        <v>Q4-2023</v>
      </c>
      <c r="R737" t="str">
        <f>TEXT(Cleaned_Data[[#This Row],[Order_Date]],"DDD")</f>
        <v>Fri</v>
      </c>
      <c r="S737" t="str">
        <f>IF(Cleaned_Data[[#This Row],[Net_Sales]]&gt;=100000,"High",IF(Cleaned_Data[[#This Row],[Net_Sales]]&gt;=50000,"Medium","Low"))</f>
        <v>Low</v>
      </c>
    </row>
    <row r="738" spans="1:19" x14ac:dyDescent="0.3">
      <c r="A738" t="s">
        <v>886</v>
      </c>
      <c r="B738" s="1">
        <v>45282</v>
      </c>
      <c r="C738" t="s">
        <v>79</v>
      </c>
      <c r="D738" t="s">
        <v>80</v>
      </c>
      <c r="E738" t="s">
        <v>66</v>
      </c>
      <c r="F738" t="s">
        <v>87</v>
      </c>
      <c r="G738" t="s">
        <v>45</v>
      </c>
      <c r="H738" t="s">
        <v>156</v>
      </c>
      <c r="I738">
        <v>1</v>
      </c>
      <c r="J738" s="8">
        <v>43200</v>
      </c>
      <c r="K738">
        <v>5</v>
      </c>
      <c r="L738" t="s">
        <v>53</v>
      </c>
      <c r="M738" s="5">
        <f>Cleaned_Data[[#This Row],[Quantity]]*Cleaned_Data[[#This Row],[Unit_Price]]</f>
        <v>43200</v>
      </c>
      <c r="N738" s="7">
        <f>Cleaned_Data[[#This Row],[Total_sales]]*(Cleaned_Data[[#This Row],[Discount_Percent]]/100)</f>
        <v>2160</v>
      </c>
      <c r="O738" s="7">
        <f>Cleaned_Data[[#This Row],[Total_sales]]-Cleaned_Data[[#This Row],[Discount_Amount]]</f>
        <v>41040</v>
      </c>
      <c r="P738" t="str">
        <f>TEXT(Cleaned_Data[[#This Row],[Order_Date]],"MMM-YYYY")</f>
        <v>Dec-2023</v>
      </c>
      <c r="Q738" t="str">
        <f>"Q"&amp;ROUNDUP(MONTH(Cleaned_Data[[#This Row],[Order_Date]])/3,0)&amp;"-2023"</f>
        <v>Q4-2023</v>
      </c>
      <c r="R738" t="str">
        <f>TEXT(Cleaned_Data[[#This Row],[Order_Date]],"DDD")</f>
        <v>Fri</v>
      </c>
      <c r="S738" t="str">
        <f>IF(Cleaned_Data[[#This Row],[Net_Sales]]&gt;=100000,"High",IF(Cleaned_Data[[#This Row],[Net_Sales]]&gt;=50000,"Medium","Low"))</f>
        <v>Low</v>
      </c>
    </row>
    <row r="739" spans="1:19" x14ac:dyDescent="0.3">
      <c r="A739" t="s">
        <v>887</v>
      </c>
      <c r="B739" s="1">
        <v>44949</v>
      </c>
      <c r="C739" t="s">
        <v>112</v>
      </c>
      <c r="D739" t="s">
        <v>113</v>
      </c>
      <c r="E739" t="s">
        <v>37</v>
      </c>
      <c r="F739" t="s">
        <v>61</v>
      </c>
      <c r="G739" t="s">
        <v>39</v>
      </c>
      <c r="H739" t="s">
        <v>57</v>
      </c>
      <c r="I739">
        <v>1</v>
      </c>
      <c r="J739" s="8">
        <v>18400</v>
      </c>
      <c r="K739">
        <v>0</v>
      </c>
      <c r="L739" t="s">
        <v>62</v>
      </c>
      <c r="M739" s="5">
        <f>Cleaned_Data[[#This Row],[Quantity]]*Cleaned_Data[[#This Row],[Unit_Price]]</f>
        <v>18400</v>
      </c>
      <c r="N739" s="7">
        <f>Cleaned_Data[[#This Row],[Total_sales]]*(Cleaned_Data[[#This Row],[Discount_Percent]]/100)</f>
        <v>0</v>
      </c>
      <c r="O739" s="7">
        <f>Cleaned_Data[[#This Row],[Total_sales]]-Cleaned_Data[[#This Row],[Discount_Amount]]</f>
        <v>18400</v>
      </c>
      <c r="P739" t="str">
        <f>TEXT(Cleaned_Data[[#This Row],[Order_Date]],"MMM-YYYY")</f>
        <v>Jan-2023</v>
      </c>
      <c r="Q739" t="str">
        <f>"Q"&amp;ROUNDUP(MONTH(Cleaned_Data[[#This Row],[Order_Date]])/3,0)&amp;"-2023"</f>
        <v>Q1-2023</v>
      </c>
      <c r="R739" t="str">
        <f>TEXT(Cleaned_Data[[#This Row],[Order_Date]],"DDD")</f>
        <v>Mon</v>
      </c>
      <c r="S739" t="str">
        <f>IF(Cleaned_Data[[#This Row],[Net_Sales]]&gt;=100000,"High",IF(Cleaned_Data[[#This Row],[Net_Sales]]&gt;=50000,"Medium","Low"))</f>
        <v>Low</v>
      </c>
    </row>
    <row r="740" spans="1:19" x14ac:dyDescent="0.3">
      <c r="A740" t="s">
        <v>888</v>
      </c>
      <c r="B740" s="1">
        <v>44949</v>
      </c>
      <c r="C740" t="s">
        <v>236</v>
      </c>
      <c r="D740" t="s">
        <v>237</v>
      </c>
      <c r="E740" t="s">
        <v>23</v>
      </c>
      <c r="F740" t="s">
        <v>51</v>
      </c>
      <c r="G740" t="s">
        <v>97</v>
      </c>
      <c r="H740" t="s">
        <v>133</v>
      </c>
      <c r="I740">
        <v>1</v>
      </c>
      <c r="J740" s="8">
        <v>69300</v>
      </c>
      <c r="K740">
        <v>10</v>
      </c>
      <c r="L740" t="s">
        <v>62</v>
      </c>
      <c r="M740" s="5">
        <f>Cleaned_Data[[#This Row],[Quantity]]*Cleaned_Data[[#This Row],[Unit_Price]]</f>
        <v>69300</v>
      </c>
      <c r="N740" s="7">
        <f>Cleaned_Data[[#This Row],[Total_sales]]*(Cleaned_Data[[#This Row],[Discount_Percent]]/100)</f>
        <v>6930</v>
      </c>
      <c r="O740" s="7">
        <f>Cleaned_Data[[#This Row],[Total_sales]]-Cleaned_Data[[#This Row],[Discount_Amount]]</f>
        <v>62370</v>
      </c>
      <c r="P740" t="str">
        <f>TEXT(Cleaned_Data[[#This Row],[Order_Date]],"MMM-YYYY")</f>
        <v>Jan-2023</v>
      </c>
      <c r="Q740" t="str">
        <f>"Q"&amp;ROUNDUP(MONTH(Cleaned_Data[[#This Row],[Order_Date]])/3,0)&amp;"-2023"</f>
        <v>Q1-2023</v>
      </c>
      <c r="R740" t="str">
        <f>TEXT(Cleaned_Data[[#This Row],[Order_Date]],"DDD")</f>
        <v>Mon</v>
      </c>
      <c r="S740" t="str">
        <f>IF(Cleaned_Data[[#This Row],[Net_Sales]]&gt;=100000,"High",IF(Cleaned_Data[[#This Row],[Net_Sales]]&gt;=50000,"Medium","Low"))</f>
        <v>Medium</v>
      </c>
    </row>
    <row r="741" spans="1:19" x14ac:dyDescent="0.3">
      <c r="A741" t="s">
        <v>889</v>
      </c>
      <c r="B741" s="1">
        <v>44949</v>
      </c>
      <c r="C741" t="s">
        <v>64</v>
      </c>
      <c r="D741" t="s">
        <v>65</v>
      </c>
      <c r="E741" t="s">
        <v>15</v>
      </c>
      <c r="F741" t="s">
        <v>119</v>
      </c>
      <c r="G741" t="s">
        <v>45</v>
      </c>
      <c r="H741" t="s">
        <v>46</v>
      </c>
      <c r="I741">
        <v>1</v>
      </c>
      <c r="J741" s="8">
        <v>45300</v>
      </c>
      <c r="K741">
        <v>5</v>
      </c>
      <c r="L741" t="s">
        <v>47</v>
      </c>
      <c r="M741" s="5">
        <f>Cleaned_Data[[#This Row],[Quantity]]*Cleaned_Data[[#This Row],[Unit_Price]]</f>
        <v>45300</v>
      </c>
      <c r="N741" s="7">
        <f>Cleaned_Data[[#This Row],[Total_sales]]*(Cleaned_Data[[#This Row],[Discount_Percent]]/100)</f>
        <v>2265</v>
      </c>
      <c r="O741" s="7">
        <f>Cleaned_Data[[#This Row],[Total_sales]]-Cleaned_Data[[#This Row],[Discount_Amount]]</f>
        <v>43035</v>
      </c>
      <c r="P741" t="str">
        <f>TEXT(Cleaned_Data[[#This Row],[Order_Date]],"MMM-YYYY")</f>
        <v>Jan-2023</v>
      </c>
      <c r="Q741" t="str">
        <f>"Q"&amp;ROUNDUP(MONTH(Cleaned_Data[[#This Row],[Order_Date]])/3,0)&amp;"-2023"</f>
        <v>Q1-2023</v>
      </c>
      <c r="R741" t="str">
        <f>TEXT(Cleaned_Data[[#This Row],[Order_Date]],"DDD")</f>
        <v>Mon</v>
      </c>
      <c r="S741" t="str">
        <f>IF(Cleaned_Data[[#This Row],[Net_Sales]]&gt;=100000,"High",IF(Cleaned_Data[[#This Row],[Net_Sales]]&gt;=50000,"Medium","Low"))</f>
        <v>Low</v>
      </c>
    </row>
    <row r="742" spans="1:19" x14ac:dyDescent="0.3">
      <c r="A742" t="s">
        <v>890</v>
      </c>
      <c r="B742" s="1">
        <v>44949</v>
      </c>
      <c r="C742" t="s">
        <v>158</v>
      </c>
      <c r="D742" t="s">
        <v>159</v>
      </c>
      <c r="E742" t="s">
        <v>23</v>
      </c>
      <c r="F742" t="s">
        <v>31</v>
      </c>
      <c r="G742" t="s">
        <v>17</v>
      </c>
      <c r="H742" t="s">
        <v>168</v>
      </c>
      <c r="I742">
        <v>1</v>
      </c>
      <c r="J742" s="8">
        <v>41200</v>
      </c>
      <c r="K742">
        <v>0</v>
      </c>
      <c r="L742" t="s">
        <v>27</v>
      </c>
      <c r="M742" s="5">
        <f>Cleaned_Data[[#This Row],[Quantity]]*Cleaned_Data[[#This Row],[Unit_Price]]</f>
        <v>41200</v>
      </c>
      <c r="N742" s="7">
        <f>Cleaned_Data[[#This Row],[Total_sales]]*(Cleaned_Data[[#This Row],[Discount_Percent]]/100)</f>
        <v>0</v>
      </c>
      <c r="O742" s="7">
        <f>Cleaned_Data[[#This Row],[Total_sales]]-Cleaned_Data[[#This Row],[Discount_Amount]]</f>
        <v>41200</v>
      </c>
      <c r="P742" t="str">
        <f>TEXT(Cleaned_Data[[#This Row],[Order_Date]],"MMM-YYYY")</f>
        <v>Jan-2023</v>
      </c>
      <c r="Q742" t="str">
        <f>"Q"&amp;ROUNDUP(MONTH(Cleaned_Data[[#This Row],[Order_Date]])/3,0)&amp;"-2023"</f>
        <v>Q1-2023</v>
      </c>
      <c r="R742" t="str">
        <f>TEXT(Cleaned_Data[[#This Row],[Order_Date]],"DDD")</f>
        <v>Mon</v>
      </c>
      <c r="S742" t="str">
        <f>IF(Cleaned_Data[[#This Row],[Net_Sales]]&gt;=100000,"High",IF(Cleaned_Data[[#This Row],[Net_Sales]]&gt;=50000,"Medium","Low"))</f>
        <v>Low</v>
      </c>
    </row>
    <row r="743" spans="1:19" x14ac:dyDescent="0.3">
      <c r="A743" t="s">
        <v>891</v>
      </c>
      <c r="B743" s="1">
        <v>44980</v>
      </c>
      <c r="C743" t="s">
        <v>95</v>
      </c>
      <c r="D743" t="s">
        <v>96</v>
      </c>
      <c r="E743" t="s">
        <v>37</v>
      </c>
      <c r="F743" t="s">
        <v>38</v>
      </c>
      <c r="G743" t="s">
        <v>39</v>
      </c>
      <c r="H743" t="s">
        <v>68</v>
      </c>
      <c r="I743">
        <v>1</v>
      </c>
      <c r="J743" s="8">
        <v>29900</v>
      </c>
      <c r="K743">
        <v>20</v>
      </c>
      <c r="L743" t="s">
        <v>62</v>
      </c>
      <c r="M743" s="5">
        <f>Cleaned_Data[[#This Row],[Quantity]]*Cleaned_Data[[#This Row],[Unit_Price]]</f>
        <v>29900</v>
      </c>
      <c r="N743" s="7">
        <f>Cleaned_Data[[#This Row],[Total_sales]]*(Cleaned_Data[[#This Row],[Discount_Percent]]/100)</f>
        <v>5980</v>
      </c>
      <c r="O743" s="7">
        <f>Cleaned_Data[[#This Row],[Total_sales]]-Cleaned_Data[[#This Row],[Discount_Amount]]</f>
        <v>23920</v>
      </c>
      <c r="P743" t="str">
        <f>TEXT(Cleaned_Data[[#This Row],[Order_Date]],"MMM-YYYY")</f>
        <v>Feb-2023</v>
      </c>
      <c r="Q743" t="str">
        <f>"Q"&amp;ROUNDUP(MONTH(Cleaned_Data[[#This Row],[Order_Date]])/3,0)&amp;"-2023"</f>
        <v>Q1-2023</v>
      </c>
      <c r="R743" t="str">
        <f>TEXT(Cleaned_Data[[#This Row],[Order_Date]],"DDD")</f>
        <v>Thu</v>
      </c>
      <c r="S743" t="str">
        <f>IF(Cleaned_Data[[#This Row],[Net_Sales]]&gt;=100000,"High",IF(Cleaned_Data[[#This Row],[Net_Sales]]&gt;=50000,"Medium","Low"))</f>
        <v>Low</v>
      </c>
    </row>
    <row r="744" spans="1:19" x14ac:dyDescent="0.3">
      <c r="A744" t="s">
        <v>892</v>
      </c>
      <c r="B744" s="1">
        <v>45008</v>
      </c>
      <c r="C744" t="s">
        <v>158</v>
      </c>
      <c r="D744" t="s">
        <v>159</v>
      </c>
      <c r="E744" t="s">
        <v>23</v>
      </c>
      <c r="F744" t="s">
        <v>44</v>
      </c>
      <c r="G744" t="s">
        <v>39</v>
      </c>
      <c r="H744" t="s">
        <v>68</v>
      </c>
      <c r="I744">
        <v>2</v>
      </c>
      <c r="J744" s="8">
        <v>18200</v>
      </c>
      <c r="K744">
        <v>25</v>
      </c>
      <c r="L744" t="s">
        <v>62</v>
      </c>
      <c r="M744" s="5">
        <f>Cleaned_Data[[#This Row],[Quantity]]*Cleaned_Data[[#This Row],[Unit_Price]]</f>
        <v>36400</v>
      </c>
      <c r="N744" s="7">
        <f>Cleaned_Data[[#This Row],[Total_sales]]*(Cleaned_Data[[#This Row],[Discount_Percent]]/100)</f>
        <v>9100</v>
      </c>
      <c r="O744" s="7">
        <f>Cleaned_Data[[#This Row],[Total_sales]]-Cleaned_Data[[#This Row],[Discount_Amount]]</f>
        <v>27300</v>
      </c>
      <c r="P744" t="str">
        <f>TEXT(Cleaned_Data[[#This Row],[Order_Date]],"MMM-YYYY")</f>
        <v>Mar-2023</v>
      </c>
      <c r="Q744" t="str">
        <f>"Q"&amp;ROUNDUP(MONTH(Cleaned_Data[[#This Row],[Order_Date]])/3,0)&amp;"-2023"</f>
        <v>Q1-2023</v>
      </c>
      <c r="R744" t="str">
        <f>TEXT(Cleaned_Data[[#This Row],[Order_Date]],"DDD")</f>
        <v>Thu</v>
      </c>
      <c r="S744" t="str">
        <f>IF(Cleaned_Data[[#This Row],[Net_Sales]]&gt;=100000,"High",IF(Cleaned_Data[[#This Row],[Net_Sales]]&gt;=50000,"Medium","Low"))</f>
        <v>Low</v>
      </c>
    </row>
    <row r="745" spans="1:19" x14ac:dyDescent="0.3">
      <c r="A745" t="s">
        <v>893</v>
      </c>
      <c r="B745" s="1">
        <v>45039</v>
      </c>
      <c r="C745" t="s">
        <v>147</v>
      </c>
      <c r="D745" t="s">
        <v>148</v>
      </c>
      <c r="E745" t="s">
        <v>81</v>
      </c>
      <c r="F745" t="s">
        <v>82</v>
      </c>
      <c r="G745" t="s">
        <v>45</v>
      </c>
      <c r="H745" t="s">
        <v>46</v>
      </c>
      <c r="I745">
        <v>1</v>
      </c>
      <c r="J745" s="8">
        <v>34600</v>
      </c>
      <c r="K745">
        <v>20</v>
      </c>
      <c r="L745" t="s">
        <v>62</v>
      </c>
      <c r="M745" s="5">
        <f>Cleaned_Data[[#This Row],[Quantity]]*Cleaned_Data[[#This Row],[Unit_Price]]</f>
        <v>34600</v>
      </c>
      <c r="N745" s="7">
        <f>Cleaned_Data[[#This Row],[Total_sales]]*(Cleaned_Data[[#This Row],[Discount_Percent]]/100)</f>
        <v>6920</v>
      </c>
      <c r="O745" s="7">
        <f>Cleaned_Data[[#This Row],[Total_sales]]-Cleaned_Data[[#This Row],[Discount_Amount]]</f>
        <v>27680</v>
      </c>
      <c r="P745" t="str">
        <f>TEXT(Cleaned_Data[[#This Row],[Order_Date]],"MMM-YYYY")</f>
        <v>Apr-2023</v>
      </c>
      <c r="Q745" t="str">
        <f>"Q"&amp;ROUNDUP(MONTH(Cleaned_Data[[#This Row],[Order_Date]])/3,0)&amp;"-2023"</f>
        <v>Q2-2023</v>
      </c>
      <c r="R745" t="str">
        <f>TEXT(Cleaned_Data[[#This Row],[Order_Date]],"DDD")</f>
        <v>Sun</v>
      </c>
      <c r="S745" t="str">
        <f>IF(Cleaned_Data[[#This Row],[Net_Sales]]&gt;=100000,"High",IF(Cleaned_Data[[#This Row],[Net_Sales]]&gt;=50000,"Medium","Low"))</f>
        <v>Low</v>
      </c>
    </row>
    <row r="746" spans="1:19" x14ac:dyDescent="0.3">
      <c r="A746" t="s">
        <v>894</v>
      </c>
      <c r="B746" s="1">
        <v>45039</v>
      </c>
      <c r="C746" t="s">
        <v>143</v>
      </c>
      <c r="D746" t="s">
        <v>144</v>
      </c>
      <c r="E746" t="s">
        <v>15</v>
      </c>
      <c r="F746" t="s">
        <v>119</v>
      </c>
      <c r="G746" t="s">
        <v>45</v>
      </c>
      <c r="H746" t="s">
        <v>46</v>
      </c>
      <c r="I746">
        <v>1</v>
      </c>
      <c r="J746" s="8">
        <v>43900</v>
      </c>
      <c r="K746">
        <v>0</v>
      </c>
      <c r="L746" t="s">
        <v>53</v>
      </c>
      <c r="M746" s="5">
        <f>Cleaned_Data[[#This Row],[Quantity]]*Cleaned_Data[[#This Row],[Unit_Price]]</f>
        <v>43900</v>
      </c>
      <c r="N746" s="7">
        <f>Cleaned_Data[[#This Row],[Total_sales]]*(Cleaned_Data[[#This Row],[Discount_Percent]]/100)</f>
        <v>0</v>
      </c>
      <c r="O746" s="7">
        <f>Cleaned_Data[[#This Row],[Total_sales]]-Cleaned_Data[[#This Row],[Discount_Amount]]</f>
        <v>43900</v>
      </c>
      <c r="P746" t="str">
        <f>TEXT(Cleaned_Data[[#This Row],[Order_Date]],"MMM-YYYY")</f>
        <v>Apr-2023</v>
      </c>
      <c r="Q746" t="str">
        <f>"Q"&amp;ROUNDUP(MONTH(Cleaned_Data[[#This Row],[Order_Date]])/3,0)&amp;"-2023"</f>
        <v>Q2-2023</v>
      </c>
      <c r="R746" t="str">
        <f>TEXT(Cleaned_Data[[#This Row],[Order_Date]],"DDD")</f>
        <v>Sun</v>
      </c>
      <c r="S746" t="str">
        <f>IF(Cleaned_Data[[#This Row],[Net_Sales]]&gt;=100000,"High",IF(Cleaned_Data[[#This Row],[Net_Sales]]&gt;=50000,"Medium","Low"))</f>
        <v>Low</v>
      </c>
    </row>
    <row r="747" spans="1:19" x14ac:dyDescent="0.3">
      <c r="A747" t="s">
        <v>895</v>
      </c>
      <c r="B747" s="1">
        <v>45069</v>
      </c>
      <c r="C747" t="s">
        <v>126</v>
      </c>
      <c r="D747" t="s">
        <v>127</v>
      </c>
      <c r="E747" t="s">
        <v>81</v>
      </c>
      <c r="F747" t="s">
        <v>117</v>
      </c>
      <c r="G747" t="s">
        <v>39</v>
      </c>
      <c r="H747" t="s">
        <v>40</v>
      </c>
      <c r="I747">
        <v>1</v>
      </c>
      <c r="J747" s="8">
        <v>22300</v>
      </c>
      <c r="K747">
        <v>5</v>
      </c>
      <c r="L747" t="s">
        <v>103</v>
      </c>
      <c r="M747" s="5">
        <f>Cleaned_Data[[#This Row],[Quantity]]*Cleaned_Data[[#This Row],[Unit_Price]]</f>
        <v>22300</v>
      </c>
      <c r="N747" s="7">
        <f>Cleaned_Data[[#This Row],[Total_sales]]*(Cleaned_Data[[#This Row],[Discount_Percent]]/100)</f>
        <v>1115</v>
      </c>
      <c r="O747" s="7">
        <f>Cleaned_Data[[#This Row],[Total_sales]]-Cleaned_Data[[#This Row],[Discount_Amount]]</f>
        <v>21185</v>
      </c>
      <c r="P747" t="str">
        <f>TEXT(Cleaned_Data[[#This Row],[Order_Date]],"MMM-YYYY")</f>
        <v>May-2023</v>
      </c>
      <c r="Q747" t="str">
        <f>"Q"&amp;ROUNDUP(MONTH(Cleaned_Data[[#This Row],[Order_Date]])/3,0)&amp;"-2023"</f>
        <v>Q2-2023</v>
      </c>
      <c r="R747" t="str">
        <f>TEXT(Cleaned_Data[[#This Row],[Order_Date]],"DDD")</f>
        <v>Tue</v>
      </c>
      <c r="S747" t="str">
        <f>IF(Cleaned_Data[[#This Row],[Net_Sales]]&gt;=100000,"High",IF(Cleaned_Data[[#This Row],[Net_Sales]]&gt;=50000,"Medium","Low"))</f>
        <v>Low</v>
      </c>
    </row>
    <row r="748" spans="1:19" x14ac:dyDescent="0.3">
      <c r="A748" t="s">
        <v>896</v>
      </c>
      <c r="B748" s="1">
        <v>45069</v>
      </c>
      <c r="C748" t="s">
        <v>21</v>
      </c>
      <c r="D748" t="s">
        <v>22</v>
      </c>
      <c r="E748" t="s">
        <v>15</v>
      </c>
      <c r="F748" t="s">
        <v>128</v>
      </c>
      <c r="G748" t="s">
        <v>25</v>
      </c>
      <c r="H748" t="s">
        <v>108</v>
      </c>
      <c r="I748">
        <v>1</v>
      </c>
      <c r="J748" s="8">
        <v>1000</v>
      </c>
      <c r="K748">
        <v>25</v>
      </c>
      <c r="L748" t="s">
        <v>103</v>
      </c>
      <c r="M748" s="5">
        <f>Cleaned_Data[[#This Row],[Quantity]]*Cleaned_Data[[#This Row],[Unit_Price]]</f>
        <v>1000</v>
      </c>
      <c r="N748" s="7">
        <f>Cleaned_Data[[#This Row],[Total_sales]]*(Cleaned_Data[[#This Row],[Discount_Percent]]/100)</f>
        <v>250</v>
      </c>
      <c r="O748" s="7">
        <f>Cleaned_Data[[#This Row],[Total_sales]]-Cleaned_Data[[#This Row],[Discount_Amount]]</f>
        <v>750</v>
      </c>
      <c r="P748" t="str">
        <f>TEXT(Cleaned_Data[[#This Row],[Order_Date]],"MMM-YYYY")</f>
        <v>May-2023</v>
      </c>
      <c r="Q748" t="str">
        <f>"Q"&amp;ROUNDUP(MONTH(Cleaned_Data[[#This Row],[Order_Date]])/3,0)&amp;"-2023"</f>
        <v>Q2-2023</v>
      </c>
      <c r="R748" t="str">
        <f>TEXT(Cleaned_Data[[#This Row],[Order_Date]],"DDD")</f>
        <v>Tue</v>
      </c>
      <c r="S748" t="str">
        <f>IF(Cleaned_Data[[#This Row],[Net_Sales]]&gt;=100000,"High",IF(Cleaned_Data[[#This Row],[Net_Sales]]&gt;=50000,"Medium","Low"))</f>
        <v>Low</v>
      </c>
    </row>
    <row r="749" spans="1:19" x14ac:dyDescent="0.3">
      <c r="A749" t="s">
        <v>897</v>
      </c>
      <c r="B749" s="1">
        <v>45069</v>
      </c>
      <c r="C749" t="s">
        <v>112</v>
      </c>
      <c r="D749" t="s">
        <v>113</v>
      </c>
      <c r="E749" t="s">
        <v>23</v>
      </c>
      <c r="F749" t="s">
        <v>31</v>
      </c>
      <c r="G749" t="s">
        <v>97</v>
      </c>
      <c r="H749" t="s">
        <v>154</v>
      </c>
      <c r="I749">
        <v>1</v>
      </c>
      <c r="J749" s="8">
        <v>64500</v>
      </c>
      <c r="K749">
        <v>5</v>
      </c>
      <c r="L749" t="s">
        <v>53</v>
      </c>
      <c r="M749" s="5">
        <f>Cleaned_Data[[#This Row],[Quantity]]*Cleaned_Data[[#This Row],[Unit_Price]]</f>
        <v>64500</v>
      </c>
      <c r="N749" s="7">
        <f>Cleaned_Data[[#This Row],[Total_sales]]*(Cleaned_Data[[#This Row],[Discount_Percent]]/100)</f>
        <v>3225</v>
      </c>
      <c r="O749" s="7">
        <f>Cleaned_Data[[#This Row],[Total_sales]]-Cleaned_Data[[#This Row],[Discount_Amount]]</f>
        <v>61275</v>
      </c>
      <c r="P749" t="str">
        <f>TEXT(Cleaned_Data[[#This Row],[Order_Date]],"MMM-YYYY")</f>
        <v>May-2023</v>
      </c>
      <c r="Q749" t="str">
        <f>"Q"&amp;ROUNDUP(MONTH(Cleaned_Data[[#This Row],[Order_Date]])/3,0)&amp;"-2023"</f>
        <v>Q2-2023</v>
      </c>
      <c r="R749" t="str">
        <f>TEXT(Cleaned_Data[[#This Row],[Order_Date]],"DDD")</f>
        <v>Tue</v>
      </c>
      <c r="S749" t="str">
        <f>IF(Cleaned_Data[[#This Row],[Net_Sales]]&gt;=100000,"High",IF(Cleaned_Data[[#This Row],[Net_Sales]]&gt;=50000,"Medium","Low"))</f>
        <v>Medium</v>
      </c>
    </row>
    <row r="750" spans="1:19" x14ac:dyDescent="0.3">
      <c r="A750" t="s">
        <v>898</v>
      </c>
      <c r="B750" s="1">
        <v>45069</v>
      </c>
      <c r="C750" t="s">
        <v>130</v>
      </c>
      <c r="D750" t="s">
        <v>53</v>
      </c>
      <c r="E750" t="s">
        <v>37</v>
      </c>
      <c r="F750" t="s">
        <v>101</v>
      </c>
      <c r="G750" t="s">
        <v>97</v>
      </c>
      <c r="H750" t="s">
        <v>154</v>
      </c>
      <c r="I750">
        <v>1</v>
      </c>
      <c r="J750" s="8">
        <v>55600</v>
      </c>
      <c r="K750">
        <v>15</v>
      </c>
      <c r="L750" t="s">
        <v>27</v>
      </c>
      <c r="M750" s="5">
        <f>Cleaned_Data[[#This Row],[Quantity]]*Cleaned_Data[[#This Row],[Unit_Price]]</f>
        <v>55600</v>
      </c>
      <c r="N750" s="7">
        <f>Cleaned_Data[[#This Row],[Total_sales]]*(Cleaned_Data[[#This Row],[Discount_Percent]]/100)</f>
        <v>8340</v>
      </c>
      <c r="O750" s="7">
        <f>Cleaned_Data[[#This Row],[Total_sales]]-Cleaned_Data[[#This Row],[Discount_Amount]]</f>
        <v>47260</v>
      </c>
      <c r="P750" t="str">
        <f>TEXT(Cleaned_Data[[#This Row],[Order_Date]],"MMM-YYYY")</f>
        <v>May-2023</v>
      </c>
      <c r="Q750" t="str">
        <f>"Q"&amp;ROUNDUP(MONTH(Cleaned_Data[[#This Row],[Order_Date]])/3,0)&amp;"-2023"</f>
        <v>Q2-2023</v>
      </c>
      <c r="R750" t="str">
        <f>TEXT(Cleaned_Data[[#This Row],[Order_Date]],"DDD")</f>
        <v>Tue</v>
      </c>
      <c r="S750" t="str">
        <f>IF(Cleaned_Data[[#This Row],[Net_Sales]]&gt;=100000,"High",IF(Cleaned_Data[[#This Row],[Net_Sales]]&gt;=50000,"Medium","Low"))</f>
        <v>Low</v>
      </c>
    </row>
    <row r="751" spans="1:19" x14ac:dyDescent="0.3">
      <c r="A751" t="s">
        <v>899</v>
      </c>
      <c r="B751" s="1">
        <v>45069</v>
      </c>
      <c r="C751" t="s">
        <v>64</v>
      </c>
      <c r="D751" t="s">
        <v>65</v>
      </c>
      <c r="E751" t="s">
        <v>15</v>
      </c>
      <c r="F751" t="s">
        <v>128</v>
      </c>
      <c r="G751" t="s">
        <v>97</v>
      </c>
      <c r="H751" t="s">
        <v>133</v>
      </c>
      <c r="I751">
        <v>2</v>
      </c>
      <c r="J751" s="8">
        <v>73200</v>
      </c>
      <c r="K751">
        <v>0</v>
      </c>
      <c r="L751" t="s">
        <v>19</v>
      </c>
      <c r="M751" s="5">
        <f>Cleaned_Data[[#This Row],[Quantity]]*Cleaned_Data[[#This Row],[Unit_Price]]</f>
        <v>146400</v>
      </c>
      <c r="N751" s="7">
        <f>Cleaned_Data[[#This Row],[Total_sales]]*(Cleaned_Data[[#This Row],[Discount_Percent]]/100)</f>
        <v>0</v>
      </c>
      <c r="O751" s="7">
        <f>Cleaned_Data[[#This Row],[Total_sales]]-Cleaned_Data[[#This Row],[Discount_Amount]]</f>
        <v>146400</v>
      </c>
      <c r="P751" t="str">
        <f>TEXT(Cleaned_Data[[#This Row],[Order_Date]],"MMM-YYYY")</f>
        <v>May-2023</v>
      </c>
      <c r="Q751" t="str">
        <f>"Q"&amp;ROUNDUP(MONTH(Cleaned_Data[[#This Row],[Order_Date]])/3,0)&amp;"-2023"</f>
        <v>Q2-2023</v>
      </c>
      <c r="R751" t="str">
        <f>TEXT(Cleaned_Data[[#This Row],[Order_Date]],"DDD")</f>
        <v>Tue</v>
      </c>
      <c r="S751" t="str">
        <f>IF(Cleaned_Data[[#This Row],[Net_Sales]]&gt;=100000,"High",IF(Cleaned_Data[[#This Row],[Net_Sales]]&gt;=50000,"Medium","Low"))</f>
        <v>High</v>
      </c>
    </row>
    <row r="752" spans="1:19" x14ac:dyDescent="0.3">
      <c r="A752" t="s">
        <v>900</v>
      </c>
      <c r="B752" s="1">
        <v>45069</v>
      </c>
      <c r="C752" t="s">
        <v>105</v>
      </c>
      <c r="D752" t="s">
        <v>106</v>
      </c>
      <c r="E752" t="s">
        <v>66</v>
      </c>
      <c r="F752" t="s">
        <v>87</v>
      </c>
      <c r="G752" t="s">
        <v>39</v>
      </c>
      <c r="H752" t="s">
        <v>57</v>
      </c>
      <c r="I752">
        <v>1</v>
      </c>
      <c r="J752" s="8">
        <v>20100</v>
      </c>
      <c r="K752">
        <v>25</v>
      </c>
      <c r="L752" t="s">
        <v>73</v>
      </c>
      <c r="M752" s="5">
        <f>Cleaned_Data[[#This Row],[Quantity]]*Cleaned_Data[[#This Row],[Unit_Price]]</f>
        <v>20100</v>
      </c>
      <c r="N752" s="7">
        <f>Cleaned_Data[[#This Row],[Total_sales]]*(Cleaned_Data[[#This Row],[Discount_Percent]]/100)</f>
        <v>5025</v>
      </c>
      <c r="O752" s="7">
        <f>Cleaned_Data[[#This Row],[Total_sales]]-Cleaned_Data[[#This Row],[Discount_Amount]]</f>
        <v>15075</v>
      </c>
      <c r="P752" t="str">
        <f>TEXT(Cleaned_Data[[#This Row],[Order_Date]],"MMM-YYYY")</f>
        <v>May-2023</v>
      </c>
      <c r="Q752" t="str">
        <f>"Q"&amp;ROUNDUP(MONTH(Cleaned_Data[[#This Row],[Order_Date]])/3,0)&amp;"-2023"</f>
        <v>Q2-2023</v>
      </c>
      <c r="R752" t="str">
        <f>TEXT(Cleaned_Data[[#This Row],[Order_Date]],"DDD")</f>
        <v>Tue</v>
      </c>
      <c r="S752" t="str">
        <f>IF(Cleaned_Data[[#This Row],[Net_Sales]]&gt;=100000,"High",IF(Cleaned_Data[[#This Row],[Net_Sales]]&gt;=50000,"Medium","Low"))</f>
        <v>Low</v>
      </c>
    </row>
    <row r="753" spans="1:19" x14ac:dyDescent="0.3">
      <c r="A753" t="s">
        <v>901</v>
      </c>
      <c r="B753" s="1">
        <v>45100</v>
      </c>
      <c r="C753" t="s">
        <v>84</v>
      </c>
      <c r="D753" t="s">
        <v>85</v>
      </c>
      <c r="E753" t="s">
        <v>66</v>
      </c>
      <c r="F753" t="s">
        <v>87</v>
      </c>
      <c r="G753" t="s">
        <v>39</v>
      </c>
      <c r="H753" t="s">
        <v>68</v>
      </c>
      <c r="I753">
        <v>1</v>
      </c>
      <c r="J753" s="8">
        <v>11500</v>
      </c>
      <c r="K753">
        <v>0</v>
      </c>
      <c r="L753" t="s">
        <v>19</v>
      </c>
      <c r="M753" s="5">
        <f>Cleaned_Data[[#This Row],[Quantity]]*Cleaned_Data[[#This Row],[Unit_Price]]</f>
        <v>11500</v>
      </c>
      <c r="N753" s="7">
        <f>Cleaned_Data[[#This Row],[Total_sales]]*(Cleaned_Data[[#This Row],[Discount_Percent]]/100)</f>
        <v>0</v>
      </c>
      <c r="O753" s="7">
        <f>Cleaned_Data[[#This Row],[Total_sales]]-Cleaned_Data[[#This Row],[Discount_Amount]]</f>
        <v>11500</v>
      </c>
      <c r="P753" t="str">
        <f>TEXT(Cleaned_Data[[#This Row],[Order_Date]],"MMM-YYYY")</f>
        <v>Jun-2023</v>
      </c>
      <c r="Q753" t="str">
        <f>"Q"&amp;ROUNDUP(MONTH(Cleaned_Data[[#This Row],[Order_Date]])/3,0)&amp;"-2023"</f>
        <v>Q2-2023</v>
      </c>
      <c r="R753" t="str">
        <f>TEXT(Cleaned_Data[[#This Row],[Order_Date]],"DDD")</f>
        <v>Fri</v>
      </c>
      <c r="S753" t="str">
        <f>IF(Cleaned_Data[[#This Row],[Net_Sales]]&gt;=100000,"High",IF(Cleaned_Data[[#This Row],[Net_Sales]]&gt;=50000,"Medium","Low"))</f>
        <v>Low</v>
      </c>
    </row>
    <row r="754" spans="1:19" x14ac:dyDescent="0.3">
      <c r="A754" t="s">
        <v>902</v>
      </c>
      <c r="B754" s="1">
        <v>45100</v>
      </c>
      <c r="C754" t="s">
        <v>130</v>
      </c>
      <c r="D754" t="s">
        <v>53</v>
      </c>
      <c r="E754" t="s">
        <v>15</v>
      </c>
      <c r="F754" t="s">
        <v>131</v>
      </c>
      <c r="G754" t="s">
        <v>17</v>
      </c>
      <c r="H754" t="s">
        <v>77</v>
      </c>
      <c r="I754">
        <v>1</v>
      </c>
      <c r="J754" s="8">
        <v>35000</v>
      </c>
      <c r="K754">
        <v>0</v>
      </c>
      <c r="L754" t="s">
        <v>62</v>
      </c>
      <c r="M754" s="5">
        <f>Cleaned_Data[[#This Row],[Quantity]]*Cleaned_Data[[#This Row],[Unit_Price]]</f>
        <v>35000</v>
      </c>
      <c r="N754" s="7">
        <f>Cleaned_Data[[#This Row],[Total_sales]]*(Cleaned_Data[[#This Row],[Discount_Percent]]/100)</f>
        <v>0</v>
      </c>
      <c r="O754" s="7">
        <f>Cleaned_Data[[#This Row],[Total_sales]]-Cleaned_Data[[#This Row],[Discount_Amount]]</f>
        <v>35000</v>
      </c>
      <c r="P754" t="str">
        <f>TEXT(Cleaned_Data[[#This Row],[Order_Date]],"MMM-YYYY")</f>
        <v>Jun-2023</v>
      </c>
      <c r="Q754" t="str">
        <f>"Q"&amp;ROUNDUP(MONTH(Cleaned_Data[[#This Row],[Order_Date]])/3,0)&amp;"-2023"</f>
        <v>Q2-2023</v>
      </c>
      <c r="R754" t="str">
        <f>TEXT(Cleaned_Data[[#This Row],[Order_Date]],"DDD")</f>
        <v>Fri</v>
      </c>
      <c r="S754" t="str">
        <f>IF(Cleaned_Data[[#This Row],[Net_Sales]]&gt;=100000,"High",IF(Cleaned_Data[[#This Row],[Net_Sales]]&gt;=50000,"Medium","Low"))</f>
        <v>Low</v>
      </c>
    </row>
    <row r="755" spans="1:19" x14ac:dyDescent="0.3">
      <c r="A755" t="s">
        <v>903</v>
      </c>
      <c r="B755" s="1">
        <v>45161</v>
      </c>
      <c r="C755" t="s">
        <v>84</v>
      </c>
      <c r="D755" t="s">
        <v>85</v>
      </c>
      <c r="E755" t="s">
        <v>23</v>
      </c>
      <c r="F755" t="s">
        <v>31</v>
      </c>
      <c r="G755" t="s">
        <v>25</v>
      </c>
      <c r="H755" t="s">
        <v>108</v>
      </c>
      <c r="I755">
        <v>2</v>
      </c>
      <c r="J755" s="8">
        <v>900</v>
      </c>
      <c r="K755">
        <v>10</v>
      </c>
      <c r="L755" t="s">
        <v>27</v>
      </c>
      <c r="M755" s="5">
        <f>Cleaned_Data[[#This Row],[Quantity]]*Cleaned_Data[[#This Row],[Unit_Price]]</f>
        <v>1800</v>
      </c>
      <c r="N755" s="7">
        <f>Cleaned_Data[[#This Row],[Total_sales]]*(Cleaned_Data[[#This Row],[Discount_Percent]]/100)</f>
        <v>180</v>
      </c>
      <c r="O755" s="7">
        <f>Cleaned_Data[[#This Row],[Total_sales]]-Cleaned_Data[[#This Row],[Discount_Amount]]</f>
        <v>1620</v>
      </c>
      <c r="P755" t="str">
        <f>TEXT(Cleaned_Data[[#This Row],[Order_Date]],"MMM-YYYY")</f>
        <v>Aug-2023</v>
      </c>
      <c r="Q755" t="str">
        <f>"Q"&amp;ROUNDUP(MONTH(Cleaned_Data[[#This Row],[Order_Date]])/3,0)&amp;"-2023"</f>
        <v>Q3-2023</v>
      </c>
      <c r="R755" t="str">
        <f>TEXT(Cleaned_Data[[#This Row],[Order_Date]],"DDD")</f>
        <v>Wed</v>
      </c>
      <c r="S755" t="str">
        <f>IF(Cleaned_Data[[#This Row],[Net_Sales]]&gt;=100000,"High",IF(Cleaned_Data[[#This Row],[Net_Sales]]&gt;=50000,"Medium","Low"))</f>
        <v>Low</v>
      </c>
    </row>
    <row r="756" spans="1:19" x14ac:dyDescent="0.3">
      <c r="A756" t="s">
        <v>904</v>
      </c>
      <c r="B756" s="1">
        <v>45161</v>
      </c>
      <c r="C756" t="s">
        <v>163</v>
      </c>
      <c r="D756" t="s">
        <v>73</v>
      </c>
      <c r="E756" t="s">
        <v>15</v>
      </c>
      <c r="F756" t="s">
        <v>119</v>
      </c>
      <c r="G756" t="s">
        <v>39</v>
      </c>
      <c r="H756" t="s">
        <v>102</v>
      </c>
      <c r="I756">
        <v>1</v>
      </c>
      <c r="J756" s="8">
        <v>11800</v>
      </c>
      <c r="K756">
        <v>25</v>
      </c>
      <c r="L756" t="s">
        <v>47</v>
      </c>
      <c r="M756" s="5">
        <f>Cleaned_Data[[#This Row],[Quantity]]*Cleaned_Data[[#This Row],[Unit_Price]]</f>
        <v>11800</v>
      </c>
      <c r="N756" s="7">
        <f>Cleaned_Data[[#This Row],[Total_sales]]*(Cleaned_Data[[#This Row],[Discount_Percent]]/100)</f>
        <v>2950</v>
      </c>
      <c r="O756" s="7">
        <f>Cleaned_Data[[#This Row],[Total_sales]]-Cleaned_Data[[#This Row],[Discount_Amount]]</f>
        <v>8850</v>
      </c>
      <c r="P756" t="str">
        <f>TEXT(Cleaned_Data[[#This Row],[Order_Date]],"MMM-YYYY")</f>
        <v>Aug-2023</v>
      </c>
      <c r="Q756" t="str">
        <f>"Q"&amp;ROUNDUP(MONTH(Cleaned_Data[[#This Row],[Order_Date]])/3,0)&amp;"-2023"</f>
        <v>Q3-2023</v>
      </c>
      <c r="R756" t="str">
        <f>TEXT(Cleaned_Data[[#This Row],[Order_Date]],"DDD")</f>
        <v>Wed</v>
      </c>
      <c r="S756" t="str">
        <f>IF(Cleaned_Data[[#This Row],[Net_Sales]]&gt;=100000,"High",IF(Cleaned_Data[[#This Row],[Net_Sales]]&gt;=50000,"Medium","Low"))</f>
        <v>Low</v>
      </c>
    </row>
    <row r="757" spans="1:19" x14ac:dyDescent="0.3">
      <c r="A757" t="s">
        <v>905</v>
      </c>
      <c r="B757" s="1">
        <v>45161</v>
      </c>
      <c r="C757" t="s">
        <v>95</v>
      </c>
      <c r="D757" t="s">
        <v>96</v>
      </c>
      <c r="E757" t="s">
        <v>23</v>
      </c>
      <c r="F757" t="s">
        <v>51</v>
      </c>
      <c r="G757" t="s">
        <v>45</v>
      </c>
      <c r="H757" t="s">
        <v>207</v>
      </c>
      <c r="I757">
        <v>1</v>
      </c>
      <c r="J757" s="8">
        <v>30900</v>
      </c>
      <c r="K757">
        <v>10</v>
      </c>
      <c r="L757" t="s">
        <v>27</v>
      </c>
      <c r="M757" s="5">
        <f>Cleaned_Data[[#This Row],[Quantity]]*Cleaned_Data[[#This Row],[Unit_Price]]</f>
        <v>30900</v>
      </c>
      <c r="N757" s="7">
        <f>Cleaned_Data[[#This Row],[Total_sales]]*(Cleaned_Data[[#This Row],[Discount_Percent]]/100)</f>
        <v>3090</v>
      </c>
      <c r="O757" s="7">
        <f>Cleaned_Data[[#This Row],[Total_sales]]-Cleaned_Data[[#This Row],[Discount_Amount]]</f>
        <v>27810</v>
      </c>
      <c r="P757" t="str">
        <f>TEXT(Cleaned_Data[[#This Row],[Order_Date]],"MMM-YYYY")</f>
        <v>Aug-2023</v>
      </c>
      <c r="Q757" t="str">
        <f>"Q"&amp;ROUNDUP(MONTH(Cleaned_Data[[#This Row],[Order_Date]])/3,0)&amp;"-2023"</f>
        <v>Q3-2023</v>
      </c>
      <c r="R757" t="str">
        <f>TEXT(Cleaned_Data[[#This Row],[Order_Date]],"DDD")</f>
        <v>Wed</v>
      </c>
      <c r="S757" t="str">
        <f>IF(Cleaned_Data[[#This Row],[Net_Sales]]&gt;=100000,"High",IF(Cleaned_Data[[#This Row],[Net_Sales]]&gt;=50000,"Medium","Low"))</f>
        <v>Low</v>
      </c>
    </row>
    <row r="758" spans="1:19" x14ac:dyDescent="0.3">
      <c r="A758" t="s">
        <v>906</v>
      </c>
      <c r="B758" s="1">
        <v>45161</v>
      </c>
      <c r="C758" t="s">
        <v>64</v>
      </c>
      <c r="D758" t="s">
        <v>65</v>
      </c>
      <c r="E758" t="s">
        <v>15</v>
      </c>
      <c r="F758" t="s">
        <v>128</v>
      </c>
      <c r="G758" t="s">
        <v>25</v>
      </c>
      <c r="H758" t="s">
        <v>26</v>
      </c>
      <c r="I758">
        <v>3</v>
      </c>
      <c r="J758" s="8">
        <v>1700</v>
      </c>
      <c r="K758">
        <v>20</v>
      </c>
      <c r="L758" t="s">
        <v>27</v>
      </c>
      <c r="M758" s="5">
        <f>Cleaned_Data[[#This Row],[Quantity]]*Cleaned_Data[[#This Row],[Unit_Price]]</f>
        <v>5100</v>
      </c>
      <c r="N758" s="7">
        <f>Cleaned_Data[[#This Row],[Total_sales]]*(Cleaned_Data[[#This Row],[Discount_Percent]]/100)</f>
        <v>1020</v>
      </c>
      <c r="O758" s="7">
        <f>Cleaned_Data[[#This Row],[Total_sales]]-Cleaned_Data[[#This Row],[Discount_Amount]]</f>
        <v>4080</v>
      </c>
      <c r="P758" t="str">
        <f>TEXT(Cleaned_Data[[#This Row],[Order_Date]],"MMM-YYYY")</f>
        <v>Aug-2023</v>
      </c>
      <c r="Q758" t="str">
        <f>"Q"&amp;ROUNDUP(MONTH(Cleaned_Data[[#This Row],[Order_Date]])/3,0)&amp;"-2023"</f>
        <v>Q3-2023</v>
      </c>
      <c r="R758" t="str">
        <f>TEXT(Cleaned_Data[[#This Row],[Order_Date]],"DDD")</f>
        <v>Wed</v>
      </c>
      <c r="S758" t="str">
        <f>IF(Cleaned_Data[[#This Row],[Net_Sales]]&gt;=100000,"High",IF(Cleaned_Data[[#This Row],[Net_Sales]]&gt;=50000,"Medium","Low"))</f>
        <v>Low</v>
      </c>
    </row>
    <row r="759" spans="1:19" x14ac:dyDescent="0.3">
      <c r="A759" t="s">
        <v>907</v>
      </c>
      <c r="B759" s="1">
        <v>45161</v>
      </c>
      <c r="C759" t="s">
        <v>115</v>
      </c>
      <c r="D759" t="s">
        <v>116</v>
      </c>
      <c r="E759" t="s">
        <v>81</v>
      </c>
      <c r="F759" t="s">
        <v>82</v>
      </c>
      <c r="G759" t="s">
        <v>39</v>
      </c>
      <c r="H759" t="s">
        <v>68</v>
      </c>
      <c r="I759">
        <v>1</v>
      </c>
      <c r="J759" s="8">
        <v>14500</v>
      </c>
      <c r="K759">
        <v>5</v>
      </c>
      <c r="L759" t="s">
        <v>33</v>
      </c>
      <c r="M759" s="5">
        <f>Cleaned_Data[[#This Row],[Quantity]]*Cleaned_Data[[#This Row],[Unit_Price]]</f>
        <v>14500</v>
      </c>
      <c r="N759" s="7">
        <f>Cleaned_Data[[#This Row],[Total_sales]]*(Cleaned_Data[[#This Row],[Discount_Percent]]/100)</f>
        <v>725</v>
      </c>
      <c r="O759" s="7">
        <f>Cleaned_Data[[#This Row],[Total_sales]]-Cleaned_Data[[#This Row],[Discount_Amount]]</f>
        <v>13775</v>
      </c>
      <c r="P759" t="str">
        <f>TEXT(Cleaned_Data[[#This Row],[Order_Date]],"MMM-YYYY")</f>
        <v>Aug-2023</v>
      </c>
      <c r="Q759" t="str">
        <f>"Q"&amp;ROUNDUP(MONTH(Cleaned_Data[[#This Row],[Order_Date]])/3,0)&amp;"-2023"</f>
        <v>Q3-2023</v>
      </c>
      <c r="R759" t="str">
        <f>TEXT(Cleaned_Data[[#This Row],[Order_Date]],"DDD")</f>
        <v>Wed</v>
      </c>
      <c r="S759" t="str">
        <f>IF(Cleaned_Data[[#This Row],[Net_Sales]]&gt;=100000,"High",IF(Cleaned_Data[[#This Row],[Net_Sales]]&gt;=50000,"Medium","Low"))</f>
        <v>Low</v>
      </c>
    </row>
    <row r="760" spans="1:19" x14ac:dyDescent="0.3">
      <c r="A760" t="s">
        <v>908</v>
      </c>
      <c r="B760" s="1">
        <v>45192</v>
      </c>
      <c r="C760" t="s">
        <v>232</v>
      </c>
      <c r="D760" t="s">
        <v>233</v>
      </c>
      <c r="E760" t="s">
        <v>81</v>
      </c>
      <c r="F760" t="s">
        <v>82</v>
      </c>
      <c r="G760" t="s">
        <v>45</v>
      </c>
      <c r="H760" t="s">
        <v>46</v>
      </c>
      <c r="I760">
        <v>1</v>
      </c>
      <c r="J760" s="8">
        <v>40700</v>
      </c>
      <c r="K760">
        <v>20</v>
      </c>
      <c r="L760" t="s">
        <v>62</v>
      </c>
      <c r="M760" s="5">
        <f>Cleaned_Data[[#This Row],[Quantity]]*Cleaned_Data[[#This Row],[Unit_Price]]</f>
        <v>40700</v>
      </c>
      <c r="N760" s="7">
        <f>Cleaned_Data[[#This Row],[Total_sales]]*(Cleaned_Data[[#This Row],[Discount_Percent]]/100)</f>
        <v>8140</v>
      </c>
      <c r="O760" s="7">
        <f>Cleaned_Data[[#This Row],[Total_sales]]-Cleaned_Data[[#This Row],[Discount_Amount]]</f>
        <v>32560</v>
      </c>
      <c r="P760" t="str">
        <f>TEXT(Cleaned_Data[[#This Row],[Order_Date]],"MMM-YYYY")</f>
        <v>Sep-2023</v>
      </c>
      <c r="Q760" t="str">
        <f>"Q"&amp;ROUNDUP(MONTH(Cleaned_Data[[#This Row],[Order_Date]])/3,0)&amp;"-2023"</f>
        <v>Q3-2023</v>
      </c>
      <c r="R760" t="str">
        <f>TEXT(Cleaned_Data[[#This Row],[Order_Date]],"DDD")</f>
        <v>Sat</v>
      </c>
      <c r="S760" t="str">
        <f>IF(Cleaned_Data[[#This Row],[Net_Sales]]&gt;=100000,"High",IF(Cleaned_Data[[#This Row],[Net_Sales]]&gt;=50000,"Medium","Low"))</f>
        <v>Low</v>
      </c>
    </row>
    <row r="761" spans="1:19" x14ac:dyDescent="0.3">
      <c r="A761" t="s">
        <v>909</v>
      </c>
      <c r="B761" s="1">
        <v>45192</v>
      </c>
      <c r="C761" t="s">
        <v>232</v>
      </c>
      <c r="D761" t="s">
        <v>233</v>
      </c>
      <c r="E761" t="s">
        <v>81</v>
      </c>
      <c r="F761" t="s">
        <v>110</v>
      </c>
      <c r="G761" t="s">
        <v>25</v>
      </c>
      <c r="H761" t="s">
        <v>26</v>
      </c>
      <c r="I761">
        <v>2</v>
      </c>
      <c r="J761" s="8">
        <v>700</v>
      </c>
      <c r="K761">
        <v>5</v>
      </c>
      <c r="L761" t="s">
        <v>62</v>
      </c>
      <c r="M761" s="5">
        <f>Cleaned_Data[[#This Row],[Quantity]]*Cleaned_Data[[#This Row],[Unit_Price]]</f>
        <v>1400</v>
      </c>
      <c r="N761" s="7">
        <f>Cleaned_Data[[#This Row],[Total_sales]]*(Cleaned_Data[[#This Row],[Discount_Percent]]/100)</f>
        <v>70</v>
      </c>
      <c r="O761" s="7">
        <f>Cleaned_Data[[#This Row],[Total_sales]]-Cleaned_Data[[#This Row],[Discount_Amount]]</f>
        <v>1330</v>
      </c>
      <c r="P761" t="str">
        <f>TEXT(Cleaned_Data[[#This Row],[Order_Date]],"MMM-YYYY")</f>
        <v>Sep-2023</v>
      </c>
      <c r="Q761" t="str">
        <f>"Q"&amp;ROUNDUP(MONTH(Cleaned_Data[[#This Row],[Order_Date]])/3,0)&amp;"-2023"</f>
        <v>Q3-2023</v>
      </c>
      <c r="R761" t="str">
        <f>TEXT(Cleaned_Data[[#This Row],[Order_Date]],"DDD")</f>
        <v>Sat</v>
      </c>
      <c r="S761" t="str">
        <f>IF(Cleaned_Data[[#This Row],[Net_Sales]]&gt;=100000,"High",IF(Cleaned_Data[[#This Row],[Net_Sales]]&gt;=50000,"Medium","Low"))</f>
        <v>Low</v>
      </c>
    </row>
    <row r="762" spans="1:19" x14ac:dyDescent="0.3">
      <c r="A762" t="s">
        <v>910</v>
      </c>
      <c r="B762" s="1">
        <v>45192</v>
      </c>
      <c r="C762" t="s">
        <v>90</v>
      </c>
      <c r="D762" t="s">
        <v>91</v>
      </c>
      <c r="E762" t="s">
        <v>37</v>
      </c>
      <c r="F762" t="s">
        <v>61</v>
      </c>
      <c r="G762" t="s">
        <v>17</v>
      </c>
      <c r="H762" t="s">
        <v>196</v>
      </c>
      <c r="I762">
        <v>1</v>
      </c>
      <c r="J762" s="8">
        <v>35000</v>
      </c>
      <c r="K762">
        <v>10</v>
      </c>
      <c r="L762" t="s">
        <v>53</v>
      </c>
      <c r="M762" s="5">
        <f>Cleaned_Data[[#This Row],[Quantity]]*Cleaned_Data[[#This Row],[Unit_Price]]</f>
        <v>35000</v>
      </c>
      <c r="N762" s="7">
        <f>Cleaned_Data[[#This Row],[Total_sales]]*(Cleaned_Data[[#This Row],[Discount_Percent]]/100)</f>
        <v>3500</v>
      </c>
      <c r="O762" s="7">
        <f>Cleaned_Data[[#This Row],[Total_sales]]-Cleaned_Data[[#This Row],[Discount_Amount]]</f>
        <v>31500</v>
      </c>
      <c r="P762" t="str">
        <f>TEXT(Cleaned_Data[[#This Row],[Order_Date]],"MMM-YYYY")</f>
        <v>Sep-2023</v>
      </c>
      <c r="Q762" t="str">
        <f>"Q"&amp;ROUNDUP(MONTH(Cleaned_Data[[#This Row],[Order_Date]])/3,0)&amp;"-2023"</f>
        <v>Q3-2023</v>
      </c>
      <c r="R762" t="str">
        <f>TEXT(Cleaned_Data[[#This Row],[Order_Date]],"DDD")</f>
        <v>Sat</v>
      </c>
      <c r="S762" t="str">
        <f>IF(Cleaned_Data[[#This Row],[Net_Sales]]&gt;=100000,"High",IF(Cleaned_Data[[#This Row],[Net_Sales]]&gt;=50000,"Medium","Low"))</f>
        <v>Low</v>
      </c>
    </row>
    <row r="763" spans="1:19" x14ac:dyDescent="0.3">
      <c r="A763" t="s">
        <v>911</v>
      </c>
      <c r="B763" s="1">
        <v>45192</v>
      </c>
      <c r="C763" t="s">
        <v>115</v>
      </c>
      <c r="D763" t="s">
        <v>116</v>
      </c>
      <c r="E763" t="s">
        <v>66</v>
      </c>
      <c r="F763" t="s">
        <v>67</v>
      </c>
      <c r="G763" t="s">
        <v>97</v>
      </c>
      <c r="H763" t="s">
        <v>98</v>
      </c>
      <c r="I763">
        <v>1</v>
      </c>
      <c r="J763" s="8">
        <v>80000</v>
      </c>
      <c r="K763">
        <v>0</v>
      </c>
      <c r="L763" t="s">
        <v>62</v>
      </c>
      <c r="M763" s="5">
        <f>Cleaned_Data[[#This Row],[Quantity]]*Cleaned_Data[[#This Row],[Unit_Price]]</f>
        <v>80000</v>
      </c>
      <c r="N763" s="7">
        <f>Cleaned_Data[[#This Row],[Total_sales]]*(Cleaned_Data[[#This Row],[Discount_Percent]]/100)</f>
        <v>0</v>
      </c>
      <c r="O763" s="7">
        <f>Cleaned_Data[[#This Row],[Total_sales]]-Cleaned_Data[[#This Row],[Discount_Amount]]</f>
        <v>80000</v>
      </c>
      <c r="P763" t="str">
        <f>TEXT(Cleaned_Data[[#This Row],[Order_Date]],"MMM-YYYY")</f>
        <v>Sep-2023</v>
      </c>
      <c r="Q763" t="str">
        <f>"Q"&amp;ROUNDUP(MONTH(Cleaned_Data[[#This Row],[Order_Date]])/3,0)&amp;"-2023"</f>
        <v>Q3-2023</v>
      </c>
      <c r="R763" t="str">
        <f>TEXT(Cleaned_Data[[#This Row],[Order_Date]],"DDD")</f>
        <v>Sat</v>
      </c>
      <c r="S763" t="str">
        <f>IF(Cleaned_Data[[#This Row],[Net_Sales]]&gt;=100000,"High",IF(Cleaned_Data[[#This Row],[Net_Sales]]&gt;=50000,"Medium","Low"))</f>
        <v>Medium</v>
      </c>
    </row>
    <row r="764" spans="1:19" x14ac:dyDescent="0.3">
      <c r="A764" t="s">
        <v>912</v>
      </c>
      <c r="B764" s="1">
        <v>45222</v>
      </c>
      <c r="C764" t="s">
        <v>21</v>
      </c>
      <c r="D764" t="s">
        <v>22</v>
      </c>
      <c r="E764" t="s">
        <v>66</v>
      </c>
      <c r="F764" t="s">
        <v>87</v>
      </c>
      <c r="G764" t="s">
        <v>25</v>
      </c>
      <c r="H764" t="s">
        <v>124</v>
      </c>
      <c r="I764">
        <v>2</v>
      </c>
      <c r="J764" s="8">
        <v>700</v>
      </c>
      <c r="K764">
        <v>20</v>
      </c>
      <c r="L764" t="s">
        <v>27</v>
      </c>
      <c r="M764" s="5">
        <f>Cleaned_Data[[#This Row],[Quantity]]*Cleaned_Data[[#This Row],[Unit_Price]]</f>
        <v>1400</v>
      </c>
      <c r="N764" s="7">
        <f>Cleaned_Data[[#This Row],[Total_sales]]*(Cleaned_Data[[#This Row],[Discount_Percent]]/100)</f>
        <v>280</v>
      </c>
      <c r="O764" s="7">
        <f>Cleaned_Data[[#This Row],[Total_sales]]-Cleaned_Data[[#This Row],[Discount_Amount]]</f>
        <v>1120</v>
      </c>
      <c r="P764" t="str">
        <f>TEXT(Cleaned_Data[[#This Row],[Order_Date]],"MMM-YYYY")</f>
        <v>Oct-2023</v>
      </c>
      <c r="Q764" t="str">
        <f>"Q"&amp;ROUNDUP(MONTH(Cleaned_Data[[#This Row],[Order_Date]])/3,0)&amp;"-2023"</f>
        <v>Q4-2023</v>
      </c>
      <c r="R764" t="str">
        <f>TEXT(Cleaned_Data[[#This Row],[Order_Date]],"DDD")</f>
        <v>Mon</v>
      </c>
      <c r="S764" t="str">
        <f>IF(Cleaned_Data[[#This Row],[Net_Sales]]&gt;=100000,"High",IF(Cleaned_Data[[#This Row],[Net_Sales]]&gt;=50000,"Medium","Low"))</f>
        <v>Low</v>
      </c>
    </row>
    <row r="765" spans="1:19" x14ac:dyDescent="0.3">
      <c r="A765" t="s">
        <v>913</v>
      </c>
      <c r="B765" s="1">
        <v>45222</v>
      </c>
      <c r="C765" t="s">
        <v>35</v>
      </c>
      <c r="D765" t="s">
        <v>36</v>
      </c>
      <c r="E765" t="s">
        <v>15</v>
      </c>
      <c r="F765" t="s">
        <v>16</v>
      </c>
      <c r="G765" t="s">
        <v>17</v>
      </c>
      <c r="H765" t="s">
        <v>168</v>
      </c>
      <c r="I765">
        <v>1</v>
      </c>
      <c r="J765" s="8">
        <v>40300</v>
      </c>
      <c r="K765">
        <v>0</v>
      </c>
      <c r="L765" t="s">
        <v>33</v>
      </c>
      <c r="M765" s="5">
        <f>Cleaned_Data[[#This Row],[Quantity]]*Cleaned_Data[[#This Row],[Unit_Price]]</f>
        <v>40300</v>
      </c>
      <c r="N765" s="7">
        <f>Cleaned_Data[[#This Row],[Total_sales]]*(Cleaned_Data[[#This Row],[Discount_Percent]]/100)</f>
        <v>0</v>
      </c>
      <c r="O765" s="7">
        <f>Cleaned_Data[[#This Row],[Total_sales]]-Cleaned_Data[[#This Row],[Discount_Amount]]</f>
        <v>40300</v>
      </c>
      <c r="P765" t="str">
        <f>TEXT(Cleaned_Data[[#This Row],[Order_Date]],"MMM-YYYY")</f>
        <v>Oct-2023</v>
      </c>
      <c r="Q765" t="str">
        <f>"Q"&amp;ROUNDUP(MONTH(Cleaned_Data[[#This Row],[Order_Date]])/3,0)&amp;"-2023"</f>
        <v>Q4-2023</v>
      </c>
      <c r="R765" t="str">
        <f>TEXT(Cleaned_Data[[#This Row],[Order_Date]],"DDD")</f>
        <v>Mon</v>
      </c>
      <c r="S765" t="str">
        <f>IF(Cleaned_Data[[#This Row],[Net_Sales]]&gt;=100000,"High",IF(Cleaned_Data[[#This Row],[Net_Sales]]&gt;=50000,"Medium","Low"))</f>
        <v>Low</v>
      </c>
    </row>
    <row r="766" spans="1:19" x14ac:dyDescent="0.3">
      <c r="A766" t="s">
        <v>914</v>
      </c>
      <c r="B766" s="1">
        <v>45253</v>
      </c>
      <c r="C766" t="s">
        <v>147</v>
      </c>
      <c r="D766" t="s">
        <v>148</v>
      </c>
      <c r="E766" t="s">
        <v>81</v>
      </c>
      <c r="F766" t="s">
        <v>110</v>
      </c>
      <c r="G766" t="s">
        <v>45</v>
      </c>
      <c r="H766" t="s">
        <v>207</v>
      </c>
      <c r="I766">
        <v>1</v>
      </c>
      <c r="J766" s="8">
        <v>29700</v>
      </c>
      <c r="K766">
        <v>15</v>
      </c>
      <c r="L766" t="s">
        <v>62</v>
      </c>
      <c r="M766" s="5">
        <f>Cleaned_Data[[#This Row],[Quantity]]*Cleaned_Data[[#This Row],[Unit_Price]]</f>
        <v>29700</v>
      </c>
      <c r="N766" s="7">
        <f>Cleaned_Data[[#This Row],[Total_sales]]*(Cleaned_Data[[#This Row],[Discount_Percent]]/100)</f>
        <v>4455</v>
      </c>
      <c r="O766" s="7">
        <f>Cleaned_Data[[#This Row],[Total_sales]]-Cleaned_Data[[#This Row],[Discount_Amount]]</f>
        <v>25245</v>
      </c>
      <c r="P766" t="str">
        <f>TEXT(Cleaned_Data[[#This Row],[Order_Date]],"MMM-YYYY")</f>
        <v>Nov-2023</v>
      </c>
      <c r="Q766" t="str">
        <f>"Q"&amp;ROUNDUP(MONTH(Cleaned_Data[[#This Row],[Order_Date]])/3,0)&amp;"-2023"</f>
        <v>Q4-2023</v>
      </c>
      <c r="R766" t="str">
        <f>TEXT(Cleaned_Data[[#This Row],[Order_Date]],"DDD")</f>
        <v>Thu</v>
      </c>
      <c r="S766" t="str">
        <f>IF(Cleaned_Data[[#This Row],[Net_Sales]]&gt;=100000,"High",IF(Cleaned_Data[[#This Row],[Net_Sales]]&gt;=50000,"Medium","Low"))</f>
        <v>Low</v>
      </c>
    </row>
    <row r="767" spans="1:19" x14ac:dyDescent="0.3">
      <c r="A767" t="s">
        <v>915</v>
      </c>
      <c r="B767" s="1">
        <v>45253</v>
      </c>
      <c r="C767" t="s">
        <v>79</v>
      </c>
      <c r="D767" t="s">
        <v>80</v>
      </c>
      <c r="E767" t="s">
        <v>81</v>
      </c>
      <c r="F767" t="s">
        <v>82</v>
      </c>
      <c r="G767" t="s">
        <v>25</v>
      </c>
      <c r="H767" t="s">
        <v>26</v>
      </c>
      <c r="I767">
        <v>3</v>
      </c>
      <c r="J767" s="8">
        <v>2200</v>
      </c>
      <c r="K767">
        <v>5</v>
      </c>
      <c r="L767" t="s">
        <v>73</v>
      </c>
      <c r="M767" s="5">
        <f>Cleaned_Data[[#This Row],[Quantity]]*Cleaned_Data[[#This Row],[Unit_Price]]</f>
        <v>6600</v>
      </c>
      <c r="N767" s="7">
        <f>Cleaned_Data[[#This Row],[Total_sales]]*(Cleaned_Data[[#This Row],[Discount_Percent]]/100)</f>
        <v>330</v>
      </c>
      <c r="O767" s="7">
        <f>Cleaned_Data[[#This Row],[Total_sales]]-Cleaned_Data[[#This Row],[Discount_Amount]]</f>
        <v>6270</v>
      </c>
      <c r="P767" t="str">
        <f>TEXT(Cleaned_Data[[#This Row],[Order_Date]],"MMM-YYYY")</f>
        <v>Nov-2023</v>
      </c>
      <c r="Q767" t="str">
        <f>"Q"&amp;ROUNDUP(MONTH(Cleaned_Data[[#This Row],[Order_Date]])/3,0)&amp;"-2023"</f>
        <v>Q4-2023</v>
      </c>
      <c r="R767" t="str">
        <f>TEXT(Cleaned_Data[[#This Row],[Order_Date]],"DDD")</f>
        <v>Thu</v>
      </c>
      <c r="S767" t="str">
        <f>IF(Cleaned_Data[[#This Row],[Net_Sales]]&gt;=100000,"High",IF(Cleaned_Data[[#This Row],[Net_Sales]]&gt;=50000,"Medium","Low"))</f>
        <v>Low</v>
      </c>
    </row>
    <row r="768" spans="1:19" x14ac:dyDescent="0.3">
      <c r="A768" t="s">
        <v>916</v>
      </c>
      <c r="B768" s="1">
        <v>45253</v>
      </c>
      <c r="C768" t="s">
        <v>75</v>
      </c>
      <c r="D768" t="s">
        <v>76</v>
      </c>
      <c r="E768" t="s">
        <v>66</v>
      </c>
      <c r="F768" t="s">
        <v>67</v>
      </c>
      <c r="G768" t="s">
        <v>39</v>
      </c>
      <c r="H768" t="s">
        <v>102</v>
      </c>
      <c r="I768">
        <v>1</v>
      </c>
      <c r="J768" s="8">
        <v>13200</v>
      </c>
      <c r="K768">
        <v>10</v>
      </c>
      <c r="L768" t="s">
        <v>33</v>
      </c>
      <c r="M768" s="5">
        <f>Cleaned_Data[[#This Row],[Quantity]]*Cleaned_Data[[#This Row],[Unit_Price]]</f>
        <v>13200</v>
      </c>
      <c r="N768" s="7">
        <f>Cleaned_Data[[#This Row],[Total_sales]]*(Cleaned_Data[[#This Row],[Discount_Percent]]/100)</f>
        <v>1320</v>
      </c>
      <c r="O768" s="7">
        <f>Cleaned_Data[[#This Row],[Total_sales]]-Cleaned_Data[[#This Row],[Discount_Amount]]</f>
        <v>11880</v>
      </c>
      <c r="P768" t="str">
        <f>TEXT(Cleaned_Data[[#This Row],[Order_Date]],"MMM-YYYY")</f>
        <v>Nov-2023</v>
      </c>
      <c r="Q768" t="str">
        <f>"Q"&amp;ROUNDUP(MONTH(Cleaned_Data[[#This Row],[Order_Date]])/3,0)&amp;"-2023"</f>
        <v>Q4-2023</v>
      </c>
      <c r="R768" t="str">
        <f>TEXT(Cleaned_Data[[#This Row],[Order_Date]],"DDD")</f>
        <v>Thu</v>
      </c>
      <c r="S768" t="str">
        <f>IF(Cleaned_Data[[#This Row],[Net_Sales]]&gt;=100000,"High",IF(Cleaned_Data[[#This Row],[Net_Sales]]&gt;=50000,"Medium","Low"))</f>
        <v>Low</v>
      </c>
    </row>
    <row r="769" spans="1:19" x14ac:dyDescent="0.3">
      <c r="A769" t="s">
        <v>917</v>
      </c>
      <c r="B769" s="1">
        <v>45253</v>
      </c>
      <c r="C769" t="s">
        <v>126</v>
      </c>
      <c r="D769" t="s">
        <v>127</v>
      </c>
      <c r="E769" t="s">
        <v>37</v>
      </c>
      <c r="F769" t="s">
        <v>38</v>
      </c>
      <c r="G769" t="s">
        <v>39</v>
      </c>
      <c r="H769" t="s">
        <v>40</v>
      </c>
      <c r="I769">
        <v>1</v>
      </c>
      <c r="J769" s="8">
        <v>22900</v>
      </c>
      <c r="K769">
        <v>0</v>
      </c>
      <c r="L769" t="s">
        <v>19</v>
      </c>
      <c r="M769" s="5">
        <f>Cleaned_Data[[#This Row],[Quantity]]*Cleaned_Data[[#This Row],[Unit_Price]]</f>
        <v>22900</v>
      </c>
      <c r="N769" s="7">
        <f>Cleaned_Data[[#This Row],[Total_sales]]*(Cleaned_Data[[#This Row],[Discount_Percent]]/100)</f>
        <v>0</v>
      </c>
      <c r="O769" s="7">
        <f>Cleaned_Data[[#This Row],[Total_sales]]-Cleaned_Data[[#This Row],[Discount_Amount]]</f>
        <v>22900</v>
      </c>
      <c r="P769" t="str">
        <f>TEXT(Cleaned_Data[[#This Row],[Order_Date]],"MMM-YYYY")</f>
        <v>Nov-2023</v>
      </c>
      <c r="Q769" t="str">
        <f>"Q"&amp;ROUNDUP(MONTH(Cleaned_Data[[#This Row],[Order_Date]])/3,0)&amp;"-2023"</f>
        <v>Q4-2023</v>
      </c>
      <c r="R769" t="str">
        <f>TEXT(Cleaned_Data[[#This Row],[Order_Date]],"DDD")</f>
        <v>Thu</v>
      </c>
      <c r="S769" t="str">
        <f>IF(Cleaned_Data[[#This Row],[Net_Sales]]&gt;=100000,"High",IF(Cleaned_Data[[#This Row],[Net_Sales]]&gt;=50000,"Medium","Low"))</f>
        <v>Low</v>
      </c>
    </row>
    <row r="770" spans="1:19" x14ac:dyDescent="0.3">
      <c r="A770" t="s">
        <v>918</v>
      </c>
      <c r="B770" s="1">
        <v>45283</v>
      </c>
      <c r="C770" t="s">
        <v>79</v>
      </c>
      <c r="D770" t="s">
        <v>80</v>
      </c>
      <c r="E770" t="s">
        <v>37</v>
      </c>
      <c r="F770" t="s">
        <v>61</v>
      </c>
      <c r="G770" t="s">
        <v>97</v>
      </c>
      <c r="H770" t="s">
        <v>174</v>
      </c>
      <c r="I770">
        <v>1</v>
      </c>
      <c r="J770" s="8">
        <v>69800</v>
      </c>
      <c r="K770">
        <v>0</v>
      </c>
      <c r="L770" t="s">
        <v>27</v>
      </c>
      <c r="M770" s="5">
        <f>Cleaned_Data[[#This Row],[Quantity]]*Cleaned_Data[[#This Row],[Unit_Price]]</f>
        <v>69800</v>
      </c>
      <c r="N770" s="7">
        <f>Cleaned_Data[[#This Row],[Total_sales]]*(Cleaned_Data[[#This Row],[Discount_Percent]]/100)</f>
        <v>0</v>
      </c>
      <c r="O770" s="7">
        <f>Cleaned_Data[[#This Row],[Total_sales]]-Cleaned_Data[[#This Row],[Discount_Amount]]</f>
        <v>69800</v>
      </c>
      <c r="P770" t="str">
        <f>TEXT(Cleaned_Data[[#This Row],[Order_Date]],"MMM-YYYY")</f>
        <v>Dec-2023</v>
      </c>
      <c r="Q770" t="str">
        <f>"Q"&amp;ROUNDUP(MONTH(Cleaned_Data[[#This Row],[Order_Date]])/3,0)&amp;"-2023"</f>
        <v>Q4-2023</v>
      </c>
      <c r="R770" t="str">
        <f>TEXT(Cleaned_Data[[#This Row],[Order_Date]],"DDD")</f>
        <v>Sat</v>
      </c>
      <c r="S770" t="str">
        <f>IF(Cleaned_Data[[#This Row],[Net_Sales]]&gt;=100000,"High",IF(Cleaned_Data[[#This Row],[Net_Sales]]&gt;=50000,"Medium","Low"))</f>
        <v>Medium</v>
      </c>
    </row>
    <row r="771" spans="1:19" x14ac:dyDescent="0.3">
      <c r="A771" t="s">
        <v>919</v>
      </c>
      <c r="B771" s="1">
        <v>44950</v>
      </c>
      <c r="C771" t="s">
        <v>115</v>
      </c>
      <c r="D771" t="s">
        <v>116</v>
      </c>
      <c r="E771" t="s">
        <v>81</v>
      </c>
      <c r="F771" t="s">
        <v>82</v>
      </c>
      <c r="G771" t="s">
        <v>45</v>
      </c>
      <c r="H771" t="s">
        <v>52</v>
      </c>
      <c r="I771">
        <v>1</v>
      </c>
      <c r="J771" s="8">
        <v>41900</v>
      </c>
      <c r="K771">
        <v>10</v>
      </c>
      <c r="L771" t="s">
        <v>62</v>
      </c>
      <c r="M771" s="5">
        <f>Cleaned_Data[[#This Row],[Quantity]]*Cleaned_Data[[#This Row],[Unit_Price]]</f>
        <v>41900</v>
      </c>
      <c r="N771" s="7">
        <f>Cleaned_Data[[#This Row],[Total_sales]]*(Cleaned_Data[[#This Row],[Discount_Percent]]/100)</f>
        <v>4190</v>
      </c>
      <c r="O771" s="7">
        <f>Cleaned_Data[[#This Row],[Total_sales]]-Cleaned_Data[[#This Row],[Discount_Amount]]</f>
        <v>37710</v>
      </c>
      <c r="P771" t="str">
        <f>TEXT(Cleaned_Data[[#This Row],[Order_Date]],"MMM-YYYY")</f>
        <v>Jan-2023</v>
      </c>
      <c r="Q771" t="str">
        <f>"Q"&amp;ROUNDUP(MONTH(Cleaned_Data[[#This Row],[Order_Date]])/3,0)&amp;"-2023"</f>
        <v>Q1-2023</v>
      </c>
      <c r="R771" t="str">
        <f>TEXT(Cleaned_Data[[#This Row],[Order_Date]],"DDD")</f>
        <v>Tue</v>
      </c>
      <c r="S771" t="str">
        <f>IF(Cleaned_Data[[#This Row],[Net_Sales]]&gt;=100000,"High",IF(Cleaned_Data[[#This Row],[Net_Sales]]&gt;=50000,"Medium","Low"))</f>
        <v>Low</v>
      </c>
    </row>
    <row r="772" spans="1:19" x14ac:dyDescent="0.3">
      <c r="A772" t="s">
        <v>920</v>
      </c>
      <c r="B772" s="1">
        <v>44950</v>
      </c>
      <c r="C772" t="s">
        <v>236</v>
      </c>
      <c r="D772" t="s">
        <v>237</v>
      </c>
      <c r="E772" t="s">
        <v>37</v>
      </c>
      <c r="F772" t="s">
        <v>61</v>
      </c>
      <c r="G772" t="s">
        <v>97</v>
      </c>
      <c r="H772" t="s">
        <v>171</v>
      </c>
      <c r="I772">
        <v>1</v>
      </c>
      <c r="J772" s="8">
        <v>51200</v>
      </c>
      <c r="K772">
        <v>0</v>
      </c>
      <c r="L772" t="s">
        <v>47</v>
      </c>
      <c r="M772" s="5">
        <f>Cleaned_Data[[#This Row],[Quantity]]*Cleaned_Data[[#This Row],[Unit_Price]]</f>
        <v>51200</v>
      </c>
      <c r="N772" s="7">
        <f>Cleaned_Data[[#This Row],[Total_sales]]*(Cleaned_Data[[#This Row],[Discount_Percent]]/100)</f>
        <v>0</v>
      </c>
      <c r="O772" s="7">
        <f>Cleaned_Data[[#This Row],[Total_sales]]-Cleaned_Data[[#This Row],[Discount_Amount]]</f>
        <v>51200</v>
      </c>
      <c r="P772" t="str">
        <f>TEXT(Cleaned_Data[[#This Row],[Order_Date]],"MMM-YYYY")</f>
        <v>Jan-2023</v>
      </c>
      <c r="Q772" t="str">
        <f>"Q"&amp;ROUNDUP(MONTH(Cleaned_Data[[#This Row],[Order_Date]])/3,0)&amp;"-2023"</f>
        <v>Q1-2023</v>
      </c>
      <c r="R772" t="str">
        <f>TEXT(Cleaned_Data[[#This Row],[Order_Date]],"DDD")</f>
        <v>Tue</v>
      </c>
      <c r="S772" t="str">
        <f>IF(Cleaned_Data[[#This Row],[Net_Sales]]&gt;=100000,"High",IF(Cleaned_Data[[#This Row],[Net_Sales]]&gt;=50000,"Medium","Low"))</f>
        <v>Medium</v>
      </c>
    </row>
    <row r="773" spans="1:19" x14ac:dyDescent="0.3">
      <c r="A773" t="s">
        <v>921</v>
      </c>
      <c r="B773" s="1">
        <v>44950</v>
      </c>
      <c r="C773" t="s">
        <v>244</v>
      </c>
      <c r="D773" t="s">
        <v>245</v>
      </c>
      <c r="E773" t="s">
        <v>15</v>
      </c>
      <c r="F773" t="s">
        <v>128</v>
      </c>
      <c r="G773" t="s">
        <v>17</v>
      </c>
      <c r="H773" t="s">
        <v>88</v>
      </c>
      <c r="I773">
        <v>1</v>
      </c>
      <c r="J773" s="8">
        <v>54300</v>
      </c>
      <c r="K773">
        <v>5</v>
      </c>
      <c r="L773" t="s">
        <v>27</v>
      </c>
      <c r="M773" s="5">
        <f>Cleaned_Data[[#This Row],[Quantity]]*Cleaned_Data[[#This Row],[Unit_Price]]</f>
        <v>54300</v>
      </c>
      <c r="N773" s="7">
        <f>Cleaned_Data[[#This Row],[Total_sales]]*(Cleaned_Data[[#This Row],[Discount_Percent]]/100)</f>
        <v>2715</v>
      </c>
      <c r="O773" s="7">
        <f>Cleaned_Data[[#This Row],[Total_sales]]-Cleaned_Data[[#This Row],[Discount_Amount]]</f>
        <v>51585</v>
      </c>
      <c r="P773" t="str">
        <f>TEXT(Cleaned_Data[[#This Row],[Order_Date]],"MMM-YYYY")</f>
        <v>Jan-2023</v>
      </c>
      <c r="Q773" t="str">
        <f>"Q"&amp;ROUNDUP(MONTH(Cleaned_Data[[#This Row],[Order_Date]])/3,0)&amp;"-2023"</f>
        <v>Q1-2023</v>
      </c>
      <c r="R773" t="str">
        <f>TEXT(Cleaned_Data[[#This Row],[Order_Date]],"DDD")</f>
        <v>Tue</v>
      </c>
      <c r="S773" t="str">
        <f>IF(Cleaned_Data[[#This Row],[Net_Sales]]&gt;=100000,"High",IF(Cleaned_Data[[#This Row],[Net_Sales]]&gt;=50000,"Medium","Low"))</f>
        <v>Medium</v>
      </c>
    </row>
    <row r="774" spans="1:19" x14ac:dyDescent="0.3">
      <c r="A774" t="s">
        <v>922</v>
      </c>
      <c r="B774" s="1">
        <v>44950</v>
      </c>
      <c r="C774" t="s">
        <v>158</v>
      </c>
      <c r="D774" t="s">
        <v>159</v>
      </c>
      <c r="E774" t="s">
        <v>23</v>
      </c>
      <c r="F774" t="s">
        <v>51</v>
      </c>
      <c r="G774" t="s">
        <v>17</v>
      </c>
      <c r="H774" t="s">
        <v>168</v>
      </c>
      <c r="I774">
        <v>1</v>
      </c>
      <c r="J774" s="8">
        <v>44600</v>
      </c>
      <c r="K774">
        <v>10</v>
      </c>
      <c r="L774" t="s">
        <v>47</v>
      </c>
      <c r="M774" s="5">
        <f>Cleaned_Data[[#This Row],[Quantity]]*Cleaned_Data[[#This Row],[Unit_Price]]</f>
        <v>44600</v>
      </c>
      <c r="N774" s="7">
        <f>Cleaned_Data[[#This Row],[Total_sales]]*(Cleaned_Data[[#This Row],[Discount_Percent]]/100)</f>
        <v>4460</v>
      </c>
      <c r="O774" s="7">
        <f>Cleaned_Data[[#This Row],[Total_sales]]-Cleaned_Data[[#This Row],[Discount_Amount]]</f>
        <v>40140</v>
      </c>
      <c r="P774" t="str">
        <f>TEXT(Cleaned_Data[[#This Row],[Order_Date]],"MMM-YYYY")</f>
        <v>Jan-2023</v>
      </c>
      <c r="Q774" t="str">
        <f>"Q"&amp;ROUNDUP(MONTH(Cleaned_Data[[#This Row],[Order_Date]])/3,0)&amp;"-2023"</f>
        <v>Q1-2023</v>
      </c>
      <c r="R774" t="str">
        <f>TEXT(Cleaned_Data[[#This Row],[Order_Date]],"DDD")</f>
        <v>Tue</v>
      </c>
      <c r="S774" t="str">
        <f>IF(Cleaned_Data[[#This Row],[Net_Sales]]&gt;=100000,"High",IF(Cleaned_Data[[#This Row],[Net_Sales]]&gt;=50000,"Medium","Low"))</f>
        <v>Low</v>
      </c>
    </row>
    <row r="775" spans="1:19" x14ac:dyDescent="0.3">
      <c r="A775" t="s">
        <v>923</v>
      </c>
      <c r="B775" s="1">
        <v>44950</v>
      </c>
      <c r="C775" t="s">
        <v>55</v>
      </c>
      <c r="D775" t="s">
        <v>56</v>
      </c>
      <c r="E775" t="s">
        <v>23</v>
      </c>
      <c r="F775" t="s">
        <v>51</v>
      </c>
      <c r="G775" t="s">
        <v>45</v>
      </c>
      <c r="H775" t="s">
        <v>156</v>
      </c>
      <c r="I775">
        <v>1</v>
      </c>
      <c r="J775" s="8">
        <v>49300</v>
      </c>
      <c r="K775">
        <v>20</v>
      </c>
      <c r="L775" t="s">
        <v>62</v>
      </c>
      <c r="M775" s="5">
        <f>Cleaned_Data[[#This Row],[Quantity]]*Cleaned_Data[[#This Row],[Unit_Price]]</f>
        <v>49300</v>
      </c>
      <c r="N775" s="7">
        <f>Cleaned_Data[[#This Row],[Total_sales]]*(Cleaned_Data[[#This Row],[Discount_Percent]]/100)</f>
        <v>9860</v>
      </c>
      <c r="O775" s="7">
        <f>Cleaned_Data[[#This Row],[Total_sales]]-Cleaned_Data[[#This Row],[Discount_Amount]]</f>
        <v>39440</v>
      </c>
      <c r="P775" t="str">
        <f>TEXT(Cleaned_Data[[#This Row],[Order_Date]],"MMM-YYYY")</f>
        <v>Jan-2023</v>
      </c>
      <c r="Q775" t="str">
        <f>"Q"&amp;ROUNDUP(MONTH(Cleaned_Data[[#This Row],[Order_Date]])/3,0)&amp;"-2023"</f>
        <v>Q1-2023</v>
      </c>
      <c r="R775" t="str">
        <f>TEXT(Cleaned_Data[[#This Row],[Order_Date]],"DDD")</f>
        <v>Tue</v>
      </c>
      <c r="S775" t="str">
        <f>IF(Cleaned_Data[[#This Row],[Net_Sales]]&gt;=100000,"High",IF(Cleaned_Data[[#This Row],[Net_Sales]]&gt;=50000,"Medium","Low"))</f>
        <v>Low</v>
      </c>
    </row>
    <row r="776" spans="1:19" x14ac:dyDescent="0.3">
      <c r="A776" t="s">
        <v>924</v>
      </c>
      <c r="B776" s="1">
        <v>44981</v>
      </c>
      <c r="C776" t="s">
        <v>210</v>
      </c>
      <c r="D776" t="s">
        <v>211</v>
      </c>
      <c r="E776" t="s">
        <v>81</v>
      </c>
      <c r="F776" t="s">
        <v>82</v>
      </c>
      <c r="G776" t="s">
        <v>45</v>
      </c>
      <c r="H776" t="s">
        <v>156</v>
      </c>
      <c r="I776">
        <v>1</v>
      </c>
      <c r="J776" s="8">
        <v>43200</v>
      </c>
      <c r="K776">
        <v>10</v>
      </c>
      <c r="L776" t="s">
        <v>27</v>
      </c>
      <c r="M776" s="5">
        <f>Cleaned_Data[[#This Row],[Quantity]]*Cleaned_Data[[#This Row],[Unit_Price]]</f>
        <v>43200</v>
      </c>
      <c r="N776" s="7">
        <f>Cleaned_Data[[#This Row],[Total_sales]]*(Cleaned_Data[[#This Row],[Discount_Percent]]/100)</f>
        <v>4320</v>
      </c>
      <c r="O776" s="7">
        <f>Cleaned_Data[[#This Row],[Total_sales]]-Cleaned_Data[[#This Row],[Discount_Amount]]</f>
        <v>38880</v>
      </c>
      <c r="P776" t="str">
        <f>TEXT(Cleaned_Data[[#This Row],[Order_Date]],"MMM-YYYY")</f>
        <v>Feb-2023</v>
      </c>
      <c r="Q776" t="str">
        <f>"Q"&amp;ROUNDUP(MONTH(Cleaned_Data[[#This Row],[Order_Date]])/3,0)&amp;"-2023"</f>
        <v>Q1-2023</v>
      </c>
      <c r="R776" t="str">
        <f>TEXT(Cleaned_Data[[#This Row],[Order_Date]],"DDD")</f>
        <v>Fri</v>
      </c>
      <c r="S776" t="str">
        <f>IF(Cleaned_Data[[#This Row],[Net_Sales]]&gt;=100000,"High",IF(Cleaned_Data[[#This Row],[Net_Sales]]&gt;=50000,"Medium","Low"))</f>
        <v>Low</v>
      </c>
    </row>
    <row r="777" spans="1:19" x14ac:dyDescent="0.3">
      <c r="A777" t="s">
        <v>925</v>
      </c>
      <c r="B777" s="1">
        <v>44981</v>
      </c>
      <c r="C777" t="s">
        <v>232</v>
      </c>
      <c r="D777" t="s">
        <v>233</v>
      </c>
      <c r="E777" t="s">
        <v>23</v>
      </c>
      <c r="F777" t="s">
        <v>24</v>
      </c>
      <c r="G777" t="s">
        <v>45</v>
      </c>
      <c r="H777" t="s">
        <v>156</v>
      </c>
      <c r="I777">
        <v>1</v>
      </c>
      <c r="J777" s="8">
        <v>40200</v>
      </c>
      <c r="K777">
        <v>10</v>
      </c>
      <c r="L777" t="s">
        <v>19</v>
      </c>
      <c r="M777" s="5">
        <f>Cleaned_Data[[#This Row],[Quantity]]*Cleaned_Data[[#This Row],[Unit_Price]]</f>
        <v>40200</v>
      </c>
      <c r="N777" s="7">
        <f>Cleaned_Data[[#This Row],[Total_sales]]*(Cleaned_Data[[#This Row],[Discount_Percent]]/100)</f>
        <v>4020</v>
      </c>
      <c r="O777" s="7">
        <f>Cleaned_Data[[#This Row],[Total_sales]]-Cleaned_Data[[#This Row],[Discount_Amount]]</f>
        <v>36180</v>
      </c>
      <c r="P777" t="str">
        <f>TEXT(Cleaned_Data[[#This Row],[Order_Date]],"MMM-YYYY")</f>
        <v>Feb-2023</v>
      </c>
      <c r="Q777" t="str">
        <f>"Q"&amp;ROUNDUP(MONTH(Cleaned_Data[[#This Row],[Order_Date]])/3,0)&amp;"-2023"</f>
        <v>Q1-2023</v>
      </c>
      <c r="R777" t="str">
        <f>TEXT(Cleaned_Data[[#This Row],[Order_Date]],"DDD")</f>
        <v>Fri</v>
      </c>
      <c r="S777" t="str">
        <f>IF(Cleaned_Data[[#This Row],[Net_Sales]]&gt;=100000,"High",IF(Cleaned_Data[[#This Row],[Net_Sales]]&gt;=50000,"Medium","Low"))</f>
        <v>Low</v>
      </c>
    </row>
    <row r="778" spans="1:19" x14ac:dyDescent="0.3">
      <c r="A778" t="s">
        <v>926</v>
      </c>
      <c r="B778" s="1">
        <v>45009</v>
      </c>
      <c r="C778" t="s">
        <v>115</v>
      </c>
      <c r="D778" t="s">
        <v>116</v>
      </c>
      <c r="E778" t="s">
        <v>23</v>
      </c>
      <c r="F778" t="s">
        <v>24</v>
      </c>
      <c r="G778" t="s">
        <v>45</v>
      </c>
      <c r="H778" t="s">
        <v>156</v>
      </c>
      <c r="I778">
        <v>1</v>
      </c>
      <c r="J778" s="8">
        <v>48800</v>
      </c>
      <c r="K778">
        <v>0</v>
      </c>
      <c r="L778" t="s">
        <v>62</v>
      </c>
      <c r="M778" s="5">
        <f>Cleaned_Data[[#This Row],[Quantity]]*Cleaned_Data[[#This Row],[Unit_Price]]</f>
        <v>48800</v>
      </c>
      <c r="N778" s="7">
        <f>Cleaned_Data[[#This Row],[Total_sales]]*(Cleaned_Data[[#This Row],[Discount_Percent]]/100)</f>
        <v>0</v>
      </c>
      <c r="O778" s="7">
        <f>Cleaned_Data[[#This Row],[Total_sales]]-Cleaned_Data[[#This Row],[Discount_Amount]]</f>
        <v>48800</v>
      </c>
      <c r="P778" t="str">
        <f>TEXT(Cleaned_Data[[#This Row],[Order_Date]],"MMM-YYYY")</f>
        <v>Mar-2023</v>
      </c>
      <c r="Q778" t="str">
        <f>"Q"&amp;ROUNDUP(MONTH(Cleaned_Data[[#This Row],[Order_Date]])/3,0)&amp;"-2023"</f>
        <v>Q1-2023</v>
      </c>
      <c r="R778" t="str">
        <f>TEXT(Cleaned_Data[[#This Row],[Order_Date]],"DDD")</f>
        <v>Fri</v>
      </c>
      <c r="S778" t="str">
        <f>IF(Cleaned_Data[[#This Row],[Net_Sales]]&gt;=100000,"High",IF(Cleaned_Data[[#This Row],[Net_Sales]]&gt;=50000,"Medium","Low"))</f>
        <v>Low</v>
      </c>
    </row>
    <row r="779" spans="1:19" x14ac:dyDescent="0.3">
      <c r="A779" t="s">
        <v>927</v>
      </c>
      <c r="B779" s="1">
        <v>45040</v>
      </c>
      <c r="C779" t="s">
        <v>79</v>
      </c>
      <c r="D779" t="s">
        <v>80</v>
      </c>
      <c r="E779" t="s">
        <v>66</v>
      </c>
      <c r="F779" t="s">
        <v>92</v>
      </c>
      <c r="G779" t="s">
        <v>97</v>
      </c>
      <c r="H779" t="s">
        <v>133</v>
      </c>
      <c r="I779">
        <v>1</v>
      </c>
      <c r="J779" s="8">
        <v>50800</v>
      </c>
      <c r="K779">
        <v>0</v>
      </c>
      <c r="L779" t="s">
        <v>53</v>
      </c>
      <c r="M779" s="5">
        <f>Cleaned_Data[[#This Row],[Quantity]]*Cleaned_Data[[#This Row],[Unit_Price]]</f>
        <v>50800</v>
      </c>
      <c r="N779" s="7">
        <f>Cleaned_Data[[#This Row],[Total_sales]]*(Cleaned_Data[[#This Row],[Discount_Percent]]/100)</f>
        <v>0</v>
      </c>
      <c r="O779" s="7">
        <f>Cleaned_Data[[#This Row],[Total_sales]]-Cleaned_Data[[#This Row],[Discount_Amount]]</f>
        <v>50800</v>
      </c>
      <c r="P779" t="str">
        <f>TEXT(Cleaned_Data[[#This Row],[Order_Date]],"MMM-YYYY")</f>
        <v>Apr-2023</v>
      </c>
      <c r="Q779" t="str">
        <f>"Q"&amp;ROUNDUP(MONTH(Cleaned_Data[[#This Row],[Order_Date]])/3,0)&amp;"-2023"</f>
        <v>Q2-2023</v>
      </c>
      <c r="R779" t="str">
        <f>TEXT(Cleaned_Data[[#This Row],[Order_Date]],"DDD")</f>
        <v>Mon</v>
      </c>
      <c r="S779" t="str">
        <f>IF(Cleaned_Data[[#This Row],[Net_Sales]]&gt;=100000,"High",IF(Cleaned_Data[[#This Row],[Net_Sales]]&gt;=50000,"Medium","Low"))</f>
        <v>Medium</v>
      </c>
    </row>
    <row r="780" spans="1:19" x14ac:dyDescent="0.3">
      <c r="A780" t="s">
        <v>928</v>
      </c>
      <c r="B780" s="1">
        <v>45040</v>
      </c>
      <c r="C780" t="s">
        <v>42</v>
      </c>
      <c r="D780" t="s">
        <v>43</v>
      </c>
      <c r="E780" t="s">
        <v>37</v>
      </c>
      <c r="F780" t="s">
        <v>61</v>
      </c>
      <c r="G780" t="s">
        <v>97</v>
      </c>
      <c r="H780" t="s">
        <v>98</v>
      </c>
      <c r="I780">
        <v>1</v>
      </c>
      <c r="J780" s="8">
        <v>66000</v>
      </c>
      <c r="K780">
        <v>20</v>
      </c>
      <c r="L780" t="s">
        <v>62</v>
      </c>
      <c r="M780" s="5">
        <f>Cleaned_Data[[#This Row],[Quantity]]*Cleaned_Data[[#This Row],[Unit_Price]]</f>
        <v>66000</v>
      </c>
      <c r="N780" s="7">
        <f>Cleaned_Data[[#This Row],[Total_sales]]*(Cleaned_Data[[#This Row],[Discount_Percent]]/100)</f>
        <v>13200</v>
      </c>
      <c r="O780" s="7">
        <f>Cleaned_Data[[#This Row],[Total_sales]]-Cleaned_Data[[#This Row],[Discount_Amount]]</f>
        <v>52800</v>
      </c>
      <c r="P780" t="str">
        <f>TEXT(Cleaned_Data[[#This Row],[Order_Date]],"MMM-YYYY")</f>
        <v>Apr-2023</v>
      </c>
      <c r="Q780" t="str">
        <f>"Q"&amp;ROUNDUP(MONTH(Cleaned_Data[[#This Row],[Order_Date]])/3,0)&amp;"-2023"</f>
        <v>Q2-2023</v>
      </c>
      <c r="R780" t="str">
        <f>TEXT(Cleaned_Data[[#This Row],[Order_Date]],"DDD")</f>
        <v>Mon</v>
      </c>
      <c r="S780" t="str">
        <f>IF(Cleaned_Data[[#This Row],[Net_Sales]]&gt;=100000,"High",IF(Cleaned_Data[[#This Row],[Net_Sales]]&gt;=50000,"Medium","Low"))</f>
        <v>Medium</v>
      </c>
    </row>
    <row r="781" spans="1:19" x14ac:dyDescent="0.3">
      <c r="A781" t="s">
        <v>929</v>
      </c>
      <c r="B781" s="1">
        <v>45040</v>
      </c>
      <c r="C781" t="s">
        <v>95</v>
      </c>
      <c r="D781" t="s">
        <v>96</v>
      </c>
      <c r="E781" t="s">
        <v>66</v>
      </c>
      <c r="F781" t="s">
        <v>92</v>
      </c>
      <c r="G781" t="s">
        <v>25</v>
      </c>
      <c r="H781" t="s">
        <v>32</v>
      </c>
      <c r="I781">
        <v>2</v>
      </c>
      <c r="J781" s="8">
        <v>1200</v>
      </c>
      <c r="K781">
        <v>0</v>
      </c>
      <c r="L781" t="s">
        <v>19</v>
      </c>
      <c r="M781" s="5">
        <f>Cleaned_Data[[#This Row],[Quantity]]*Cleaned_Data[[#This Row],[Unit_Price]]</f>
        <v>2400</v>
      </c>
      <c r="N781" s="7">
        <f>Cleaned_Data[[#This Row],[Total_sales]]*(Cleaned_Data[[#This Row],[Discount_Percent]]/100)</f>
        <v>0</v>
      </c>
      <c r="O781" s="7">
        <f>Cleaned_Data[[#This Row],[Total_sales]]-Cleaned_Data[[#This Row],[Discount_Amount]]</f>
        <v>2400</v>
      </c>
      <c r="P781" t="str">
        <f>TEXT(Cleaned_Data[[#This Row],[Order_Date]],"MMM-YYYY")</f>
        <v>Apr-2023</v>
      </c>
      <c r="Q781" t="str">
        <f>"Q"&amp;ROUNDUP(MONTH(Cleaned_Data[[#This Row],[Order_Date]])/3,0)&amp;"-2023"</f>
        <v>Q2-2023</v>
      </c>
      <c r="R781" t="str">
        <f>TEXT(Cleaned_Data[[#This Row],[Order_Date]],"DDD")</f>
        <v>Mon</v>
      </c>
      <c r="S781" t="str">
        <f>IF(Cleaned_Data[[#This Row],[Net_Sales]]&gt;=100000,"High",IF(Cleaned_Data[[#This Row],[Net_Sales]]&gt;=50000,"Medium","Low"))</f>
        <v>Low</v>
      </c>
    </row>
    <row r="782" spans="1:19" x14ac:dyDescent="0.3">
      <c r="A782" t="s">
        <v>930</v>
      </c>
      <c r="B782" s="1">
        <v>45101</v>
      </c>
      <c r="C782" t="s">
        <v>126</v>
      </c>
      <c r="D782" t="s">
        <v>127</v>
      </c>
      <c r="E782" t="s">
        <v>37</v>
      </c>
      <c r="F782" t="s">
        <v>38</v>
      </c>
      <c r="G782" t="s">
        <v>17</v>
      </c>
      <c r="H782" t="s">
        <v>88</v>
      </c>
      <c r="I782">
        <v>1</v>
      </c>
      <c r="J782" s="8">
        <v>47200</v>
      </c>
      <c r="K782">
        <v>25</v>
      </c>
      <c r="L782" t="s">
        <v>19</v>
      </c>
      <c r="M782" s="5">
        <f>Cleaned_Data[[#This Row],[Quantity]]*Cleaned_Data[[#This Row],[Unit_Price]]</f>
        <v>47200</v>
      </c>
      <c r="N782" s="7">
        <f>Cleaned_Data[[#This Row],[Total_sales]]*(Cleaned_Data[[#This Row],[Discount_Percent]]/100)</f>
        <v>11800</v>
      </c>
      <c r="O782" s="7">
        <f>Cleaned_Data[[#This Row],[Total_sales]]-Cleaned_Data[[#This Row],[Discount_Amount]]</f>
        <v>35400</v>
      </c>
      <c r="P782" t="str">
        <f>TEXT(Cleaned_Data[[#This Row],[Order_Date]],"MMM-YYYY")</f>
        <v>Jun-2023</v>
      </c>
      <c r="Q782" t="str">
        <f>"Q"&amp;ROUNDUP(MONTH(Cleaned_Data[[#This Row],[Order_Date]])/3,0)&amp;"-2023"</f>
        <v>Q2-2023</v>
      </c>
      <c r="R782" t="str">
        <f>TEXT(Cleaned_Data[[#This Row],[Order_Date]],"DDD")</f>
        <v>Sat</v>
      </c>
      <c r="S782" t="str">
        <f>IF(Cleaned_Data[[#This Row],[Net_Sales]]&gt;=100000,"High",IF(Cleaned_Data[[#This Row],[Net_Sales]]&gt;=50000,"Medium","Low"))</f>
        <v>Low</v>
      </c>
    </row>
    <row r="783" spans="1:19" x14ac:dyDescent="0.3">
      <c r="A783" t="s">
        <v>931</v>
      </c>
      <c r="B783" s="1">
        <v>45101</v>
      </c>
      <c r="C783" t="s">
        <v>95</v>
      </c>
      <c r="D783" t="s">
        <v>96</v>
      </c>
      <c r="E783" t="s">
        <v>66</v>
      </c>
      <c r="F783" t="s">
        <v>67</v>
      </c>
      <c r="G783" t="s">
        <v>17</v>
      </c>
      <c r="H783" t="s">
        <v>196</v>
      </c>
      <c r="I783">
        <v>1</v>
      </c>
      <c r="J783" s="8">
        <v>32600</v>
      </c>
      <c r="K783">
        <v>10</v>
      </c>
      <c r="L783" t="s">
        <v>73</v>
      </c>
      <c r="M783" s="5">
        <f>Cleaned_Data[[#This Row],[Quantity]]*Cleaned_Data[[#This Row],[Unit_Price]]</f>
        <v>32600</v>
      </c>
      <c r="N783" s="7">
        <f>Cleaned_Data[[#This Row],[Total_sales]]*(Cleaned_Data[[#This Row],[Discount_Percent]]/100)</f>
        <v>3260</v>
      </c>
      <c r="O783" s="7">
        <f>Cleaned_Data[[#This Row],[Total_sales]]-Cleaned_Data[[#This Row],[Discount_Amount]]</f>
        <v>29340</v>
      </c>
      <c r="P783" t="str">
        <f>TEXT(Cleaned_Data[[#This Row],[Order_Date]],"MMM-YYYY")</f>
        <v>Jun-2023</v>
      </c>
      <c r="Q783" t="str">
        <f>"Q"&amp;ROUNDUP(MONTH(Cleaned_Data[[#This Row],[Order_Date]])/3,0)&amp;"-2023"</f>
        <v>Q2-2023</v>
      </c>
      <c r="R783" t="str">
        <f>TEXT(Cleaned_Data[[#This Row],[Order_Date]],"DDD")</f>
        <v>Sat</v>
      </c>
      <c r="S783" t="str">
        <f>IF(Cleaned_Data[[#This Row],[Net_Sales]]&gt;=100000,"High",IF(Cleaned_Data[[#This Row],[Net_Sales]]&gt;=50000,"Medium","Low"))</f>
        <v>Low</v>
      </c>
    </row>
    <row r="784" spans="1:19" x14ac:dyDescent="0.3">
      <c r="A784" t="s">
        <v>932</v>
      </c>
      <c r="B784" s="1">
        <v>45101</v>
      </c>
      <c r="C784" t="s">
        <v>236</v>
      </c>
      <c r="D784" t="s">
        <v>237</v>
      </c>
      <c r="E784" t="s">
        <v>23</v>
      </c>
      <c r="F784" t="s">
        <v>31</v>
      </c>
      <c r="G784" t="s">
        <v>39</v>
      </c>
      <c r="H784" t="s">
        <v>40</v>
      </c>
      <c r="I784">
        <v>1</v>
      </c>
      <c r="J784" s="8">
        <v>18400</v>
      </c>
      <c r="K784">
        <v>15</v>
      </c>
      <c r="L784" t="s">
        <v>73</v>
      </c>
      <c r="M784" s="5">
        <f>Cleaned_Data[[#This Row],[Quantity]]*Cleaned_Data[[#This Row],[Unit_Price]]</f>
        <v>18400</v>
      </c>
      <c r="N784" s="7">
        <f>Cleaned_Data[[#This Row],[Total_sales]]*(Cleaned_Data[[#This Row],[Discount_Percent]]/100)</f>
        <v>2760</v>
      </c>
      <c r="O784" s="7">
        <f>Cleaned_Data[[#This Row],[Total_sales]]-Cleaned_Data[[#This Row],[Discount_Amount]]</f>
        <v>15640</v>
      </c>
      <c r="P784" t="str">
        <f>TEXT(Cleaned_Data[[#This Row],[Order_Date]],"MMM-YYYY")</f>
        <v>Jun-2023</v>
      </c>
      <c r="Q784" t="str">
        <f>"Q"&amp;ROUNDUP(MONTH(Cleaned_Data[[#This Row],[Order_Date]])/3,0)&amp;"-2023"</f>
        <v>Q2-2023</v>
      </c>
      <c r="R784" t="str">
        <f>TEXT(Cleaned_Data[[#This Row],[Order_Date]],"DDD")</f>
        <v>Sat</v>
      </c>
      <c r="S784" t="str">
        <f>IF(Cleaned_Data[[#This Row],[Net_Sales]]&gt;=100000,"High",IF(Cleaned_Data[[#This Row],[Net_Sales]]&gt;=50000,"Medium","Low"))</f>
        <v>Low</v>
      </c>
    </row>
    <row r="785" spans="1:19" x14ac:dyDescent="0.3">
      <c r="A785" t="s">
        <v>933</v>
      </c>
      <c r="B785" s="1">
        <v>45101</v>
      </c>
      <c r="C785" t="s">
        <v>90</v>
      </c>
      <c r="D785" t="s">
        <v>91</v>
      </c>
      <c r="E785" t="s">
        <v>37</v>
      </c>
      <c r="F785" t="s">
        <v>101</v>
      </c>
      <c r="G785" t="s">
        <v>17</v>
      </c>
      <c r="H785" t="s">
        <v>196</v>
      </c>
      <c r="I785">
        <v>1</v>
      </c>
      <c r="J785" s="8">
        <v>37100</v>
      </c>
      <c r="K785">
        <v>20</v>
      </c>
      <c r="L785" t="s">
        <v>33</v>
      </c>
      <c r="M785" s="5">
        <f>Cleaned_Data[[#This Row],[Quantity]]*Cleaned_Data[[#This Row],[Unit_Price]]</f>
        <v>37100</v>
      </c>
      <c r="N785" s="7">
        <f>Cleaned_Data[[#This Row],[Total_sales]]*(Cleaned_Data[[#This Row],[Discount_Percent]]/100)</f>
        <v>7420</v>
      </c>
      <c r="O785" s="7">
        <f>Cleaned_Data[[#This Row],[Total_sales]]-Cleaned_Data[[#This Row],[Discount_Amount]]</f>
        <v>29680</v>
      </c>
      <c r="P785" t="str">
        <f>TEXT(Cleaned_Data[[#This Row],[Order_Date]],"MMM-YYYY")</f>
        <v>Jun-2023</v>
      </c>
      <c r="Q785" t="str">
        <f>"Q"&amp;ROUNDUP(MONTH(Cleaned_Data[[#This Row],[Order_Date]])/3,0)&amp;"-2023"</f>
        <v>Q2-2023</v>
      </c>
      <c r="R785" t="str">
        <f>TEXT(Cleaned_Data[[#This Row],[Order_Date]],"DDD")</f>
        <v>Sat</v>
      </c>
      <c r="S785" t="str">
        <f>IF(Cleaned_Data[[#This Row],[Net_Sales]]&gt;=100000,"High",IF(Cleaned_Data[[#This Row],[Net_Sales]]&gt;=50000,"Medium","Low"))</f>
        <v>Low</v>
      </c>
    </row>
    <row r="786" spans="1:19" x14ac:dyDescent="0.3">
      <c r="A786" t="s">
        <v>934</v>
      </c>
      <c r="B786" s="1">
        <v>45101</v>
      </c>
      <c r="C786" t="s">
        <v>21</v>
      </c>
      <c r="D786" t="s">
        <v>22</v>
      </c>
      <c r="E786" t="s">
        <v>66</v>
      </c>
      <c r="F786" t="s">
        <v>87</v>
      </c>
      <c r="G786" t="s">
        <v>97</v>
      </c>
      <c r="H786" t="s">
        <v>133</v>
      </c>
      <c r="I786">
        <v>1</v>
      </c>
      <c r="J786" s="8">
        <v>49000</v>
      </c>
      <c r="K786">
        <v>20</v>
      </c>
      <c r="L786" t="s">
        <v>33</v>
      </c>
      <c r="M786" s="5">
        <f>Cleaned_Data[[#This Row],[Quantity]]*Cleaned_Data[[#This Row],[Unit_Price]]</f>
        <v>49000</v>
      </c>
      <c r="N786" s="7">
        <f>Cleaned_Data[[#This Row],[Total_sales]]*(Cleaned_Data[[#This Row],[Discount_Percent]]/100)</f>
        <v>9800</v>
      </c>
      <c r="O786" s="7">
        <f>Cleaned_Data[[#This Row],[Total_sales]]-Cleaned_Data[[#This Row],[Discount_Amount]]</f>
        <v>39200</v>
      </c>
      <c r="P786" t="str">
        <f>TEXT(Cleaned_Data[[#This Row],[Order_Date]],"MMM-YYYY")</f>
        <v>Jun-2023</v>
      </c>
      <c r="Q786" t="str">
        <f>"Q"&amp;ROUNDUP(MONTH(Cleaned_Data[[#This Row],[Order_Date]])/3,0)&amp;"-2023"</f>
        <v>Q2-2023</v>
      </c>
      <c r="R786" t="str">
        <f>TEXT(Cleaned_Data[[#This Row],[Order_Date]],"DDD")</f>
        <v>Sat</v>
      </c>
      <c r="S786" t="str">
        <f>IF(Cleaned_Data[[#This Row],[Net_Sales]]&gt;=100000,"High",IF(Cleaned_Data[[#This Row],[Net_Sales]]&gt;=50000,"Medium","Low"))</f>
        <v>Low</v>
      </c>
    </row>
    <row r="787" spans="1:19" x14ac:dyDescent="0.3">
      <c r="A787" t="s">
        <v>935</v>
      </c>
      <c r="B787" s="1">
        <v>45101</v>
      </c>
      <c r="C787" t="s">
        <v>284</v>
      </c>
      <c r="D787" t="s">
        <v>285</v>
      </c>
      <c r="E787" t="s">
        <v>37</v>
      </c>
      <c r="F787" t="s">
        <v>141</v>
      </c>
      <c r="G787" t="s">
        <v>25</v>
      </c>
      <c r="H787" t="s">
        <v>108</v>
      </c>
      <c r="I787">
        <v>2</v>
      </c>
      <c r="J787" s="8">
        <v>1000</v>
      </c>
      <c r="K787">
        <v>10</v>
      </c>
      <c r="L787" t="s">
        <v>33</v>
      </c>
      <c r="M787" s="5">
        <f>Cleaned_Data[[#This Row],[Quantity]]*Cleaned_Data[[#This Row],[Unit_Price]]</f>
        <v>2000</v>
      </c>
      <c r="N787" s="7">
        <f>Cleaned_Data[[#This Row],[Total_sales]]*(Cleaned_Data[[#This Row],[Discount_Percent]]/100)</f>
        <v>200</v>
      </c>
      <c r="O787" s="7">
        <f>Cleaned_Data[[#This Row],[Total_sales]]-Cleaned_Data[[#This Row],[Discount_Amount]]</f>
        <v>1800</v>
      </c>
      <c r="P787" t="str">
        <f>TEXT(Cleaned_Data[[#This Row],[Order_Date]],"MMM-YYYY")</f>
        <v>Jun-2023</v>
      </c>
      <c r="Q787" t="str">
        <f>"Q"&amp;ROUNDUP(MONTH(Cleaned_Data[[#This Row],[Order_Date]])/3,0)&amp;"-2023"</f>
        <v>Q2-2023</v>
      </c>
      <c r="R787" t="str">
        <f>TEXT(Cleaned_Data[[#This Row],[Order_Date]],"DDD")</f>
        <v>Sat</v>
      </c>
      <c r="S787" t="str">
        <f>IF(Cleaned_Data[[#This Row],[Net_Sales]]&gt;=100000,"High",IF(Cleaned_Data[[#This Row],[Net_Sales]]&gt;=50000,"Medium","Low"))</f>
        <v>Low</v>
      </c>
    </row>
    <row r="788" spans="1:19" x14ac:dyDescent="0.3">
      <c r="A788" t="s">
        <v>936</v>
      </c>
      <c r="B788" s="1">
        <v>45162</v>
      </c>
      <c r="C788" t="s">
        <v>70</v>
      </c>
      <c r="D788" t="s">
        <v>71</v>
      </c>
      <c r="E788" t="s">
        <v>66</v>
      </c>
      <c r="F788" t="s">
        <v>72</v>
      </c>
      <c r="G788" t="s">
        <v>97</v>
      </c>
      <c r="H788" t="s">
        <v>133</v>
      </c>
      <c r="I788">
        <v>1</v>
      </c>
      <c r="J788" s="8">
        <v>58800</v>
      </c>
      <c r="K788">
        <v>15</v>
      </c>
      <c r="L788" t="s">
        <v>19</v>
      </c>
      <c r="M788" s="5">
        <f>Cleaned_Data[[#This Row],[Quantity]]*Cleaned_Data[[#This Row],[Unit_Price]]</f>
        <v>58800</v>
      </c>
      <c r="N788" s="7">
        <f>Cleaned_Data[[#This Row],[Total_sales]]*(Cleaned_Data[[#This Row],[Discount_Percent]]/100)</f>
        <v>8820</v>
      </c>
      <c r="O788" s="7">
        <f>Cleaned_Data[[#This Row],[Total_sales]]-Cleaned_Data[[#This Row],[Discount_Amount]]</f>
        <v>49980</v>
      </c>
      <c r="P788" t="str">
        <f>TEXT(Cleaned_Data[[#This Row],[Order_Date]],"MMM-YYYY")</f>
        <v>Aug-2023</v>
      </c>
      <c r="Q788" t="str">
        <f>"Q"&amp;ROUNDUP(MONTH(Cleaned_Data[[#This Row],[Order_Date]])/3,0)&amp;"-2023"</f>
        <v>Q3-2023</v>
      </c>
      <c r="R788" t="str">
        <f>TEXT(Cleaned_Data[[#This Row],[Order_Date]],"DDD")</f>
        <v>Thu</v>
      </c>
      <c r="S788" t="str">
        <f>IF(Cleaned_Data[[#This Row],[Net_Sales]]&gt;=100000,"High",IF(Cleaned_Data[[#This Row],[Net_Sales]]&gt;=50000,"Medium","Low"))</f>
        <v>Low</v>
      </c>
    </row>
    <row r="789" spans="1:19" x14ac:dyDescent="0.3">
      <c r="A789" t="s">
        <v>937</v>
      </c>
      <c r="B789" s="1">
        <v>45193</v>
      </c>
      <c r="C789" t="s">
        <v>59</v>
      </c>
      <c r="D789" t="s">
        <v>60</v>
      </c>
      <c r="E789" t="s">
        <v>66</v>
      </c>
      <c r="F789" t="s">
        <v>67</v>
      </c>
      <c r="G789" t="s">
        <v>39</v>
      </c>
      <c r="H789" t="s">
        <v>68</v>
      </c>
      <c r="I789">
        <v>1</v>
      </c>
      <c r="J789" s="8">
        <v>32400</v>
      </c>
      <c r="K789">
        <v>0</v>
      </c>
      <c r="L789" t="s">
        <v>62</v>
      </c>
      <c r="M789" s="5">
        <f>Cleaned_Data[[#This Row],[Quantity]]*Cleaned_Data[[#This Row],[Unit_Price]]</f>
        <v>32400</v>
      </c>
      <c r="N789" s="7">
        <f>Cleaned_Data[[#This Row],[Total_sales]]*(Cleaned_Data[[#This Row],[Discount_Percent]]/100)</f>
        <v>0</v>
      </c>
      <c r="O789" s="7">
        <f>Cleaned_Data[[#This Row],[Total_sales]]-Cleaned_Data[[#This Row],[Discount_Amount]]</f>
        <v>32400</v>
      </c>
      <c r="P789" t="str">
        <f>TEXT(Cleaned_Data[[#This Row],[Order_Date]],"MMM-YYYY")</f>
        <v>Sep-2023</v>
      </c>
      <c r="Q789" t="str">
        <f>"Q"&amp;ROUNDUP(MONTH(Cleaned_Data[[#This Row],[Order_Date]])/3,0)&amp;"-2023"</f>
        <v>Q3-2023</v>
      </c>
      <c r="R789" t="str">
        <f>TEXT(Cleaned_Data[[#This Row],[Order_Date]],"DDD")</f>
        <v>Sun</v>
      </c>
      <c r="S789" t="str">
        <f>IF(Cleaned_Data[[#This Row],[Net_Sales]]&gt;=100000,"High",IF(Cleaned_Data[[#This Row],[Net_Sales]]&gt;=50000,"Medium","Low"))</f>
        <v>Low</v>
      </c>
    </row>
    <row r="790" spans="1:19" x14ac:dyDescent="0.3">
      <c r="A790" t="s">
        <v>938</v>
      </c>
      <c r="B790" s="1">
        <v>45193</v>
      </c>
      <c r="C790" t="s">
        <v>147</v>
      </c>
      <c r="D790" t="s">
        <v>148</v>
      </c>
      <c r="E790" t="s">
        <v>66</v>
      </c>
      <c r="F790" t="s">
        <v>72</v>
      </c>
      <c r="G790" t="s">
        <v>17</v>
      </c>
      <c r="H790" t="s">
        <v>18</v>
      </c>
      <c r="I790">
        <v>1</v>
      </c>
      <c r="J790" s="8">
        <v>30600</v>
      </c>
      <c r="K790">
        <v>5</v>
      </c>
      <c r="L790" t="s">
        <v>33</v>
      </c>
      <c r="M790" s="5">
        <f>Cleaned_Data[[#This Row],[Quantity]]*Cleaned_Data[[#This Row],[Unit_Price]]</f>
        <v>30600</v>
      </c>
      <c r="N790" s="7">
        <f>Cleaned_Data[[#This Row],[Total_sales]]*(Cleaned_Data[[#This Row],[Discount_Percent]]/100)</f>
        <v>1530</v>
      </c>
      <c r="O790" s="7">
        <f>Cleaned_Data[[#This Row],[Total_sales]]-Cleaned_Data[[#This Row],[Discount_Amount]]</f>
        <v>29070</v>
      </c>
      <c r="P790" t="str">
        <f>TEXT(Cleaned_Data[[#This Row],[Order_Date]],"MMM-YYYY")</f>
        <v>Sep-2023</v>
      </c>
      <c r="Q790" t="str">
        <f>"Q"&amp;ROUNDUP(MONTH(Cleaned_Data[[#This Row],[Order_Date]])/3,0)&amp;"-2023"</f>
        <v>Q3-2023</v>
      </c>
      <c r="R790" t="str">
        <f>TEXT(Cleaned_Data[[#This Row],[Order_Date]],"DDD")</f>
        <v>Sun</v>
      </c>
      <c r="S790" t="str">
        <f>IF(Cleaned_Data[[#This Row],[Net_Sales]]&gt;=100000,"High",IF(Cleaned_Data[[#This Row],[Net_Sales]]&gt;=50000,"Medium","Low"))</f>
        <v>Low</v>
      </c>
    </row>
    <row r="791" spans="1:19" x14ac:dyDescent="0.3">
      <c r="A791" t="s">
        <v>939</v>
      </c>
      <c r="B791" s="1">
        <v>45193</v>
      </c>
      <c r="C791" t="s">
        <v>183</v>
      </c>
      <c r="D791" t="s">
        <v>27</v>
      </c>
      <c r="E791" t="s">
        <v>66</v>
      </c>
      <c r="F791" t="s">
        <v>92</v>
      </c>
      <c r="G791" t="s">
        <v>25</v>
      </c>
      <c r="H791" t="s">
        <v>26</v>
      </c>
      <c r="I791">
        <v>3</v>
      </c>
      <c r="J791" s="8">
        <v>1900</v>
      </c>
      <c r="K791">
        <v>25</v>
      </c>
      <c r="L791" t="s">
        <v>62</v>
      </c>
      <c r="M791" s="5">
        <f>Cleaned_Data[[#This Row],[Quantity]]*Cleaned_Data[[#This Row],[Unit_Price]]</f>
        <v>5700</v>
      </c>
      <c r="N791" s="7">
        <f>Cleaned_Data[[#This Row],[Total_sales]]*(Cleaned_Data[[#This Row],[Discount_Percent]]/100)</f>
        <v>1425</v>
      </c>
      <c r="O791" s="7">
        <f>Cleaned_Data[[#This Row],[Total_sales]]-Cleaned_Data[[#This Row],[Discount_Amount]]</f>
        <v>4275</v>
      </c>
      <c r="P791" t="str">
        <f>TEXT(Cleaned_Data[[#This Row],[Order_Date]],"MMM-YYYY")</f>
        <v>Sep-2023</v>
      </c>
      <c r="Q791" t="str">
        <f>"Q"&amp;ROUNDUP(MONTH(Cleaned_Data[[#This Row],[Order_Date]])/3,0)&amp;"-2023"</f>
        <v>Q3-2023</v>
      </c>
      <c r="R791" t="str">
        <f>TEXT(Cleaned_Data[[#This Row],[Order_Date]],"DDD")</f>
        <v>Sun</v>
      </c>
      <c r="S791" t="str">
        <f>IF(Cleaned_Data[[#This Row],[Net_Sales]]&gt;=100000,"High",IF(Cleaned_Data[[#This Row],[Net_Sales]]&gt;=50000,"Medium","Low"))</f>
        <v>Low</v>
      </c>
    </row>
    <row r="792" spans="1:19" x14ac:dyDescent="0.3">
      <c r="A792" t="s">
        <v>940</v>
      </c>
      <c r="B792" s="1">
        <v>45223</v>
      </c>
      <c r="C792" t="s">
        <v>59</v>
      </c>
      <c r="D792" t="s">
        <v>60</v>
      </c>
      <c r="E792" t="s">
        <v>81</v>
      </c>
      <c r="F792" t="s">
        <v>117</v>
      </c>
      <c r="G792" t="s">
        <v>97</v>
      </c>
      <c r="H792" t="s">
        <v>98</v>
      </c>
      <c r="I792">
        <v>1</v>
      </c>
      <c r="J792" s="8">
        <v>59000</v>
      </c>
      <c r="K792">
        <v>10</v>
      </c>
      <c r="L792" t="s">
        <v>62</v>
      </c>
      <c r="M792" s="5">
        <f>Cleaned_Data[[#This Row],[Quantity]]*Cleaned_Data[[#This Row],[Unit_Price]]</f>
        <v>59000</v>
      </c>
      <c r="N792" s="7">
        <f>Cleaned_Data[[#This Row],[Total_sales]]*(Cleaned_Data[[#This Row],[Discount_Percent]]/100)</f>
        <v>5900</v>
      </c>
      <c r="O792" s="7">
        <f>Cleaned_Data[[#This Row],[Total_sales]]-Cleaned_Data[[#This Row],[Discount_Amount]]</f>
        <v>53100</v>
      </c>
      <c r="P792" t="str">
        <f>TEXT(Cleaned_Data[[#This Row],[Order_Date]],"MMM-YYYY")</f>
        <v>Oct-2023</v>
      </c>
      <c r="Q792" t="str">
        <f>"Q"&amp;ROUNDUP(MONTH(Cleaned_Data[[#This Row],[Order_Date]])/3,0)&amp;"-2023"</f>
        <v>Q4-2023</v>
      </c>
      <c r="R792" t="str">
        <f>TEXT(Cleaned_Data[[#This Row],[Order_Date]],"DDD")</f>
        <v>Tue</v>
      </c>
      <c r="S792" t="str">
        <f>IF(Cleaned_Data[[#This Row],[Net_Sales]]&gt;=100000,"High",IF(Cleaned_Data[[#This Row],[Net_Sales]]&gt;=50000,"Medium","Low"))</f>
        <v>Medium</v>
      </c>
    </row>
    <row r="793" spans="1:19" x14ac:dyDescent="0.3">
      <c r="A793" t="s">
        <v>941</v>
      </c>
      <c r="B793" s="1">
        <v>45223</v>
      </c>
      <c r="C793" t="s">
        <v>210</v>
      </c>
      <c r="D793" t="s">
        <v>211</v>
      </c>
      <c r="E793" t="s">
        <v>15</v>
      </c>
      <c r="F793" t="s">
        <v>128</v>
      </c>
      <c r="G793" t="s">
        <v>25</v>
      </c>
      <c r="H793" t="s">
        <v>212</v>
      </c>
      <c r="I793">
        <v>2</v>
      </c>
      <c r="J793" s="8">
        <v>1800</v>
      </c>
      <c r="K793">
        <v>10</v>
      </c>
      <c r="L793" t="s">
        <v>19</v>
      </c>
      <c r="M793" s="5">
        <f>Cleaned_Data[[#This Row],[Quantity]]*Cleaned_Data[[#This Row],[Unit_Price]]</f>
        <v>3600</v>
      </c>
      <c r="N793" s="7">
        <f>Cleaned_Data[[#This Row],[Total_sales]]*(Cleaned_Data[[#This Row],[Discount_Percent]]/100)</f>
        <v>360</v>
      </c>
      <c r="O793" s="7">
        <f>Cleaned_Data[[#This Row],[Total_sales]]-Cleaned_Data[[#This Row],[Discount_Amount]]</f>
        <v>3240</v>
      </c>
      <c r="P793" t="str">
        <f>TEXT(Cleaned_Data[[#This Row],[Order_Date]],"MMM-YYYY")</f>
        <v>Oct-2023</v>
      </c>
      <c r="Q793" t="str">
        <f>"Q"&amp;ROUNDUP(MONTH(Cleaned_Data[[#This Row],[Order_Date]])/3,0)&amp;"-2023"</f>
        <v>Q4-2023</v>
      </c>
      <c r="R793" t="str">
        <f>TEXT(Cleaned_Data[[#This Row],[Order_Date]],"DDD")</f>
        <v>Tue</v>
      </c>
      <c r="S793" t="str">
        <f>IF(Cleaned_Data[[#This Row],[Net_Sales]]&gt;=100000,"High",IF(Cleaned_Data[[#This Row],[Net_Sales]]&gt;=50000,"Medium","Low"))</f>
        <v>Low</v>
      </c>
    </row>
    <row r="794" spans="1:19" x14ac:dyDescent="0.3">
      <c r="A794" t="s">
        <v>942</v>
      </c>
      <c r="B794" s="1">
        <v>45254</v>
      </c>
      <c r="C794" t="s">
        <v>75</v>
      </c>
      <c r="D794" t="s">
        <v>76</v>
      </c>
      <c r="E794" t="s">
        <v>23</v>
      </c>
      <c r="F794" t="s">
        <v>24</v>
      </c>
      <c r="G794" t="s">
        <v>45</v>
      </c>
      <c r="H794" t="s">
        <v>46</v>
      </c>
      <c r="I794">
        <v>1</v>
      </c>
      <c r="J794" s="8">
        <v>34000</v>
      </c>
      <c r="K794">
        <v>5</v>
      </c>
      <c r="L794" t="s">
        <v>19</v>
      </c>
      <c r="M794" s="5">
        <f>Cleaned_Data[[#This Row],[Quantity]]*Cleaned_Data[[#This Row],[Unit_Price]]</f>
        <v>34000</v>
      </c>
      <c r="N794" s="7">
        <f>Cleaned_Data[[#This Row],[Total_sales]]*(Cleaned_Data[[#This Row],[Discount_Percent]]/100)</f>
        <v>1700</v>
      </c>
      <c r="O794" s="7">
        <f>Cleaned_Data[[#This Row],[Total_sales]]-Cleaned_Data[[#This Row],[Discount_Amount]]</f>
        <v>32300</v>
      </c>
      <c r="P794" t="str">
        <f>TEXT(Cleaned_Data[[#This Row],[Order_Date]],"MMM-YYYY")</f>
        <v>Nov-2023</v>
      </c>
      <c r="Q794" t="str">
        <f>"Q"&amp;ROUNDUP(MONTH(Cleaned_Data[[#This Row],[Order_Date]])/3,0)&amp;"-2023"</f>
        <v>Q4-2023</v>
      </c>
      <c r="R794" t="str">
        <f>TEXT(Cleaned_Data[[#This Row],[Order_Date]],"DDD")</f>
        <v>Fri</v>
      </c>
      <c r="S794" t="str">
        <f>IF(Cleaned_Data[[#This Row],[Net_Sales]]&gt;=100000,"High",IF(Cleaned_Data[[#This Row],[Net_Sales]]&gt;=50000,"Medium","Low"))</f>
        <v>Low</v>
      </c>
    </row>
    <row r="795" spans="1:19" x14ac:dyDescent="0.3">
      <c r="A795" t="s">
        <v>943</v>
      </c>
      <c r="B795" s="1">
        <v>45284</v>
      </c>
      <c r="C795" t="s">
        <v>64</v>
      </c>
      <c r="D795" t="s">
        <v>65</v>
      </c>
      <c r="E795" t="s">
        <v>15</v>
      </c>
      <c r="F795" t="s">
        <v>128</v>
      </c>
      <c r="G795" t="s">
        <v>97</v>
      </c>
      <c r="H795" t="s">
        <v>154</v>
      </c>
      <c r="I795">
        <v>1</v>
      </c>
      <c r="J795" s="8">
        <v>49900</v>
      </c>
      <c r="K795">
        <v>10</v>
      </c>
      <c r="L795" t="s">
        <v>53</v>
      </c>
      <c r="M795" s="5">
        <f>Cleaned_Data[[#This Row],[Quantity]]*Cleaned_Data[[#This Row],[Unit_Price]]</f>
        <v>49900</v>
      </c>
      <c r="N795" s="7">
        <f>Cleaned_Data[[#This Row],[Total_sales]]*(Cleaned_Data[[#This Row],[Discount_Percent]]/100)</f>
        <v>4990</v>
      </c>
      <c r="O795" s="7">
        <f>Cleaned_Data[[#This Row],[Total_sales]]-Cleaned_Data[[#This Row],[Discount_Amount]]</f>
        <v>44910</v>
      </c>
      <c r="P795" t="str">
        <f>TEXT(Cleaned_Data[[#This Row],[Order_Date]],"MMM-YYYY")</f>
        <v>Dec-2023</v>
      </c>
      <c r="Q795" t="str">
        <f>"Q"&amp;ROUNDUP(MONTH(Cleaned_Data[[#This Row],[Order_Date]])/3,0)&amp;"-2023"</f>
        <v>Q4-2023</v>
      </c>
      <c r="R795" t="str">
        <f>TEXT(Cleaned_Data[[#This Row],[Order_Date]],"DDD")</f>
        <v>Sun</v>
      </c>
      <c r="S795" t="str">
        <f>IF(Cleaned_Data[[#This Row],[Net_Sales]]&gt;=100000,"High",IF(Cleaned_Data[[#This Row],[Net_Sales]]&gt;=50000,"Medium","Low"))</f>
        <v>Low</v>
      </c>
    </row>
    <row r="796" spans="1:19" x14ac:dyDescent="0.3">
      <c r="A796" t="s">
        <v>944</v>
      </c>
      <c r="B796" s="1">
        <v>45284</v>
      </c>
      <c r="C796" t="s">
        <v>29</v>
      </c>
      <c r="D796" t="s">
        <v>30</v>
      </c>
      <c r="E796" t="s">
        <v>81</v>
      </c>
      <c r="F796" t="s">
        <v>82</v>
      </c>
      <c r="G796" t="s">
        <v>45</v>
      </c>
      <c r="H796" t="s">
        <v>46</v>
      </c>
      <c r="I796">
        <v>1</v>
      </c>
      <c r="J796" s="8">
        <v>30700</v>
      </c>
      <c r="K796">
        <v>25</v>
      </c>
      <c r="L796" t="s">
        <v>73</v>
      </c>
      <c r="M796" s="5">
        <f>Cleaned_Data[[#This Row],[Quantity]]*Cleaned_Data[[#This Row],[Unit_Price]]</f>
        <v>30700</v>
      </c>
      <c r="N796" s="7">
        <f>Cleaned_Data[[#This Row],[Total_sales]]*(Cleaned_Data[[#This Row],[Discount_Percent]]/100)</f>
        <v>7675</v>
      </c>
      <c r="O796" s="7">
        <f>Cleaned_Data[[#This Row],[Total_sales]]-Cleaned_Data[[#This Row],[Discount_Amount]]</f>
        <v>23025</v>
      </c>
      <c r="P796" t="str">
        <f>TEXT(Cleaned_Data[[#This Row],[Order_Date]],"MMM-YYYY")</f>
        <v>Dec-2023</v>
      </c>
      <c r="Q796" t="str">
        <f>"Q"&amp;ROUNDUP(MONTH(Cleaned_Data[[#This Row],[Order_Date]])/3,0)&amp;"-2023"</f>
        <v>Q4-2023</v>
      </c>
      <c r="R796" t="str">
        <f>TEXT(Cleaned_Data[[#This Row],[Order_Date]],"DDD")</f>
        <v>Sun</v>
      </c>
      <c r="S796" t="str">
        <f>IF(Cleaned_Data[[#This Row],[Net_Sales]]&gt;=100000,"High",IF(Cleaned_Data[[#This Row],[Net_Sales]]&gt;=50000,"Medium","Low"))</f>
        <v>Low</v>
      </c>
    </row>
    <row r="797" spans="1:19" x14ac:dyDescent="0.3">
      <c r="A797" t="s">
        <v>945</v>
      </c>
      <c r="B797" s="1">
        <v>44951</v>
      </c>
      <c r="C797" t="s">
        <v>163</v>
      </c>
      <c r="D797" t="s">
        <v>73</v>
      </c>
      <c r="E797" t="s">
        <v>37</v>
      </c>
      <c r="F797" t="s">
        <v>141</v>
      </c>
      <c r="G797" t="s">
        <v>39</v>
      </c>
      <c r="H797" t="s">
        <v>68</v>
      </c>
      <c r="I797">
        <v>1</v>
      </c>
      <c r="J797" s="8">
        <v>15500</v>
      </c>
      <c r="K797">
        <v>0</v>
      </c>
      <c r="L797" t="s">
        <v>73</v>
      </c>
      <c r="M797" s="5">
        <f>Cleaned_Data[[#This Row],[Quantity]]*Cleaned_Data[[#This Row],[Unit_Price]]</f>
        <v>15500</v>
      </c>
      <c r="N797" s="7">
        <f>Cleaned_Data[[#This Row],[Total_sales]]*(Cleaned_Data[[#This Row],[Discount_Percent]]/100)</f>
        <v>0</v>
      </c>
      <c r="O797" s="7">
        <f>Cleaned_Data[[#This Row],[Total_sales]]-Cleaned_Data[[#This Row],[Discount_Amount]]</f>
        <v>15500</v>
      </c>
      <c r="P797" t="str">
        <f>TEXT(Cleaned_Data[[#This Row],[Order_Date]],"MMM-YYYY")</f>
        <v>Jan-2023</v>
      </c>
      <c r="Q797" t="str">
        <f>"Q"&amp;ROUNDUP(MONTH(Cleaned_Data[[#This Row],[Order_Date]])/3,0)&amp;"-2023"</f>
        <v>Q1-2023</v>
      </c>
      <c r="R797" t="str">
        <f>TEXT(Cleaned_Data[[#This Row],[Order_Date]],"DDD")</f>
        <v>Wed</v>
      </c>
      <c r="S797" t="str">
        <f>IF(Cleaned_Data[[#This Row],[Net_Sales]]&gt;=100000,"High",IF(Cleaned_Data[[#This Row],[Net_Sales]]&gt;=50000,"Medium","Low"))</f>
        <v>Low</v>
      </c>
    </row>
    <row r="798" spans="1:19" x14ac:dyDescent="0.3">
      <c r="A798" t="s">
        <v>946</v>
      </c>
      <c r="B798" s="1">
        <v>44951</v>
      </c>
      <c r="C798" t="s">
        <v>79</v>
      </c>
      <c r="D798" t="s">
        <v>80</v>
      </c>
      <c r="E798" t="s">
        <v>81</v>
      </c>
      <c r="F798" t="s">
        <v>160</v>
      </c>
      <c r="G798" t="s">
        <v>97</v>
      </c>
      <c r="H798" t="s">
        <v>98</v>
      </c>
      <c r="I798">
        <v>2</v>
      </c>
      <c r="J798" s="8">
        <v>37700</v>
      </c>
      <c r="K798">
        <v>10</v>
      </c>
      <c r="L798" t="s">
        <v>73</v>
      </c>
      <c r="M798" s="5">
        <f>Cleaned_Data[[#This Row],[Quantity]]*Cleaned_Data[[#This Row],[Unit_Price]]</f>
        <v>75400</v>
      </c>
      <c r="N798" s="7">
        <f>Cleaned_Data[[#This Row],[Total_sales]]*(Cleaned_Data[[#This Row],[Discount_Percent]]/100)</f>
        <v>7540</v>
      </c>
      <c r="O798" s="7">
        <f>Cleaned_Data[[#This Row],[Total_sales]]-Cleaned_Data[[#This Row],[Discount_Amount]]</f>
        <v>67860</v>
      </c>
      <c r="P798" t="str">
        <f>TEXT(Cleaned_Data[[#This Row],[Order_Date]],"MMM-YYYY")</f>
        <v>Jan-2023</v>
      </c>
      <c r="Q798" t="str">
        <f>"Q"&amp;ROUNDUP(MONTH(Cleaned_Data[[#This Row],[Order_Date]])/3,0)&amp;"-2023"</f>
        <v>Q1-2023</v>
      </c>
      <c r="R798" t="str">
        <f>TEXT(Cleaned_Data[[#This Row],[Order_Date]],"DDD")</f>
        <v>Wed</v>
      </c>
      <c r="S798" t="str">
        <f>IF(Cleaned_Data[[#This Row],[Net_Sales]]&gt;=100000,"High",IF(Cleaned_Data[[#This Row],[Net_Sales]]&gt;=50000,"Medium","Low"))</f>
        <v>Medium</v>
      </c>
    </row>
    <row r="799" spans="1:19" x14ac:dyDescent="0.3">
      <c r="A799" t="s">
        <v>947</v>
      </c>
      <c r="B799" s="1">
        <v>44982</v>
      </c>
      <c r="C799" t="s">
        <v>75</v>
      </c>
      <c r="D799" t="s">
        <v>76</v>
      </c>
      <c r="E799" t="s">
        <v>37</v>
      </c>
      <c r="F799" t="s">
        <v>38</v>
      </c>
      <c r="G799" t="s">
        <v>17</v>
      </c>
      <c r="H799" t="s">
        <v>18</v>
      </c>
      <c r="I799">
        <v>1</v>
      </c>
      <c r="J799" s="8">
        <v>34000</v>
      </c>
      <c r="K799">
        <v>15</v>
      </c>
      <c r="L799" t="s">
        <v>27</v>
      </c>
      <c r="M799" s="5">
        <f>Cleaned_Data[[#This Row],[Quantity]]*Cleaned_Data[[#This Row],[Unit_Price]]</f>
        <v>34000</v>
      </c>
      <c r="N799" s="7">
        <f>Cleaned_Data[[#This Row],[Total_sales]]*(Cleaned_Data[[#This Row],[Discount_Percent]]/100)</f>
        <v>5100</v>
      </c>
      <c r="O799" s="7">
        <f>Cleaned_Data[[#This Row],[Total_sales]]-Cleaned_Data[[#This Row],[Discount_Amount]]</f>
        <v>28900</v>
      </c>
      <c r="P799" t="str">
        <f>TEXT(Cleaned_Data[[#This Row],[Order_Date]],"MMM-YYYY")</f>
        <v>Feb-2023</v>
      </c>
      <c r="Q799" t="str">
        <f>"Q"&amp;ROUNDUP(MONTH(Cleaned_Data[[#This Row],[Order_Date]])/3,0)&amp;"-2023"</f>
        <v>Q1-2023</v>
      </c>
      <c r="R799" t="str">
        <f>TEXT(Cleaned_Data[[#This Row],[Order_Date]],"DDD")</f>
        <v>Sat</v>
      </c>
      <c r="S799" t="str">
        <f>IF(Cleaned_Data[[#This Row],[Net_Sales]]&gt;=100000,"High",IF(Cleaned_Data[[#This Row],[Net_Sales]]&gt;=50000,"Medium","Low"))</f>
        <v>Low</v>
      </c>
    </row>
    <row r="800" spans="1:19" x14ac:dyDescent="0.3">
      <c r="A800" t="s">
        <v>948</v>
      </c>
      <c r="B800" s="1">
        <v>44982</v>
      </c>
      <c r="C800" t="s">
        <v>84</v>
      </c>
      <c r="D800" t="s">
        <v>85</v>
      </c>
      <c r="E800" t="s">
        <v>66</v>
      </c>
      <c r="F800" t="s">
        <v>87</v>
      </c>
      <c r="G800" t="s">
        <v>17</v>
      </c>
      <c r="H800" t="s">
        <v>168</v>
      </c>
      <c r="I800">
        <v>1</v>
      </c>
      <c r="J800" s="8">
        <v>45100</v>
      </c>
      <c r="K800">
        <v>25</v>
      </c>
      <c r="L800" t="s">
        <v>62</v>
      </c>
      <c r="M800" s="5">
        <f>Cleaned_Data[[#This Row],[Quantity]]*Cleaned_Data[[#This Row],[Unit_Price]]</f>
        <v>45100</v>
      </c>
      <c r="N800" s="7">
        <f>Cleaned_Data[[#This Row],[Total_sales]]*(Cleaned_Data[[#This Row],[Discount_Percent]]/100)</f>
        <v>11275</v>
      </c>
      <c r="O800" s="7">
        <f>Cleaned_Data[[#This Row],[Total_sales]]-Cleaned_Data[[#This Row],[Discount_Amount]]</f>
        <v>33825</v>
      </c>
      <c r="P800" t="str">
        <f>TEXT(Cleaned_Data[[#This Row],[Order_Date]],"MMM-YYYY")</f>
        <v>Feb-2023</v>
      </c>
      <c r="Q800" t="str">
        <f>"Q"&amp;ROUNDUP(MONTH(Cleaned_Data[[#This Row],[Order_Date]])/3,0)&amp;"-2023"</f>
        <v>Q1-2023</v>
      </c>
      <c r="R800" t="str">
        <f>TEXT(Cleaned_Data[[#This Row],[Order_Date]],"DDD")</f>
        <v>Sat</v>
      </c>
      <c r="S800" t="str">
        <f>IF(Cleaned_Data[[#This Row],[Net_Sales]]&gt;=100000,"High",IF(Cleaned_Data[[#This Row],[Net_Sales]]&gt;=50000,"Medium","Low"))</f>
        <v>Low</v>
      </c>
    </row>
    <row r="801" spans="1:19" x14ac:dyDescent="0.3">
      <c r="A801" t="s">
        <v>949</v>
      </c>
      <c r="B801" s="1">
        <v>45010</v>
      </c>
      <c r="C801" t="s">
        <v>130</v>
      </c>
      <c r="D801" t="s">
        <v>53</v>
      </c>
      <c r="E801" t="s">
        <v>66</v>
      </c>
      <c r="F801" t="s">
        <v>72</v>
      </c>
      <c r="G801" t="s">
        <v>17</v>
      </c>
      <c r="H801" t="s">
        <v>18</v>
      </c>
      <c r="I801">
        <v>1</v>
      </c>
      <c r="J801" s="8">
        <v>48800</v>
      </c>
      <c r="K801">
        <v>25</v>
      </c>
      <c r="L801" t="s">
        <v>62</v>
      </c>
      <c r="M801" s="5">
        <f>Cleaned_Data[[#This Row],[Quantity]]*Cleaned_Data[[#This Row],[Unit_Price]]</f>
        <v>48800</v>
      </c>
      <c r="N801" s="7">
        <f>Cleaned_Data[[#This Row],[Total_sales]]*(Cleaned_Data[[#This Row],[Discount_Percent]]/100)</f>
        <v>12200</v>
      </c>
      <c r="O801" s="7">
        <f>Cleaned_Data[[#This Row],[Total_sales]]-Cleaned_Data[[#This Row],[Discount_Amount]]</f>
        <v>36600</v>
      </c>
      <c r="P801" t="str">
        <f>TEXT(Cleaned_Data[[#This Row],[Order_Date]],"MMM-YYYY")</f>
        <v>Mar-2023</v>
      </c>
      <c r="Q801" t="str">
        <f>"Q"&amp;ROUNDUP(MONTH(Cleaned_Data[[#This Row],[Order_Date]])/3,0)&amp;"-2023"</f>
        <v>Q1-2023</v>
      </c>
      <c r="R801" t="str">
        <f>TEXT(Cleaned_Data[[#This Row],[Order_Date]],"DDD")</f>
        <v>Sat</v>
      </c>
      <c r="S801" t="str">
        <f>IF(Cleaned_Data[[#This Row],[Net_Sales]]&gt;=100000,"High",IF(Cleaned_Data[[#This Row],[Net_Sales]]&gt;=50000,"Medium","Low"))</f>
        <v>Low</v>
      </c>
    </row>
    <row r="802" spans="1:19" x14ac:dyDescent="0.3">
      <c r="A802" t="s">
        <v>950</v>
      </c>
      <c r="B802" s="1">
        <v>45010</v>
      </c>
      <c r="C802" t="s">
        <v>188</v>
      </c>
      <c r="D802" t="s">
        <v>189</v>
      </c>
      <c r="E802" t="s">
        <v>37</v>
      </c>
      <c r="F802" t="s">
        <v>38</v>
      </c>
      <c r="G802" t="s">
        <v>25</v>
      </c>
      <c r="H802" t="s">
        <v>26</v>
      </c>
      <c r="I802">
        <v>2</v>
      </c>
      <c r="J802" s="8">
        <v>1400</v>
      </c>
      <c r="K802">
        <v>10</v>
      </c>
      <c r="L802" t="s">
        <v>33</v>
      </c>
      <c r="M802" s="5">
        <f>Cleaned_Data[[#This Row],[Quantity]]*Cleaned_Data[[#This Row],[Unit_Price]]</f>
        <v>2800</v>
      </c>
      <c r="N802" s="7">
        <f>Cleaned_Data[[#This Row],[Total_sales]]*(Cleaned_Data[[#This Row],[Discount_Percent]]/100)</f>
        <v>280</v>
      </c>
      <c r="O802" s="7">
        <f>Cleaned_Data[[#This Row],[Total_sales]]-Cleaned_Data[[#This Row],[Discount_Amount]]</f>
        <v>2520</v>
      </c>
      <c r="P802" t="str">
        <f>TEXT(Cleaned_Data[[#This Row],[Order_Date]],"MMM-YYYY")</f>
        <v>Mar-2023</v>
      </c>
      <c r="Q802" t="str">
        <f>"Q"&amp;ROUNDUP(MONTH(Cleaned_Data[[#This Row],[Order_Date]])/3,0)&amp;"-2023"</f>
        <v>Q1-2023</v>
      </c>
      <c r="R802" t="str">
        <f>TEXT(Cleaned_Data[[#This Row],[Order_Date]],"DDD")</f>
        <v>Sat</v>
      </c>
      <c r="S802" t="str">
        <f>IF(Cleaned_Data[[#This Row],[Net_Sales]]&gt;=100000,"High",IF(Cleaned_Data[[#This Row],[Net_Sales]]&gt;=50000,"Medium","Low"))</f>
        <v>Low</v>
      </c>
    </row>
    <row r="803" spans="1:19" x14ac:dyDescent="0.3">
      <c r="A803" t="s">
        <v>951</v>
      </c>
      <c r="B803" s="1">
        <v>45041</v>
      </c>
      <c r="C803" t="s">
        <v>95</v>
      </c>
      <c r="D803" t="s">
        <v>96</v>
      </c>
      <c r="E803" t="s">
        <v>37</v>
      </c>
      <c r="F803" t="s">
        <v>61</v>
      </c>
      <c r="G803" t="s">
        <v>45</v>
      </c>
      <c r="H803" t="s">
        <v>156</v>
      </c>
      <c r="I803">
        <v>1</v>
      </c>
      <c r="J803" s="8">
        <v>48900</v>
      </c>
      <c r="K803">
        <v>0</v>
      </c>
      <c r="L803" t="s">
        <v>53</v>
      </c>
      <c r="M803" s="5">
        <f>Cleaned_Data[[#This Row],[Quantity]]*Cleaned_Data[[#This Row],[Unit_Price]]</f>
        <v>48900</v>
      </c>
      <c r="N803" s="7">
        <f>Cleaned_Data[[#This Row],[Total_sales]]*(Cleaned_Data[[#This Row],[Discount_Percent]]/100)</f>
        <v>0</v>
      </c>
      <c r="O803" s="7">
        <f>Cleaned_Data[[#This Row],[Total_sales]]-Cleaned_Data[[#This Row],[Discount_Amount]]</f>
        <v>48900</v>
      </c>
      <c r="P803" t="str">
        <f>TEXT(Cleaned_Data[[#This Row],[Order_Date]],"MMM-YYYY")</f>
        <v>Apr-2023</v>
      </c>
      <c r="Q803" t="str">
        <f>"Q"&amp;ROUNDUP(MONTH(Cleaned_Data[[#This Row],[Order_Date]])/3,0)&amp;"-2023"</f>
        <v>Q2-2023</v>
      </c>
      <c r="R803" t="str">
        <f>TEXT(Cleaned_Data[[#This Row],[Order_Date]],"DDD")</f>
        <v>Tue</v>
      </c>
      <c r="S803" t="str">
        <f>IF(Cleaned_Data[[#This Row],[Net_Sales]]&gt;=100000,"High",IF(Cleaned_Data[[#This Row],[Net_Sales]]&gt;=50000,"Medium","Low"))</f>
        <v>Low</v>
      </c>
    </row>
    <row r="804" spans="1:19" x14ac:dyDescent="0.3">
      <c r="A804" t="s">
        <v>952</v>
      </c>
      <c r="B804" s="1">
        <v>45041</v>
      </c>
      <c r="C804" t="s">
        <v>115</v>
      </c>
      <c r="D804" t="s">
        <v>116</v>
      </c>
      <c r="E804" t="s">
        <v>23</v>
      </c>
      <c r="F804" t="s">
        <v>24</v>
      </c>
      <c r="G804" t="s">
        <v>45</v>
      </c>
      <c r="H804" t="s">
        <v>156</v>
      </c>
      <c r="I804">
        <v>1</v>
      </c>
      <c r="J804" s="8">
        <v>20000</v>
      </c>
      <c r="K804">
        <v>20</v>
      </c>
      <c r="L804" t="s">
        <v>27</v>
      </c>
      <c r="M804" s="5">
        <f>Cleaned_Data[[#This Row],[Quantity]]*Cleaned_Data[[#This Row],[Unit_Price]]</f>
        <v>20000</v>
      </c>
      <c r="N804" s="7">
        <f>Cleaned_Data[[#This Row],[Total_sales]]*(Cleaned_Data[[#This Row],[Discount_Percent]]/100)</f>
        <v>4000</v>
      </c>
      <c r="O804" s="7">
        <f>Cleaned_Data[[#This Row],[Total_sales]]-Cleaned_Data[[#This Row],[Discount_Amount]]</f>
        <v>16000</v>
      </c>
      <c r="P804" t="str">
        <f>TEXT(Cleaned_Data[[#This Row],[Order_Date]],"MMM-YYYY")</f>
        <v>Apr-2023</v>
      </c>
      <c r="Q804" t="str">
        <f>"Q"&amp;ROUNDUP(MONTH(Cleaned_Data[[#This Row],[Order_Date]])/3,0)&amp;"-2023"</f>
        <v>Q2-2023</v>
      </c>
      <c r="R804" t="str">
        <f>TEXT(Cleaned_Data[[#This Row],[Order_Date]],"DDD")</f>
        <v>Tue</v>
      </c>
      <c r="S804" t="str">
        <f>IF(Cleaned_Data[[#This Row],[Net_Sales]]&gt;=100000,"High",IF(Cleaned_Data[[#This Row],[Net_Sales]]&gt;=50000,"Medium","Low"))</f>
        <v>Low</v>
      </c>
    </row>
    <row r="805" spans="1:19" x14ac:dyDescent="0.3">
      <c r="A805" t="s">
        <v>953</v>
      </c>
      <c r="B805" s="1">
        <v>45071</v>
      </c>
      <c r="C805" t="s">
        <v>115</v>
      </c>
      <c r="D805" t="s">
        <v>116</v>
      </c>
      <c r="E805" t="s">
        <v>66</v>
      </c>
      <c r="F805" t="s">
        <v>72</v>
      </c>
      <c r="G805" t="s">
        <v>45</v>
      </c>
      <c r="H805" t="s">
        <v>207</v>
      </c>
      <c r="I805">
        <v>1</v>
      </c>
      <c r="J805" s="8">
        <v>46100</v>
      </c>
      <c r="K805">
        <v>0</v>
      </c>
      <c r="L805" t="s">
        <v>62</v>
      </c>
      <c r="M805" s="5">
        <f>Cleaned_Data[[#This Row],[Quantity]]*Cleaned_Data[[#This Row],[Unit_Price]]</f>
        <v>46100</v>
      </c>
      <c r="N805" s="7">
        <f>Cleaned_Data[[#This Row],[Total_sales]]*(Cleaned_Data[[#This Row],[Discount_Percent]]/100)</f>
        <v>0</v>
      </c>
      <c r="O805" s="7">
        <f>Cleaned_Data[[#This Row],[Total_sales]]-Cleaned_Data[[#This Row],[Discount_Amount]]</f>
        <v>46100</v>
      </c>
      <c r="P805" t="str">
        <f>TEXT(Cleaned_Data[[#This Row],[Order_Date]],"MMM-YYYY")</f>
        <v>May-2023</v>
      </c>
      <c r="Q805" t="str">
        <f>"Q"&amp;ROUNDUP(MONTH(Cleaned_Data[[#This Row],[Order_Date]])/3,0)&amp;"-2023"</f>
        <v>Q2-2023</v>
      </c>
      <c r="R805" t="str">
        <f>TEXT(Cleaned_Data[[#This Row],[Order_Date]],"DDD")</f>
        <v>Thu</v>
      </c>
      <c r="S805" t="str">
        <f>IF(Cleaned_Data[[#This Row],[Net_Sales]]&gt;=100000,"High",IF(Cleaned_Data[[#This Row],[Net_Sales]]&gt;=50000,"Medium","Low"))</f>
        <v>Low</v>
      </c>
    </row>
    <row r="806" spans="1:19" x14ac:dyDescent="0.3">
      <c r="A806" t="s">
        <v>954</v>
      </c>
      <c r="B806" s="1">
        <v>45071</v>
      </c>
      <c r="C806" t="s">
        <v>29</v>
      </c>
      <c r="D806" t="s">
        <v>30</v>
      </c>
      <c r="E806" t="s">
        <v>23</v>
      </c>
      <c r="F806" t="s">
        <v>24</v>
      </c>
      <c r="G806" t="s">
        <v>25</v>
      </c>
      <c r="H806" t="s">
        <v>32</v>
      </c>
      <c r="I806">
        <v>1</v>
      </c>
      <c r="J806" s="8">
        <v>1600</v>
      </c>
      <c r="K806">
        <v>25</v>
      </c>
      <c r="L806" t="s">
        <v>47</v>
      </c>
      <c r="M806" s="5">
        <f>Cleaned_Data[[#This Row],[Quantity]]*Cleaned_Data[[#This Row],[Unit_Price]]</f>
        <v>1600</v>
      </c>
      <c r="N806" s="7">
        <f>Cleaned_Data[[#This Row],[Total_sales]]*(Cleaned_Data[[#This Row],[Discount_Percent]]/100)</f>
        <v>400</v>
      </c>
      <c r="O806" s="7">
        <f>Cleaned_Data[[#This Row],[Total_sales]]-Cleaned_Data[[#This Row],[Discount_Amount]]</f>
        <v>1200</v>
      </c>
      <c r="P806" t="str">
        <f>TEXT(Cleaned_Data[[#This Row],[Order_Date]],"MMM-YYYY")</f>
        <v>May-2023</v>
      </c>
      <c r="Q806" t="str">
        <f>"Q"&amp;ROUNDUP(MONTH(Cleaned_Data[[#This Row],[Order_Date]])/3,0)&amp;"-2023"</f>
        <v>Q2-2023</v>
      </c>
      <c r="R806" t="str">
        <f>TEXT(Cleaned_Data[[#This Row],[Order_Date]],"DDD")</f>
        <v>Thu</v>
      </c>
      <c r="S806" t="str">
        <f>IF(Cleaned_Data[[#This Row],[Net_Sales]]&gt;=100000,"High",IF(Cleaned_Data[[#This Row],[Net_Sales]]&gt;=50000,"Medium","Low"))</f>
        <v>Low</v>
      </c>
    </row>
    <row r="807" spans="1:19" x14ac:dyDescent="0.3">
      <c r="A807" t="s">
        <v>955</v>
      </c>
      <c r="B807" s="1">
        <v>45102</v>
      </c>
      <c r="C807" t="s">
        <v>244</v>
      </c>
      <c r="D807" t="s">
        <v>245</v>
      </c>
      <c r="E807" t="s">
        <v>37</v>
      </c>
      <c r="F807" t="s">
        <v>141</v>
      </c>
      <c r="G807" t="s">
        <v>45</v>
      </c>
      <c r="H807" t="s">
        <v>52</v>
      </c>
      <c r="I807">
        <v>1</v>
      </c>
      <c r="J807" s="8">
        <v>38400</v>
      </c>
      <c r="K807">
        <v>0</v>
      </c>
      <c r="L807" t="s">
        <v>62</v>
      </c>
      <c r="M807" s="5">
        <f>Cleaned_Data[[#This Row],[Quantity]]*Cleaned_Data[[#This Row],[Unit_Price]]</f>
        <v>38400</v>
      </c>
      <c r="N807" s="7">
        <f>Cleaned_Data[[#This Row],[Total_sales]]*(Cleaned_Data[[#This Row],[Discount_Percent]]/100)</f>
        <v>0</v>
      </c>
      <c r="O807" s="7">
        <f>Cleaned_Data[[#This Row],[Total_sales]]-Cleaned_Data[[#This Row],[Discount_Amount]]</f>
        <v>38400</v>
      </c>
      <c r="P807" t="str">
        <f>TEXT(Cleaned_Data[[#This Row],[Order_Date]],"MMM-YYYY")</f>
        <v>Jun-2023</v>
      </c>
      <c r="Q807" t="str">
        <f>"Q"&amp;ROUNDUP(MONTH(Cleaned_Data[[#This Row],[Order_Date]])/3,0)&amp;"-2023"</f>
        <v>Q2-2023</v>
      </c>
      <c r="R807" t="str">
        <f>TEXT(Cleaned_Data[[#This Row],[Order_Date]],"DDD")</f>
        <v>Sun</v>
      </c>
      <c r="S807" t="str">
        <f>IF(Cleaned_Data[[#This Row],[Net_Sales]]&gt;=100000,"High",IF(Cleaned_Data[[#This Row],[Net_Sales]]&gt;=50000,"Medium","Low"))</f>
        <v>Low</v>
      </c>
    </row>
    <row r="808" spans="1:19" x14ac:dyDescent="0.3">
      <c r="A808" t="s">
        <v>956</v>
      </c>
      <c r="B808" s="1">
        <v>45163</v>
      </c>
      <c r="C808" t="s">
        <v>232</v>
      </c>
      <c r="D808" t="s">
        <v>233</v>
      </c>
      <c r="E808" t="s">
        <v>23</v>
      </c>
      <c r="F808" t="s">
        <v>51</v>
      </c>
      <c r="G808" t="s">
        <v>25</v>
      </c>
      <c r="H808" t="s">
        <v>124</v>
      </c>
      <c r="I808">
        <v>2</v>
      </c>
      <c r="J808" s="8">
        <v>2200</v>
      </c>
      <c r="K808">
        <v>20</v>
      </c>
      <c r="L808" t="s">
        <v>27</v>
      </c>
      <c r="M808" s="5">
        <f>Cleaned_Data[[#This Row],[Quantity]]*Cleaned_Data[[#This Row],[Unit_Price]]</f>
        <v>4400</v>
      </c>
      <c r="N808" s="7">
        <f>Cleaned_Data[[#This Row],[Total_sales]]*(Cleaned_Data[[#This Row],[Discount_Percent]]/100)</f>
        <v>880</v>
      </c>
      <c r="O808" s="7">
        <f>Cleaned_Data[[#This Row],[Total_sales]]-Cleaned_Data[[#This Row],[Discount_Amount]]</f>
        <v>3520</v>
      </c>
      <c r="P808" t="str">
        <f>TEXT(Cleaned_Data[[#This Row],[Order_Date]],"MMM-YYYY")</f>
        <v>Aug-2023</v>
      </c>
      <c r="Q808" t="str">
        <f>"Q"&amp;ROUNDUP(MONTH(Cleaned_Data[[#This Row],[Order_Date]])/3,0)&amp;"-2023"</f>
        <v>Q3-2023</v>
      </c>
      <c r="R808" t="str">
        <f>TEXT(Cleaned_Data[[#This Row],[Order_Date]],"DDD")</f>
        <v>Fri</v>
      </c>
      <c r="S808" t="str">
        <f>IF(Cleaned_Data[[#This Row],[Net_Sales]]&gt;=100000,"High",IF(Cleaned_Data[[#This Row],[Net_Sales]]&gt;=50000,"Medium","Low"))</f>
        <v>Low</v>
      </c>
    </row>
    <row r="809" spans="1:19" x14ac:dyDescent="0.3">
      <c r="A809" t="s">
        <v>957</v>
      </c>
      <c r="B809" s="1">
        <v>45163</v>
      </c>
      <c r="C809" t="s">
        <v>70</v>
      </c>
      <c r="D809" t="s">
        <v>71</v>
      </c>
      <c r="E809" t="s">
        <v>66</v>
      </c>
      <c r="F809" t="s">
        <v>67</v>
      </c>
      <c r="G809" t="s">
        <v>39</v>
      </c>
      <c r="H809" t="s">
        <v>40</v>
      </c>
      <c r="I809">
        <v>1</v>
      </c>
      <c r="J809" s="8">
        <v>20000</v>
      </c>
      <c r="K809">
        <v>25</v>
      </c>
      <c r="L809" t="s">
        <v>103</v>
      </c>
      <c r="M809" s="5">
        <f>Cleaned_Data[[#This Row],[Quantity]]*Cleaned_Data[[#This Row],[Unit_Price]]</f>
        <v>20000</v>
      </c>
      <c r="N809" s="7">
        <f>Cleaned_Data[[#This Row],[Total_sales]]*(Cleaned_Data[[#This Row],[Discount_Percent]]/100)</f>
        <v>5000</v>
      </c>
      <c r="O809" s="7">
        <f>Cleaned_Data[[#This Row],[Total_sales]]-Cleaned_Data[[#This Row],[Discount_Amount]]</f>
        <v>15000</v>
      </c>
      <c r="P809" t="str">
        <f>TEXT(Cleaned_Data[[#This Row],[Order_Date]],"MMM-YYYY")</f>
        <v>Aug-2023</v>
      </c>
      <c r="Q809" t="str">
        <f>"Q"&amp;ROUNDUP(MONTH(Cleaned_Data[[#This Row],[Order_Date]])/3,0)&amp;"-2023"</f>
        <v>Q3-2023</v>
      </c>
      <c r="R809" t="str">
        <f>TEXT(Cleaned_Data[[#This Row],[Order_Date]],"DDD")</f>
        <v>Fri</v>
      </c>
      <c r="S809" t="str">
        <f>IF(Cleaned_Data[[#This Row],[Net_Sales]]&gt;=100000,"High",IF(Cleaned_Data[[#This Row],[Net_Sales]]&gt;=50000,"Medium","Low"))</f>
        <v>Low</v>
      </c>
    </row>
    <row r="810" spans="1:19" x14ac:dyDescent="0.3">
      <c r="A810" t="s">
        <v>958</v>
      </c>
      <c r="B810" s="1">
        <v>45163</v>
      </c>
      <c r="C810" t="s">
        <v>183</v>
      </c>
      <c r="D810" t="s">
        <v>27</v>
      </c>
      <c r="E810" t="s">
        <v>37</v>
      </c>
      <c r="F810" t="s">
        <v>61</v>
      </c>
      <c r="G810" t="s">
        <v>45</v>
      </c>
      <c r="H810" t="s">
        <v>46</v>
      </c>
      <c r="I810">
        <v>1</v>
      </c>
      <c r="J810" s="8">
        <v>27800</v>
      </c>
      <c r="K810">
        <v>20</v>
      </c>
      <c r="L810" t="s">
        <v>27</v>
      </c>
      <c r="M810" s="5">
        <f>Cleaned_Data[[#This Row],[Quantity]]*Cleaned_Data[[#This Row],[Unit_Price]]</f>
        <v>27800</v>
      </c>
      <c r="N810" s="7">
        <f>Cleaned_Data[[#This Row],[Total_sales]]*(Cleaned_Data[[#This Row],[Discount_Percent]]/100)</f>
        <v>5560</v>
      </c>
      <c r="O810" s="7">
        <f>Cleaned_Data[[#This Row],[Total_sales]]-Cleaned_Data[[#This Row],[Discount_Amount]]</f>
        <v>22240</v>
      </c>
      <c r="P810" t="str">
        <f>TEXT(Cleaned_Data[[#This Row],[Order_Date]],"MMM-YYYY")</f>
        <v>Aug-2023</v>
      </c>
      <c r="Q810" t="str">
        <f>"Q"&amp;ROUNDUP(MONTH(Cleaned_Data[[#This Row],[Order_Date]])/3,0)&amp;"-2023"</f>
        <v>Q3-2023</v>
      </c>
      <c r="R810" t="str">
        <f>TEXT(Cleaned_Data[[#This Row],[Order_Date]],"DDD")</f>
        <v>Fri</v>
      </c>
      <c r="S810" t="str">
        <f>IF(Cleaned_Data[[#This Row],[Net_Sales]]&gt;=100000,"High",IF(Cleaned_Data[[#This Row],[Net_Sales]]&gt;=50000,"Medium","Low"))</f>
        <v>Low</v>
      </c>
    </row>
    <row r="811" spans="1:19" x14ac:dyDescent="0.3">
      <c r="A811" t="s">
        <v>959</v>
      </c>
      <c r="B811" s="1">
        <v>45194</v>
      </c>
      <c r="C811" t="s">
        <v>232</v>
      </c>
      <c r="D811" t="s">
        <v>233</v>
      </c>
      <c r="E811" t="s">
        <v>81</v>
      </c>
      <c r="F811" t="s">
        <v>110</v>
      </c>
      <c r="G811" t="s">
        <v>25</v>
      </c>
      <c r="H811" t="s">
        <v>212</v>
      </c>
      <c r="I811">
        <v>2</v>
      </c>
      <c r="J811" s="8">
        <v>2000</v>
      </c>
      <c r="K811">
        <v>25</v>
      </c>
      <c r="L811" t="s">
        <v>53</v>
      </c>
      <c r="M811" s="5">
        <f>Cleaned_Data[[#This Row],[Quantity]]*Cleaned_Data[[#This Row],[Unit_Price]]</f>
        <v>4000</v>
      </c>
      <c r="N811" s="7">
        <f>Cleaned_Data[[#This Row],[Total_sales]]*(Cleaned_Data[[#This Row],[Discount_Percent]]/100)</f>
        <v>1000</v>
      </c>
      <c r="O811" s="7">
        <f>Cleaned_Data[[#This Row],[Total_sales]]-Cleaned_Data[[#This Row],[Discount_Amount]]</f>
        <v>3000</v>
      </c>
      <c r="P811" t="str">
        <f>TEXT(Cleaned_Data[[#This Row],[Order_Date]],"MMM-YYYY")</f>
        <v>Sep-2023</v>
      </c>
      <c r="Q811" t="str">
        <f>"Q"&amp;ROUNDUP(MONTH(Cleaned_Data[[#This Row],[Order_Date]])/3,0)&amp;"-2023"</f>
        <v>Q3-2023</v>
      </c>
      <c r="R811" t="str">
        <f>TEXT(Cleaned_Data[[#This Row],[Order_Date]],"DDD")</f>
        <v>Mon</v>
      </c>
      <c r="S811" t="str">
        <f>IF(Cleaned_Data[[#This Row],[Net_Sales]]&gt;=100000,"High",IF(Cleaned_Data[[#This Row],[Net_Sales]]&gt;=50000,"Medium","Low"))</f>
        <v>Low</v>
      </c>
    </row>
    <row r="812" spans="1:19" x14ac:dyDescent="0.3">
      <c r="A812" t="s">
        <v>960</v>
      </c>
      <c r="B812" s="1">
        <v>45194</v>
      </c>
      <c r="C812" t="s">
        <v>176</v>
      </c>
      <c r="D812" t="s">
        <v>177</v>
      </c>
      <c r="E812" t="s">
        <v>37</v>
      </c>
      <c r="F812" t="s">
        <v>61</v>
      </c>
      <c r="G812" t="s">
        <v>25</v>
      </c>
      <c r="H812" t="s">
        <v>124</v>
      </c>
      <c r="I812">
        <v>3</v>
      </c>
      <c r="J812" s="8">
        <v>2200</v>
      </c>
      <c r="K812">
        <v>0</v>
      </c>
      <c r="L812" t="s">
        <v>73</v>
      </c>
      <c r="M812" s="5">
        <f>Cleaned_Data[[#This Row],[Quantity]]*Cleaned_Data[[#This Row],[Unit_Price]]</f>
        <v>6600</v>
      </c>
      <c r="N812" s="7">
        <f>Cleaned_Data[[#This Row],[Total_sales]]*(Cleaned_Data[[#This Row],[Discount_Percent]]/100)</f>
        <v>0</v>
      </c>
      <c r="O812" s="7">
        <f>Cleaned_Data[[#This Row],[Total_sales]]-Cleaned_Data[[#This Row],[Discount_Amount]]</f>
        <v>6600</v>
      </c>
      <c r="P812" t="str">
        <f>TEXT(Cleaned_Data[[#This Row],[Order_Date]],"MMM-YYYY")</f>
        <v>Sep-2023</v>
      </c>
      <c r="Q812" t="str">
        <f>"Q"&amp;ROUNDUP(MONTH(Cleaned_Data[[#This Row],[Order_Date]])/3,0)&amp;"-2023"</f>
        <v>Q3-2023</v>
      </c>
      <c r="R812" t="str">
        <f>TEXT(Cleaned_Data[[#This Row],[Order_Date]],"DDD")</f>
        <v>Mon</v>
      </c>
      <c r="S812" t="str">
        <f>IF(Cleaned_Data[[#This Row],[Net_Sales]]&gt;=100000,"High",IF(Cleaned_Data[[#This Row],[Net_Sales]]&gt;=50000,"Medium","Low"))</f>
        <v>Low</v>
      </c>
    </row>
    <row r="813" spans="1:19" x14ac:dyDescent="0.3">
      <c r="A813" t="s">
        <v>961</v>
      </c>
      <c r="B813" s="1">
        <v>45224</v>
      </c>
      <c r="C813" t="s">
        <v>244</v>
      </c>
      <c r="D813" t="s">
        <v>245</v>
      </c>
      <c r="E813" t="s">
        <v>23</v>
      </c>
      <c r="F813" t="s">
        <v>31</v>
      </c>
      <c r="G813" t="s">
        <v>45</v>
      </c>
      <c r="H813" t="s">
        <v>52</v>
      </c>
      <c r="I813">
        <v>1</v>
      </c>
      <c r="J813" s="8">
        <v>24700</v>
      </c>
      <c r="K813">
        <v>0</v>
      </c>
      <c r="L813" t="s">
        <v>47</v>
      </c>
      <c r="M813" s="5">
        <f>Cleaned_Data[[#This Row],[Quantity]]*Cleaned_Data[[#This Row],[Unit_Price]]</f>
        <v>24700</v>
      </c>
      <c r="N813" s="7">
        <f>Cleaned_Data[[#This Row],[Total_sales]]*(Cleaned_Data[[#This Row],[Discount_Percent]]/100)</f>
        <v>0</v>
      </c>
      <c r="O813" s="7">
        <f>Cleaned_Data[[#This Row],[Total_sales]]-Cleaned_Data[[#This Row],[Discount_Amount]]</f>
        <v>24700</v>
      </c>
      <c r="P813" t="str">
        <f>TEXT(Cleaned_Data[[#This Row],[Order_Date]],"MMM-YYYY")</f>
        <v>Oct-2023</v>
      </c>
      <c r="Q813" t="str">
        <f>"Q"&amp;ROUNDUP(MONTH(Cleaned_Data[[#This Row],[Order_Date]])/3,0)&amp;"-2023"</f>
        <v>Q4-2023</v>
      </c>
      <c r="R813" t="str">
        <f>TEXT(Cleaned_Data[[#This Row],[Order_Date]],"DDD")</f>
        <v>Wed</v>
      </c>
      <c r="S813" t="str">
        <f>IF(Cleaned_Data[[#This Row],[Net_Sales]]&gt;=100000,"High",IF(Cleaned_Data[[#This Row],[Net_Sales]]&gt;=50000,"Medium","Low"))</f>
        <v>Low</v>
      </c>
    </row>
    <row r="814" spans="1:19" x14ac:dyDescent="0.3">
      <c r="A814" t="s">
        <v>962</v>
      </c>
      <c r="B814" s="1">
        <v>45224</v>
      </c>
      <c r="C814" t="s">
        <v>95</v>
      </c>
      <c r="D814" t="s">
        <v>96</v>
      </c>
      <c r="E814" t="s">
        <v>37</v>
      </c>
      <c r="F814" t="s">
        <v>61</v>
      </c>
      <c r="G814" t="s">
        <v>17</v>
      </c>
      <c r="H814" t="s">
        <v>18</v>
      </c>
      <c r="I814">
        <v>1</v>
      </c>
      <c r="J814" s="8">
        <v>43100</v>
      </c>
      <c r="K814">
        <v>15</v>
      </c>
      <c r="L814" t="s">
        <v>73</v>
      </c>
      <c r="M814" s="5">
        <f>Cleaned_Data[[#This Row],[Quantity]]*Cleaned_Data[[#This Row],[Unit_Price]]</f>
        <v>43100</v>
      </c>
      <c r="N814" s="7">
        <f>Cleaned_Data[[#This Row],[Total_sales]]*(Cleaned_Data[[#This Row],[Discount_Percent]]/100)</f>
        <v>6465</v>
      </c>
      <c r="O814" s="7">
        <f>Cleaned_Data[[#This Row],[Total_sales]]-Cleaned_Data[[#This Row],[Discount_Amount]]</f>
        <v>36635</v>
      </c>
      <c r="P814" t="str">
        <f>TEXT(Cleaned_Data[[#This Row],[Order_Date]],"MMM-YYYY")</f>
        <v>Oct-2023</v>
      </c>
      <c r="Q814" t="str">
        <f>"Q"&amp;ROUNDUP(MONTH(Cleaned_Data[[#This Row],[Order_Date]])/3,0)&amp;"-2023"</f>
        <v>Q4-2023</v>
      </c>
      <c r="R814" t="str">
        <f>TEXT(Cleaned_Data[[#This Row],[Order_Date]],"DDD")</f>
        <v>Wed</v>
      </c>
      <c r="S814" t="str">
        <f>IF(Cleaned_Data[[#This Row],[Net_Sales]]&gt;=100000,"High",IF(Cleaned_Data[[#This Row],[Net_Sales]]&gt;=50000,"Medium","Low"))</f>
        <v>Low</v>
      </c>
    </row>
    <row r="815" spans="1:19" x14ac:dyDescent="0.3">
      <c r="A815" t="s">
        <v>963</v>
      </c>
      <c r="B815" s="1">
        <v>45224</v>
      </c>
      <c r="C815" t="s">
        <v>183</v>
      </c>
      <c r="D815" t="s">
        <v>27</v>
      </c>
      <c r="E815" t="s">
        <v>66</v>
      </c>
      <c r="F815" t="s">
        <v>92</v>
      </c>
      <c r="G815" t="s">
        <v>45</v>
      </c>
      <c r="H815" t="s">
        <v>46</v>
      </c>
      <c r="I815">
        <v>1</v>
      </c>
      <c r="J815" s="8">
        <v>37700</v>
      </c>
      <c r="K815">
        <v>5</v>
      </c>
      <c r="L815" t="s">
        <v>47</v>
      </c>
      <c r="M815" s="5">
        <f>Cleaned_Data[[#This Row],[Quantity]]*Cleaned_Data[[#This Row],[Unit_Price]]</f>
        <v>37700</v>
      </c>
      <c r="N815" s="7">
        <f>Cleaned_Data[[#This Row],[Total_sales]]*(Cleaned_Data[[#This Row],[Discount_Percent]]/100)</f>
        <v>1885</v>
      </c>
      <c r="O815" s="7">
        <f>Cleaned_Data[[#This Row],[Total_sales]]-Cleaned_Data[[#This Row],[Discount_Amount]]</f>
        <v>35815</v>
      </c>
      <c r="P815" t="str">
        <f>TEXT(Cleaned_Data[[#This Row],[Order_Date]],"MMM-YYYY")</f>
        <v>Oct-2023</v>
      </c>
      <c r="Q815" t="str">
        <f>"Q"&amp;ROUNDUP(MONTH(Cleaned_Data[[#This Row],[Order_Date]])/3,0)&amp;"-2023"</f>
        <v>Q4-2023</v>
      </c>
      <c r="R815" t="str">
        <f>TEXT(Cleaned_Data[[#This Row],[Order_Date]],"DDD")</f>
        <v>Wed</v>
      </c>
      <c r="S815" t="str">
        <f>IF(Cleaned_Data[[#This Row],[Net_Sales]]&gt;=100000,"High",IF(Cleaned_Data[[#This Row],[Net_Sales]]&gt;=50000,"Medium","Low"))</f>
        <v>Low</v>
      </c>
    </row>
    <row r="816" spans="1:19" x14ac:dyDescent="0.3">
      <c r="A816" t="s">
        <v>964</v>
      </c>
      <c r="B816" s="1">
        <v>45255</v>
      </c>
      <c r="C816" t="s">
        <v>21</v>
      </c>
      <c r="D816" t="s">
        <v>22</v>
      </c>
      <c r="E816" t="s">
        <v>15</v>
      </c>
      <c r="F816" t="s">
        <v>16</v>
      </c>
      <c r="G816" t="s">
        <v>17</v>
      </c>
      <c r="H816" t="s">
        <v>18</v>
      </c>
      <c r="I816">
        <v>1</v>
      </c>
      <c r="J816" s="8">
        <v>52900</v>
      </c>
      <c r="K816">
        <v>10</v>
      </c>
      <c r="L816" t="s">
        <v>103</v>
      </c>
      <c r="M816" s="5">
        <f>Cleaned_Data[[#This Row],[Quantity]]*Cleaned_Data[[#This Row],[Unit_Price]]</f>
        <v>52900</v>
      </c>
      <c r="N816" s="7">
        <f>Cleaned_Data[[#This Row],[Total_sales]]*(Cleaned_Data[[#This Row],[Discount_Percent]]/100)</f>
        <v>5290</v>
      </c>
      <c r="O816" s="7">
        <f>Cleaned_Data[[#This Row],[Total_sales]]-Cleaned_Data[[#This Row],[Discount_Amount]]</f>
        <v>47610</v>
      </c>
      <c r="P816" t="str">
        <f>TEXT(Cleaned_Data[[#This Row],[Order_Date]],"MMM-YYYY")</f>
        <v>Nov-2023</v>
      </c>
      <c r="Q816" t="str">
        <f>"Q"&amp;ROUNDUP(MONTH(Cleaned_Data[[#This Row],[Order_Date]])/3,0)&amp;"-2023"</f>
        <v>Q4-2023</v>
      </c>
      <c r="R816" t="str">
        <f>TEXT(Cleaned_Data[[#This Row],[Order_Date]],"DDD")</f>
        <v>Sat</v>
      </c>
      <c r="S816" t="str">
        <f>IF(Cleaned_Data[[#This Row],[Net_Sales]]&gt;=100000,"High",IF(Cleaned_Data[[#This Row],[Net_Sales]]&gt;=50000,"Medium","Low"))</f>
        <v>Low</v>
      </c>
    </row>
    <row r="817" spans="1:19" x14ac:dyDescent="0.3">
      <c r="A817" t="s">
        <v>965</v>
      </c>
      <c r="B817" s="1">
        <v>45255</v>
      </c>
      <c r="C817" t="s">
        <v>163</v>
      </c>
      <c r="D817" t="s">
        <v>73</v>
      </c>
      <c r="E817" t="s">
        <v>15</v>
      </c>
      <c r="F817" t="s">
        <v>119</v>
      </c>
      <c r="G817" t="s">
        <v>39</v>
      </c>
      <c r="H817" t="s">
        <v>40</v>
      </c>
      <c r="I817">
        <v>1</v>
      </c>
      <c r="J817" s="8">
        <v>17500</v>
      </c>
      <c r="K817">
        <v>0</v>
      </c>
      <c r="L817" t="s">
        <v>47</v>
      </c>
      <c r="M817" s="5">
        <f>Cleaned_Data[[#This Row],[Quantity]]*Cleaned_Data[[#This Row],[Unit_Price]]</f>
        <v>17500</v>
      </c>
      <c r="N817" s="7">
        <f>Cleaned_Data[[#This Row],[Total_sales]]*(Cleaned_Data[[#This Row],[Discount_Percent]]/100)</f>
        <v>0</v>
      </c>
      <c r="O817" s="7">
        <f>Cleaned_Data[[#This Row],[Total_sales]]-Cleaned_Data[[#This Row],[Discount_Amount]]</f>
        <v>17500</v>
      </c>
      <c r="P817" t="str">
        <f>TEXT(Cleaned_Data[[#This Row],[Order_Date]],"MMM-YYYY")</f>
        <v>Nov-2023</v>
      </c>
      <c r="Q817" t="str">
        <f>"Q"&amp;ROUNDUP(MONTH(Cleaned_Data[[#This Row],[Order_Date]])/3,0)&amp;"-2023"</f>
        <v>Q4-2023</v>
      </c>
      <c r="R817" t="str">
        <f>TEXT(Cleaned_Data[[#This Row],[Order_Date]],"DDD")</f>
        <v>Sat</v>
      </c>
      <c r="S817" t="str">
        <f>IF(Cleaned_Data[[#This Row],[Net_Sales]]&gt;=100000,"High",IF(Cleaned_Data[[#This Row],[Net_Sales]]&gt;=50000,"Medium","Low"))</f>
        <v>Low</v>
      </c>
    </row>
    <row r="818" spans="1:19" x14ac:dyDescent="0.3">
      <c r="A818" t="s">
        <v>966</v>
      </c>
      <c r="B818" s="1">
        <v>45285</v>
      </c>
      <c r="C818" t="s">
        <v>143</v>
      </c>
      <c r="D818" t="s">
        <v>144</v>
      </c>
      <c r="E818" t="s">
        <v>23</v>
      </c>
      <c r="F818" t="s">
        <v>31</v>
      </c>
      <c r="G818" t="s">
        <v>39</v>
      </c>
      <c r="H818" t="s">
        <v>68</v>
      </c>
      <c r="I818">
        <v>1</v>
      </c>
      <c r="J818" s="8">
        <v>25200</v>
      </c>
      <c r="K818">
        <v>15</v>
      </c>
      <c r="L818" t="s">
        <v>47</v>
      </c>
      <c r="M818" s="5">
        <f>Cleaned_Data[[#This Row],[Quantity]]*Cleaned_Data[[#This Row],[Unit_Price]]</f>
        <v>25200</v>
      </c>
      <c r="N818" s="7">
        <f>Cleaned_Data[[#This Row],[Total_sales]]*(Cleaned_Data[[#This Row],[Discount_Percent]]/100)</f>
        <v>3780</v>
      </c>
      <c r="O818" s="7">
        <f>Cleaned_Data[[#This Row],[Total_sales]]-Cleaned_Data[[#This Row],[Discount_Amount]]</f>
        <v>21420</v>
      </c>
      <c r="P818" t="str">
        <f>TEXT(Cleaned_Data[[#This Row],[Order_Date]],"MMM-YYYY")</f>
        <v>Dec-2023</v>
      </c>
      <c r="Q818" t="str">
        <f>"Q"&amp;ROUNDUP(MONTH(Cleaned_Data[[#This Row],[Order_Date]])/3,0)&amp;"-2023"</f>
        <v>Q4-2023</v>
      </c>
      <c r="R818" t="str">
        <f>TEXT(Cleaned_Data[[#This Row],[Order_Date]],"DDD")</f>
        <v>Mon</v>
      </c>
      <c r="S818" t="str">
        <f>IF(Cleaned_Data[[#This Row],[Net_Sales]]&gt;=100000,"High",IF(Cleaned_Data[[#This Row],[Net_Sales]]&gt;=50000,"Medium","Low"))</f>
        <v>Low</v>
      </c>
    </row>
    <row r="819" spans="1:19" x14ac:dyDescent="0.3">
      <c r="A819" t="s">
        <v>967</v>
      </c>
      <c r="B819" s="1">
        <v>44952</v>
      </c>
      <c r="C819" t="s">
        <v>55</v>
      </c>
      <c r="D819" t="s">
        <v>56</v>
      </c>
      <c r="E819" t="s">
        <v>15</v>
      </c>
      <c r="F819" t="s">
        <v>128</v>
      </c>
      <c r="G819" t="s">
        <v>97</v>
      </c>
      <c r="H819" t="s">
        <v>133</v>
      </c>
      <c r="I819">
        <v>1</v>
      </c>
      <c r="J819" s="8">
        <v>51100</v>
      </c>
      <c r="K819">
        <v>0</v>
      </c>
      <c r="L819" t="s">
        <v>53</v>
      </c>
      <c r="M819" s="5">
        <f>Cleaned_Data[[#This Row],[Quantity]]*Cleaned_Data[[#This Row],[Unit_Price]]</f>
        <v>51100</v>
      </c>
      <c r="N819" s="7">
        <f>Cleaned_Data[[#This Row],[Total_sales]]*(Cleaned_Data[[#This Row],[Discount_Percent]]/100)</f>
        <v>0</v>
      </c>
      <c r="O819" s="7">
        <f>Cleaned_Data[[#This Row],[Total_sales]]-Cleaned_Data[[#This Row],[Discount_Amount]]</f>
        <v>51100</v>
      </c>
      <c r="P819" t="str">
        <f>TEXT(Cleaned_Data[[#This Row],[Order_Date]],"MMM-YYYY")</f>
        <v>Jan-2023</v>
      </c>
      <c r="Q819" t="str">
        <f>"Q"&amp;ROUNDUP(MONTH(Cleaned_Data[[#This Row],[Order_Date]])/3,0)&amp;"-2023"</f>
        <v>Q1-2023</v>
      </c>
      <c r="R819" t="str">
        <f>TEXT(Cleaned_Data[[#This Row],[Order_Date]],"DDD")</f>
        <v>Thu</v>
      </c>
      <c r="S819" t="str">
        <f>IF(Cleaned_Data[[#This Row],[Net_Sales]]&gt;=100000,"High",IF(Cleaned_Data[[#This Row],[Net_Sales]]&gt;=50000,"Medium","Low"))</f>
        <v>Medium</v>
      </c>
    </row>
    <row r="820" spans="1:19" x14ac:dyDescent="0.3">
      <c r="A820" t="s">
        <v>968</v>
      </c>
      <c r="B820" s="1">
        <v>44952</v>
      </c>
      <c r="C820" t="s">
        <v>59</v>
      </c>
      <c r="D820" t="s">
        <v>60</v>
      </c>
      <c r="E820" t="s">
        <v>15</v>
      </c>
      <c r="F820" t="s">
        <v>131</v>
      </c>
      <c r="G820" t="s">
        <v>97</v>
      </c>
      <c r="H820" t="s">
        <v>171</v>
      </c>
      <c r="I820">
        <v>1</v>
      </c>
      <c r="J820" s="8">
        <v>55400</v>
      </c>
      <c r="K820">
        <v>0</v>
      </c>
      <c r="L820" t="s">
        <v>73</v>
      </c>
      <c r="M820" s="5">
        <f>Cleaned_Data[[#This Row],[Quantity]]*Cleaned_Data[[#This Row],[Unit_Price]]</f>
        <v>55400</v>
      </c>
      <c r="N820" s="7">
        <f>Cleaned_Data[[#This Row],[Total_sales]]*(Cleaned_Data[[#This Row],[Discount_Percent]]/100)</f>
        <v>0</v>
      </c>
      <c r="O820" s="7">
        <f>Cleaned_Data[[#This Row],[Total_sales]]-Cleaned_Data[[#This Row],[Discount_Amount]]</f>
        <v>55400</v>
      </c>
      <c r="P820" t="str">
        <f>TEXT(Cleaned_Data[[#This Row],[Order_Date]],"MMM-YYYY")</f>
        <v>Jan-2023</v>
      </c>
      <c r="Q820" t="str">
        <f>"Q"&amp;ROUNDUP(MONTH(Cleaned_Data[[#This Row],[Order_Date]])/3,0)&amp;"-2023"</f>
        <v>Q1-2023</v>
      </c>
      <c r="R820" t="str">
        <f>TEXT(Cleaned_Data[[#This Row],[Order_Date]],"DDD")</f>
        <v>Thu</v>
      </c>
      <c r="S820" t="str">
        <f>IF(Cleaned_Data[[#This Row],[Net_Sales]]&gt;=100000,"High",IF(Cleaned_Data[[#This Row],[Net_Sales]]&gt;=50000,"Medium","Low"))</f>
        <v>Medium</v>
      </c>
    </row>
    <row r="821" spans="1:19" x14ac:dyDescent="0.3">
      <c r="A821" t="s">
        <v>969</v>
      </c>
      <c r="B821" s="1">
        <v>44952</v>
      </c>
      <c r="C821" t="s">
        <v>70</v>
      </c>
      <c r="D821" t="s">
        <v>71</v>
      </c>
      <c r="E821" t="s">
        <v>81</v>
      </c>
      <c r="F821" t="s">
        <v>110</v>
      </c>
      <c r="G821" t="s">
        <v>45</v>
      </c>
      <c r="H821" t="s">
        <v>46</v>
      </c>
      <c r="I821">
        <v>1</v>
      </c>
      <c r="J821" s="8">
        <v>25100</v>
      </c>
      <c r="K821">
        <v>15</v>
      </c>
      <c r="L821" t="s">
        <v>53</v>
      </c>
      <c r="M821" s="5">
        <f>Cleaned_Data[[#This Row],[Quantity]]*Cleaned_Data[[#This Row],[Unit_Price]]</f>
        <v>25100</v>
      </c>
      <c r="N821" s="7">
        <f>Cleaned_Data[[#This Row],[Total_sales]]*(Cleaned_Data[[#This Row],[Discount_Percent]]/100)</f>
        <v>3765</v>
      </c>
      <c r="O821" s="7">
        <f>Cleaned_Data[[#This Row],[Total_sales]]-Cleaned_Data[[#This Row],[Discount_Amount]]</f>
        <v>21335</v>
      </c>
      <c r="P821" t="str">
        <f>TEXT(Cleaned_Data[[#This Row],[Order_Date]],"MMM-YYYY")</f>
        <v>Jan-2023</v>
      </c>
      <c r="Q821" t="str">
        <f>"Q"&amp;ROUNDUP(MONTH(Cleaned_Data[[#This Row],[Order_Date]])/3,0)&amp;"-2023"</f>
        <v>Q1-2023</v>
      </c>
      <c r="R821" t="str">
        <f>TEXT(Cleaned_Data[[#This Row],[Order_Date]],"DDD")</f>
        <v>Thu</v>
      </c>
      <c r="S821" t="str">
        <f>IF(Cleaned_Data[[#This Row],[Net_Sales]]&gt;=100000,"High",IF(Cleaned_Data[[#This Row],[Net_Sales]]&gt;=50000,"Medium","Low"))</f>
        <v>Low</v>
      </c>
    </row>
    <row r="822" spans="1:19" x14ac:dyDescent="0.3">
      <c r="A822" t="s">
        <v>970</v>
      </c>
      <c r="B822" s="1">
        <v>44952</v>
      </c>
      <c r="C822" t="s">
        <v>236</v>
      </c>
      <c r="D822" t="s">
        <v>237</v>
      </c>
      <c r="E822" t="s">
        <v>37</v>
      </c>
      <c r="F822" t="s">
        <v>101</v>
      </c>
      <c r="G822" t="s">
        <v>25</v>
      </c>
      <c r="H822" t="s">
        <v>26</v>
      </c>
      <c r="I822">
        <v>1</v>
      </c>
      <c r="J822" s="8">
        <v>1600</v>
      </c>
      <c r="K822">
        <v>0</v>
      </c>
      <c r="L822" t="s">
        <v>103</v>
      </c>
      <c r="M822" s="5">
        <f>Cleaned_Data[[#This Row],[Quantity]]*Cleaned_Data[[#This Row],[Unit_Price]]</f>
        <v>1600</v>
      </c>
      <c r="N822" s="7">
        <f>Cleaned_Data[[#This Row],[Total_sales]]*(Cleaned_Data[[#This Row],[Discount_Percent]]/100)</f>
        <v>0</v>
      </c>
      <c r="O822" s="7">
        <f>Cleaned_Data[[#This Row],[Total_sales]]-Cleaned_Data[[#This Row],[Discount_Amount]]</f>
        <v>1600</v>
      </c>
      <c r="P822" t="str">
        <f>TEXT(Cleaned_Data[[#This Row],[Order_Date]],"MMM-YYYY")</f>
        <v>Jan-2023</v>
      </c>
      <c r="Q822" t="str">
        <f>"Q"&amp;ROUNDUP(MONTH(Cleaned_Data[[#This Row],[Order_Date]])/3,0)&amp;"-2023"</f>
        <v>Q1-2023</v>
      </c>
      <c r="R822" t="str">
        <f>TEXT(Cleaned_Data[[#This Row],[Order_Date]],"DDD")</f>
        <v>Thu</v>
      </c>
      <c r="S822" t="str">
        <f>IF(Cleaned_Data[[#This Row],[Net_Sales]]&gt;=100000,"High",IF(Cleaned_Data[[#This Row],[Net_Sales]]&gt;=50000,"Medium","Low"))</f>
        <v>Low</v>
      </c>
    </row>
    <row r="823" spans="1:19" x14ac:dyDescent="0.3">
      <c r="A823" t="s">
        <v>971</v>
      </c>
      <c r="B823" s="1">
        <v>44952</v>
      </c>
      <c r="C823" t="s">
        <v>143</v>
      </c>
      <c r="D823" t="s">
        <v>144</v>
      </c>
      <c r="E823" t="s">
        <v>15</v>
      </c>
      <c r="F823" t="s">
        <v>128</v>
      </c>
      <c r="G823" t="s">
        <v>39</v>
      </c>
      <c r="H823" t="s">
        <v>68</v>
      </c>
      <c r="I823">
        <v>1</v>
      </c>
      <c r="J823" s="8">
        <v>25200</v>
      </c>
      <c r="K823">
        <v>10</v>
      </c>
      <c r="L823" t="s">
        <v>19</v>
      </c>
      <c r="M823" s="5">
        <f>Cleaned_Data[[#This Row],[Quantity]]*Cleaned_Data[[#This Row],[Unit_Price]]</f>
        <v>25200</v>
      </c>
      <c r="N823" s="7">
        <f>Cleaned_Data[[#This Row],[Total_sales]]*(Cleaned_Data[[#This Row],[Discount_Percent]]/100)</f>
        <v>2520</v>
      </c>
      <c r="O823" s="7">
        <f>Cleaned_Data[[#This Row],[Total_sales]]-Cleaned_Data[[#This Row],[Discount_Amount]]</f>
        <v>22680</v>
      </c>
      <c r="P823" t="str">
        <f>TEXT(Cleaned_Data[[#This Row],[Order_Date]],"MMM-YYYY")</f>
        <v>Jan-2023</v>
      </c>
      <c r="Q823" t="str">
        <f>"Q"&amp;ROUNDUP(MONTH(Cleaned_Data[[#This Row],[Order_Date]])/3,0)&amp;"-2023"</f>
        <v>Q1-2023</v>
      </c>
      <c r="R823" t="str">
        <f>TEXT(Cleaned_Data[[#This Row],[Order_Date]],"DDD")</f>
        <v>Thu</v>
      </c>
      <c r="S823" t="str">
        <f>IF(Cleaned_Data[[#This Row],[Net_Sales]]&gt;=100000,"High",IF(Cleaned_Data[[#This Row],[Net_Sales]]&gt;=50000,"Medium","Low"))</f>
        <v>Low</v>
      </c>
    </row>
    <row r="824" spans="1:19" x14ac:dyDescent="0.3">
      <c r="A824" t="s">
        <v>972</v>
      </c>
      <c r="B824" s="1">
        <v>44983</v>
      </c>
      <c r="C824" t="s">
        <v>244</v>
      </c>
      <c r="D824" t="s">
        <v>245</v>
      </c>
      <c r="E824" t="s">
        <v>15</v>
      </c>
      <c r="F824" t="s">
        <v>128</v>
      </c>
      <c r="G824" t="s">
        <v>25</v>
      </c>
      <c r="H824" t="s">
        <v>124</v>
      </c>
      <c r="I824">
        <v>2</v>
      </c>
      <c r="J824" s="8">
        <v>800</v>
      </c>
      <c r="K824">
        <v>5</v>
      </c>
      <c r="L824" t="s">
        <v>103</v>
      </c>
      <c r="M824" s="5">
        <f>Cleaned_Data[[#This Row],[Quantity]]*Cleaned_Data[[#This Row],[Unit_Price]]</f>
        <v>1600</v>
      </c>
      <c r="N824" s="7">
        <f>Cleaned_Data[[#This Row],[Total_sales]]*(Cleaned_Data[[#This Row],[Discount_Percent]]/100)</f>
        <v>80</v>
      </c>
      <c r="O824" s="7">
        <f>Cleaned_Data[[#This Row],[Total_sales]]-Cleaned_Data[[#This Row],[Discount_Amount]]</f>
        <v>1520</v>
      </c>
      <c r="P824" t="str">
        <f>TEXT(Cleaned_Data[[#This Row],[Order_Date]],"MMM-YYYY")</f>
        <v>Feb-2023</v>
      </c>
      <c r="Q824" t="str">
        <f>"Q"&amp;ROUNDUP(MONTH(Cleaned_Data[[#This Row],[Order_Date]])/3,0)&amp;"-2023"</f>
        <v>Q1-2023</v>
      </c>
      <c r="R824" t="str">
        <f>TEXT(Cleaned_Data[[#This Row],[Order_Date]],"DDD")</f>
        <v>Sun</v>
      </c>
      <c r="S824" t="str">
        <f>IF(Cleaned_Data[[#This Row],[Net_Sales]]&gt;=100000,"High",IF(Cleaned_Data[[#This Row],[Net_Sales]]&gt;=50000,"Medium","Low"))</f>
        <v>Low</v>
      </c>
    </row>
    <row r="825" spans="1:19" x14ac:dyDescent="0.3">
      <c r="A825" t="s">
        <v>973</v>
      </c>
      <c r="B825" s="1">
        <v>44983</v>
      </c>
      <c r="C825" t="s">
        <v>55</v>
      </c>
      <c r="D825" t="s">
        <v>56</v>
      </c>
      <c r="E825" t="s">
        <v>37</v>
      </c>
      <c r="F825" t="s">
        <v>61</v>
      </c>
      <c r="G825" t="s">
        <v>45</v>
      </c>
      <c r="H825" t="s">
        <v>156</v>
      </c>
      <c r="I825">
        <v>1</v>
      </c>
      <c r="J825" s="8">
        <v>29000</v>
      </c>
      <c r="K825">
        <v>0</v>
      </c>
      <c r="L825" t="s">
        <v>47</v>
      </c>
      <c r="M825" s="5">
        <f>Cleaned_Data[[#This Row],[Quantity]]*Cleaned_Data[[#This Row],[Unit_Price]]</f>
        <v>29000</v>
      </c>
      <c r="N825" s="7">
        <f>Cleaned_Data[[#This Row],[Total_sales]]*(Cleaned_Data[[#This Row],[Discount_Percent]]/100)</f>
        <v>0</v>
      </c>
      <c r="O825" s="7">
        <f>Cleaned_Data[[#This Row],[Total_sales]]-Cleaned_Data[[#This Row],[Discount_Amount]]</f>
        <v>29000</v>
      </c>
      <c r="P825" t="str">
        <f>TEXT(Cleaned_Data[[#This Row],[Order_Date]],"MMM-YYYY")</f>
        <v>Feb-2023</v>
      </c>
      <c r="Q825" t="str">
        <f>"Q"&amp;ROUNDUP(MONTH(Cleaned_Data[[#This Row],[Order_Date]])/3,0)&amp;"-2023"</f>
        <v>Q1-2023</v>
      </c>
      <c r="R825" t="str">
        <f>TEXT(Cleaned_Data[[#This Row],[Order_Date]],"DDD")</f>
        <v>Sun</v>
      </c>
      <c r="S825" t="str">
        <f>IF(Cleaned_Data[[#This Row],[Net_Sales]]&gt;=100000,"High",IF(Cleaned_Data[[#This Row],[Net_Sales]]&gt;=50000,"Medium","Low"))</f>
        <v>Low</v>
      </c>
    </row>
    <row r="826" spans="1:19" x14ac:dyDescent="0.3">
      <c r="A826" t="s">
        <v>974</v>
      </c>
      <c r="B826" s="1">
        <v>44983</v>
      </c>
      <c r="C826" t="s">
        <v>90</v>
      </c>
      <c r="D826" t="s">
        <v>91</v>
      </c>
      <c r="E826" t="s">
        <v>66</v>
      </c>
      <c r="F826" t="s">
        <v>72</v>
      </c>
      <c r="G826" t="s">
        <v>25</v>
      </c>
      <c r="H826" t="s">
        <v>32</v>
      </c>
      <c r="I826">
        <v>3</v>
      </c>
      <c r="J826" s="8">
        <v>2700</v>
      </c>
      <c r="K826">
        <v>10</v>
      </c>
      <c r="L826" t="s">
        <v>47</v>
      </c>
      <c r="M826" s="5">
        <f>Cleaned_Data[[#This Row],[Quantity]]*Cleaned_Data[[#This Row],[Unit_Price]]</f>
        <v>8100</v>
      </c>
      <c r="N826" s="7">
        <f>Cleaned_Data[[#This Row],[Total_sales]]*(Cleaned_Data[[#This Row],[Discount_Percent]]/100)</f>
        <v>810</v>
      </c>
      <c r="O826" s="7">
        <f>Cleaned_Data[[#This Row],[Total_sales]]-Cleaned_Data[[#This Row],[Discount_Amount]]</f>
        <v>7290</v>
      </c>
      <c r="P826" t="str">
        <f>TEXT(Cleaned_Data[[#This Row],[Order_Date]],"MMM-YYYY")</f>
        <v>Feb-2023</v>
      </c>
      <c r="Q826" t="str">
        <f>"Q"&amp;ROUNDUP(MONTH(Cleaned_Data[[#This Row],[Order_Date]])/3,0)&amp;"-2023"</f>
        <v>Q1-2023</v>
      </c>
      <c r="R826" t="str">
        <f>TEXT(Cleaned_Data[[#This Row],[Order_Date]],"DDD")</f>
        <v>Sun</v>
      </c>
      <c r="S826" t="str">
        <f>IF(Cleaned_Data[[#This Row],[Net_Sales]]&gt;=100000,"High",IF(Cleaned_Data[[#This Row],[Net_Sales]]&gt;=50000,"Medium","Low"))</f>
        <v>Low</v>
      </c>
    </row>
    <row r="827" spans="1:19" x14ac:dyDescent="0.3">
      <c r="A827" t="s">
        <v>975</v>
      </c>
      <c r="B827" s="1">
        <v>44983</v>
      </c>
      <c r="C827" t="s">
        <v>79</v>
      </c>
      <c r="D827" t="s">
        <v>80</v>
      </c>
      <c r="E827" t="s">
        <v>81</v>
      </c>
      <c r="F827" t="s">
        <v>82</v>
      </c>
      <c r="G827" t="s">
        <v>17</v>
      </c>
      <c r="H827" t="s">
        <v>77</v>
      </c>
      <c r="I827">
        <v>1</v>
      </c>
      <c r="J827" s="8">
        <v>42800</v>
      </c>
      <c r="K827">
        <v>25</v>
      </c>
      <c r="L827" t="s">
        <v>53</v>
      </c>
      <c r="M827" s="5">
        <f>Cleaned_Data[[#This Row],[Quantity]]*Cleaned_Data[[#This Row],[Unit_Price]]</f>
        <v>42800</v>
      </c>
      <c r="N827" s="7">
        <f>Cleaned_Data[[#This Row],[Total_sales]]*(Cleaned_Data[[#This Row],[Discount_Percent]]/100)</f>
        <v>10700</v>
      </c>
      <c r="O827" s="7">
        <f>Cleaned_Data[[#This Row],[Total_sales]]-Cleaned_Data[[#This Row],[Discount_Amount]]</f>
        <v>32100</v>
      </c>
      <c r="P827" t="str">
        <f>TEXT(Cleaned_Data[[#This Row],[Order_Date]],"MMM-YYYY")</f>
        <v>Feb-2023</v>
      </c>
      <c r="Q827" t="str">
        <f>"Q"&amp;ROUNDUP(MONTH(Cleaned_Data[[#This Row],[Order_Date]])/3,0)&amp;"-2023"</f>
        <v>Q1-2023</v>
      </c>
      <c r="R827" t="str">
        <f>TEXT(Cleaned_Data[[#This Row],[Order_Date]],"DDD")</f>
        <v>Sun</v>
      </c>
      <c r="S827" t="str">
        <f>IF(Cleaned_Data[[#This Row],[Net_Sales]]&gt;=100000,"High",IF(Cleaned_Data[[#This Row],[Net_Sales]]&gt;=50000,"Medium","Low"))</f>
        <v>Low</v>
      </c>
    </row>
    <row r="828" spans="1:19" x14ac:dyDescent="0.3">
      <c r="A828" t="s">
        <v>976</v>
      </c>
      <c r="B828" s="1">
        <v>44983</v>
      </c>
      <c r="C828" t="s">
        <v>210</v>
      </c>
      <c r="D828" t="s">
        <v>211</v>
      </c>
      <c r="E828" t="s">
        <v>15</v>
      </c>
      <c r="F828" t="s">
        <v>16</v>
      </c>
      <c r="G828" t="s">
        <v>97</v>
      </c>
      <c r="H828" t="s">
        <v>98</v>
      </c>
      <c r="I828">
        <v>2</v>
      </c>
      <c r="J828" s="8">
        <v>77700</v>
      </c>
      <c r="K828">
        <v>10</v>
      </c>
      <c r="L828" t="s">
        <v>19</v>
      </c>
      <c r="M828" s="5">
        <f>Cleaned_Data[[#This Row],[Quantity]]*Cleaned_Data[[#This Row],[Unit_Price]]</f>
        <v>155400</v>
      </c>
      <c r="N828" s="7">
        <f>Cleaned_Data[[#This Row],[Total_sales]]*(Cleaned_Data[[#This Row],[Discount_Percent]]/100)</f>
        <v>15540</v>
      </c>
      <c r="O828" s="7">
        <f>Cleaned_Data[[#This Row],[Total_sales]]-Cleaned_Data[[#This Row],[Discount_Amount]]</f>
        <v>139860</v>
      </c>
      <c r="P828" t="str">
        <f>TEXT(Cleaned_Data[[#This Row],[Order_Date]],"MMM-YYYY")</f>
        <v>Feb-2023</v>
      </c>
      <c r="Q828" t="str">
        <f>"Q"&amp;ROUNDUP(MONTH(Cleaned_Data[[#This Row],[Order_Date]])/3,0)&amp;"-2023"</f>
        <v>Q1-2023</v>
      </c>
      <c r="R828" t="str">
        <f>TEXT(Cleaned_Data[[#This Row],[Order_Date]],"DDD")</f>
        <v>Sun</v>
      </c>
      <c r="S828" t="str">
        <f>IF(Cleaned_Data[[#This Row],[Net_Sales]]&gt;=100000,"High",IF(Cleaned_Data[[#This Row],[Net_Sales]]&gt;=50000,"Medium","Low"))</f>
        <v>High</v>
      </c>
    </row>
    <row r="829" spans="1:19" x14ac:dyDescent="0.3">
      <c r="A829" t="s">
        <v>977</v>
      </c>
      <c r="B829" s="1">
        <v>45011</v>
      </c>
      <c r="C829" t="s">
        <v>284</v>
      </c>
      <c r="D829" t="s">
        <v>285</v>
      </c>
      <c r="E829" t="s">
        <v>66</v>
      </c>
      <c r="F829" t="s">
        <v>72</v>
      </c>
      <c r="G829" t="s">
        <v>45</v>
      </c>
      <c r="H829" t="s">
        <v>156</v>
      </c>
      <c r="I829">
        <v>1</v>
      </c>
      <c r="J829" s="8">
        <v>45600</v>
      </c>
      <c r="K829">
        <v>0</v>
      </c>
      <c r="L829" t="s">
        <v>53</v>
      </c>
      <c r="M829" s="5">
        <f>Cleaned_Data[[#This Row],[Quantity]]*Cleaned_Data[[#This Row],[Unit_Price]]</f>
        <v>45600</v>
      </c>
      <c r="N829" s="7">
        <f>Cleaned_Data[[#This Row],[Total_sales]]*(Cleaned_Data[[#This Row],[Discount_Percent]]/100)</f>
        <v>0</v>
      </c>
      <c r="O829" s="7">
        <f>Cleaned_Data[[#This Row],[Total_sales]]-Cleaned_Data[[#This Row],[Discount_Amount]]</f>
        <v>45600</v>
      </c>
      <c r="P829" t="str">
        <f>TEXT(Cleaned_Data[[#This Row],[Order_Date]],"MMM-YYYY")</f>
        <v>Mar-2023</v>
      </c>
      <c r="Q829" t="str">
        <f>"Q"&amp;ROUNDUP(MONTH(Cleaned_Data[[#This Row],[Order_Date]])/3,0)&amp;"-2023"</f>
        <v>Q1-2023</v>
      </c>
      <c r="R829" t="str">
        <f>TEXT(Cleaned_Data[[#This Row],[Order_Date]],"DDD")</f>
        <v>Sun</v>
      </c>
      <c r="S829" t="str">
        <f>IF(Cleaned_Data[[#This Row],[Net_Sales]]&gt;=100000,"High",IF(Cleaned_Data[[#This Row],[Net_Sales]]&gt;=50000,"Medium","Low"))</f>
        <v>Low</v>
      </c>
    </row>
    <row r="830" spans="1:19" x14ac:dyDescent="0.3">
      <c r="A830" t="s">
        <v>978</v>
      </c>
      <c r="B830" s="1">
        <v>45011</v>
      </c>
      <c r="C830" t="s">
        <v>180</v>
      </c>
      <c r="D830" t="s">
        <v>181</v>
      </c>
      <c r="E830" t="s">
        <v>81</v>
      </c>
      <c r="F830" t="s">
        <v>110</v>
      </c>
      <c r="G830" t="s">
        <v>97</v>
      </c>
      <c r="H830" t="s">
        <v>171</v>
      </c>
      <c r="I830">
        <v>1</v>
      </c>
      <c r="J830" s="8">
        <v>80000</v>
      </c>
      <c r="K830">
        <v>25</v>
      </c>
      <c r="L830" t="s">
        <v>19</v>
      </c>
      <c r="M830" s="5">
        <f>Cleaned_Data[[#This Row],[Quantity]]*Cleaned_Data[[#This Row],[Unit_Price]]</f>
        <v>80000</v>
      </c>
      <c r="N830" s="7">
        <f>Cleaned_Data[[#This Row],[Total_sales]]*(Cleaned_Data[[#This Row],[Discount_Percent]]/100)</f>
        <v>20000</v>
      </c>
      <c r="O830" s="7">
        <f>Cleaned_Data[[#This Row],[Total_sales]]-Cleaned_Data[[#This Row],[Discount_Amount]]</f>
        <v>60000</v>
      </c>
      <c r="P830" t="str">
        <f>TEXT(Cleaned_Data[[#This Row],[Order_Date]],"MMM-YYYY")</f>
        <v>Mar-2023</v>
      </c>
      <c r="Q830" t="str">
        <f>"Q"&amp;ROUNDUP(MONTH(Cleaned_Data[[#This Row],[Order_Date]])/3,0)&amp;"-2023"</f>
        <v>Q1-2023</v>
      </c>
      <c r="R830" t="str">
        <f>TEXT(Cleaned_Data[[#This Row],[Order_Date]],"DDD")</f>
        <v>Sun</v>
      </c>
      <c r="S830" t="str">
        <f>IF(Cleaned_Data[[#This Row],[Net_Sales]]&gt;=100000,"High",IF(Cleaned_Data[[#This Row],[Net_Sales]]&gt;=50000,"Medium","Low"))</f>
        <v>Medium</v>
      </c>
    </row>
    <row r="831" spans="1:19" x14ac:dyDescent="0.3">
      <c r="A831" t="s">
        <v>979</v>
      </c>
      <c r="B831" s="1">
        <v>45011</v>
      </c>
      <c r="C831" t="s">
        <v>122</v>
      </c>
      <c r="D831" t="s">
        <v>123</v>
      </c>
      <c r="E831" t="s">
        <v>81</v>
      </c>
      <c r="F831" t="s">
        <v>160</v>
      </c>
      <c r="G831" t="s">
        <v>25</v>
      </c>
      <c r="H831" t="s">
        <v>26</v>
      </c>
      <c r="I831">
        <v>2</v>
      </c>
      <c r="J831" s="8">
        <v>2100</v>
      </c>
      <c r="K831">
        <v>15</v>
      </c>
      <c r="L831" t="s">
        <v>27</v>
      </c>
      <c r="M831" s="5">
        <f>Cleaned_Data[[#This Row],[Quantity]]*Cleaned_Data[[#This Row],[Unit_Price]]</f>
        <v>4200</v>
      </c>
      <c r="N831" s="7">
        <f>Cleaned_Data[[#This Row],[Total_sales]]*(Cleaned_Data[[#This Row],[Discount_Percent]]/100)</f>
        <v>630</v>
      </c>
      <c r="O831" s="7">
        <f>Cleaned_Data[[#This Row],[Total_sales]]-Cleaned_Data[[#This Row],[Discount_Amount]]</f>
        <v>3570</v>
      </c>
      <c r="P831" t="str">
        <f>TEXT(Cleaned_Data[[#This Row],[Order_Date]],"MMM-YYYY")</f>
        <v>Mar-2023</v>
      </c>
      <c r="Q831" t="str">
        <f>"Q"&amp;ROUNDUP(MONTH(Cleaned_Data[[#This Row],[Order_Date]])/3,0)&amp;"-2023"</f>
        <v>Q1-2023</v>
      </c>
      <c r="R831" t="str">
        <f>TEXT(Cleaned_Data[[#This Row],[Order_Date]],"DDD")</f>
        <v>Sun</v>
      </c>
      <c r="S831" t="str">
        <f>IF(Cleaned_Data[[#This Row],[Net_Sales]]&gt;=100000,"High",IF(Cleaned_Data[[#This Row],[Net_Sales]]&gt;=50000,"Medium","Low"))</f>
        <v>Low</v>
      </c>
    </row>
    <row r="832" spans="1:19" x14ac:dyDescent="0.3">
      <c r="A832" t="s">
        <v>980</v>
      </c>
      <c r="B832" s="1">
        <v>45011</v>
      </c>
      <c r="C832" t="s">
        <v>105</v>
      </c>
      <c r="D832" t="s">
        <v>106</v>
      </c>
      <c r="E832" t="s">
        <v>15</v>
      </c>
      <c r="F832" t="s">
        <v>128</v>
      </c>
      <c r="G832" t="s">
        <v>17</v>
      </c>
      <c r="H832" t="s">
        <v>196</v>
      </c>
      <c r="I832">
        <v>1</v>
      </c>
      <c r="J832" s="8">
        <v>28700</v>
      </c>
      <c r="K832">
        <v>0</v>
      </c>
      <c r="L832" t="s">
        <v>53</v>
      </c>
      <c r="M832" s="5">
        <f>Cleaned_Data[[#This Row],[Quantity]]*Cleaned_Data[[#This Row],[Unit_Price]]</f>
        <v>28700</v>
      </c>
      <c r="N832" s="7">
        <f>Cleaned_Data[[#This Row],[Total_sales]]*(Cleaned_Data[[#This Row],[Discount_Percent]]/100)</f>
        <v>0</v>
      </c>
      <c r="O832" s="7">
        <f>Cleaned_Data[[#This Row],[Total_sales]]-Cleaned_Data[[#This Row],[Discount_Amount]]</f>
        <v>28700</v>
      </c>
      <c r="P832" t="str">
        <f>TEXT(Cleaned_Data[[#This Row],[Order_Date]],"MMM-YYYY")</f>
        <v>Mar-2023</v>
      </c>
      <c r="Q832" t="str">
        <f>"Q"&amp;ROUNDUP(MONTH(Cleaned_Data[[#This Row],[Order_Date]])/3,0)&amp;"-2023"</f>
        <v>Q1-2023</v>
      </c>
      <c r="R832" t="str">
        <f>TEXT(Cleaned_Data[[#This Row],[Order_Date]],"DDD")</f>
        <v>Sun</v>
      </c>
      <c r="S832" t="str">
        <f>IF(Cleaned_Data[[#This Row],[Net_Sales]]&gt;=100000,"High",IF(Cleaned_Data[[#This Row],[Net_Sales]]&gt;=50000,"Medium","Low"))</f>
        <v>Low</v>
      </c>
    </row>
    <row r="833" spans="1:19" x14ac:dyDescent="0.3">
      <c r="A833" t="s">
        <v>981</v>
      </c>
      <c r="B833" s="1">
        <v>45042</v>
      </c>
      <c r="C833" t="s">
        <v>59</v>
      </c>
      <c r="D833" t="s">
        <v>60</v>
      </c>
      <c r="E833" t="s">
        <v>81</v>
      </c>
      <c r="F833" t="s">
        <v>117</v>
      </c>
      <c r="G833" t="s">
        <v>25</v>
      </c>
      <c r="H833" t="s">
        <v>26</v>
      </c>
      <c r="I833">
        <v>2</v>
      </c>
      <c r="J833" s="8">
        <v>2000</v>
      </c>
      <c r="K833">
        <v>20</v>
      </c>
      <c r="L833" t="s">
        <v>27</v>
      </c>
      <c r="M833" s="5">
        <f>Cleaned_Data[[#This Row],[Quantity]]*Cleaned_Data[[#This Row],[Unit_Price]]</f>
        <v>4000</v>
      </c>
      <c r="N833" s="7">
        <f>Cleaned_Data[[#This Row],[Total_sales]]*(Cleaned_Data[[#This Row],[Discount_Percent]]/100)</f>
        <v>800</v>
      </c>
      <c r="O833" s="7">
        <f>Cleaned_Data[[#This Row],[Total_sales]]-Cleaned_Data[[#This Row],[Discount_Amount]]</f>
        <v>3200</v>
      </c>
      <c r="P833" t="str">
        <f>TEXT(Cleaned_Data[[#This Row],[Order_Date]],"MMM-YYYY")</f>
        <v>Apr-2023</v>
      </c>
      <c r="Q833" t="str">
        <f>"Q"&amp;ROUNDUP(MONTH(Cleaned_Data[[#This Row],[Order_Date]])/3,0)&amp;"-2023"</f>
        <v>Q2-2023</v>
      </c>
      <c r="R833" t="str">
        <f>TEXT(Cleaned_Data[[#This Row],[Order_Date]],"DDD")</f>
        <v>Wed</v>
      </c>
      <c r="S833" t="str">
        <f>IF(Cleaned_Data[[#This Row],[Net_Sales]]&gt;=100000,"High",IF(Cleaned_Data[[#This Row],[Net_Sales]]&gt;=50000,"Medium","Low"))</f>
        <v>Low</v>
      </c>
    </row>
    <row r="834" spans="1:19" x14ac:dyDescent="0.3">
      <c r="A834" t="s">
        <v>982</v>
      </c>
      <c r="B834" s="1">
        <v>45042</v>
      </c>
      <c r="C834" t="s">
        <v>95</v>
      </c>
      <c r="D834" t="s">
        <v>96</v>
      </c>
      <c r="E834" t="s">
        <v>15</v>
      </c>
      <c r="F834" t="s">
        <v>131</v>
      </c>
      <c r="G834" t="s">
        <v>39</v>
      </c>
      <c r="H834" t="s">
        <v>102</v>
      </c>
      <c r="I834">
        <v>1</v>
      </c>
      <c r="J834" s="8">
        <v>18300</v>
      </c>
      <c r="K834">
        <v>25</v>
      </c>
      <c r="L834" t="s">
        <v>47</v>
      </c>
      <c r="M834" s="5">
        <f>Cleaned_Data[[#This Row],[Quantity]]*Cleaned_Data[[#This Row],[Unit_Price]]</f>
        <v>18300</v>
      </c>
      <c r="N834" s="7">
        <f>Cleaned_Data[[#This Row],[Total_sales]]*(Cleaned_Data[[#This Row],[Discount_Percent]]/100)</f>
        <v>4575</v>
      </c>
      <c r="O834" s="7">
        <f>Cleaned_Data[[#This Row],[Total_sales]]-Cleaned_Data[[#This Row],[Discount_Amount]]</f>
        <v>13725</v>
      </c>
      <c r="P834" t="str">
        <f>TEXT(Cleaned_Data[[#This Row],[Order_Date]],"MMM-YYYY")</f>
        <v>Apr-2023</v>
      </c>
      <c r="Q834" t="str">
        <f>"Q"&amp;ROUNDUP(MONTH(Cleaned_Data[[#This Row],[Order_Date]])/3,0)&amp;"-2023"</f>
        <v>Q2-2023</v>
      </c>
      <c r="R834" t="str">
        <f>TEXT(Cleaned_Data[[#This Row],[Order_Date]],"DDD")</f>
        <v>Wed</v>
      </c>
      <c r="S834" t="str">
        <f>IF(Cleaned_Data[[#This Row],[Net_Sales]]&gt;=100000,"High",IF(Cleaned_Data[[#This Row],[Net_Sales]]&gt;=50000,"Medium","Low"))</f>
        <v>Low</v>
      </c>
    </row>
    <row r="835" spans="1:19" x14ac:dyDescent="0.3">
      <c r="A835" t="s">
        <v>983</v>
      </c>
      <c r="B835" s="1">
        <v>45042</v>
      </c>
      <c r="C835" t="s">
        <v>203</v>
      </c>
      <c r="D835" t="s">
        <v>204</v>
      </c>
      <c r="E835" t="s">
        <v>37</v>
      </c>
      <c r="F835" t="s">
        <v>38</v>
      </c>
      <c r="G835" t="s">
        <v>97</v>
      </c>
      <c r="H835" t="s">
        <v>174</v>
      </c>
      <c r="I835">
        <v>1</v>
      </c>
      <c r="J835" s="8">
        <v>47300</v>
      </c>
      <c r="K835">
        <v>5</v>
      </c>
      <c r="L835" t="s">
        <v>19</v>
      </c>
      <c r="M835" s="5">
        <f>Cleaned_Data[[#This Row],[Quantity]]*Cleaned_Data[[#This Row],[Unit_Price]]</f>
        <v>47300</v>
      </c>
      <c r="N835" s="7">
        <f>Cleaned_Data[[#This Row],[Total_sales]]*(Cleaned_Data[[#This Row],[Discount_Percent]]/100)</f>
        <v>2365</v>
      </c>
      <c r="O835" s="7">
        <f>Cleaned_Data[[#This Row],[Total_sales]]-Cleaned_Data[[#This Row],[Discount_Amount]]</f>
        <v>44935</v>
      </c>
      <c r="P835" t="str">
        <f>TEXT(Cleaned_Data[[#This Row],[Order_Date]],"MMM-YYYY")</f>
        <v>Apr-2023</v>
      </c>
      <c r="Q835" t="str">
        <f>"Q"&amp;ROUNDUP(MONTH(Cleaned_Data[[#This Row],[Order_Date]])/3,0)&amp;"-2023"</f>
        <v>Q2-2023</v>
      </c>
      <c r="R835" t="str">
        <f>TEXT(Cleaned_Data[[#This Row],[Order_Date]],"DDD")</f>
        <v>Wed</v>
      </c>
      <c r="S835" t="str">
        <f>IF(Cleaned_Data[[#This Row],[Net_Sales]]&gt;=100000,"High",IF(Cleaned_Data[[#This Row],[Net_Sales]]&gt;=50000,"Medium","Low"))</f>
        <v>Low</v>
      </c>
    </row>
    <row r="836" spans="1:19" x14ac:dyDescent="0.3">
      <c r="A836" t="s">
        <v>984</v>
      </c>
      <c r="B836" s="1">
        <v>45042</v>
      </c>
      <c r="C836" t="s">
        <v>151</v>
      </c>
      <c r="D836" t="s">
        <v>152</v>
      </c>
      <c r="E836" t="s">
        <v>81</v>
      </c>
      <c r="F836" t="s">
        <v>82</v>
      </c>
      <c r="G836" t="s">
        <v>17</v>
      </c>
      <c r="H836" t="s">
        <v>88</v>
      </c>
      <c r="I836">
        <v>1</v>
      </c>
      <c r="J836" s="8">
        <v>33100</v>
      </c>
      <c r="K836">
        <v>0</v>
      </c>
      <c r="L836" t="s">
        <v>27</v>
      </c>
      <c r="M836" s="5">
        <f>Cleaned_Data[[#This Row],[Quantity]]*Cleaned_Data[[#This Row],[Unit_Price]]</f>
        <v>33100</v>
      </c>
      <c r="N836" s="7">
        <f>Cleaned_Data[[#This Row],[Total_sales]]*(Cleaned_Data[[#This Row],[Discount_Percent]]/100)</f>
        <v>0</v>
      </c>
      <c r="O836" s="7">
        <f>Cleaned_Data[[#This Row],[Total_sales]]-Cleaned_Data[[#This Row],[Discount_Amount]]</f>
        <v>33100</v>
      </c>
      <c r="P836" t="str">
        <f>TEXT(Cleaned_Data[[#This Row],[Order_Date]],"MMM-YYYY")</f>
        <v>Apr-2023</v>
      </c>
      <c r="Q836" t="str">
        <f>"Q"&amp;ROUNDUP(MONTH(Cleaned_Data[[#This Row],[Order_Date]])/3,0)&amp;"-2023"</f>
        <v>Q2-2023</v>
      </c>
      <c r="R836" t="str">
        <f>TEXT(Cleaned_Data[[#This Row],[Order_Date]],"DDD")</f>
        <v>Wed</v>
      </c>
      <c r="S836" t="str">
        <f>IF(Cleaned_Data[[#This Row],[Net_Sales]]&gt;=100000,"High",IF(Cleaned_Data[[#This Row],[Net_Sales]]&gt;=50000,"Medium","Low"))</f>
        <v>Low</v>
      </c>
    </row>
    <row r="837" spans="1:19" x14ac:dyDescent="0.3">
      <c r="A837" t="s">
        <v>985</v>
      </c>
      <c r="B837" s="1">
        <v>45072</v>
      </c>
      <c r="C837" t="s">
        <v>90</v>
      </c>
      <c r="D837" t="s">
        <v>91</v>
      </c>
      <c r="E837" t="s">
        <v>15</v>
      </c>
      <c r="F837" t="s">
        <v>119</v>
      </c>
      <c r="G837" t="s">
        <v>39</v>
      </c>
      <c r="H837" t="s">
        <v>40</v>
      </c>
      <c r="I837">
        <v>1</v>
      </c>
      <c r="J837" s="8">
        <v>19000</v>
      </c>
      <c r="K837">
        <v>0</v>
      </c>
      <c r="L837" t="s">
        <v>27</v>
      </c>
      <c r="M837" s="5">
        <f>Cleaned_Data[[#This Row],[Quantity]]*Cleaned_Data[[#This Row],[Unit_Price]]</f>
        <v>19000</v>
      </c>
      <c r="N837" s="7">
        <f>Cleaned_Data[[#This Row],[Total_sales]]*(Cleaned_Data[[#This Row],[Discount_Percent]]/100)</f>
        <v>0</v>
      </c>
      <c r="O837" s="7">
        <f>Cleaned_Data[[#This Row],[Total_sales]]-Cleaned_Data[[#This Row],[Discount_Amount]]</f>
        <v>19000</v>
      </c>
      <c r="P837" t="str">
        <f>TEXT(Cleaned_Data[[#This Row],[Order_Date]],"MMM-YYYY")</f>
        <v>May-2023</v>
      </c>
      <c r="Q837" t="str">
        <f>"Q"&amp;ROUNDUP(MONTH(Cleaned_Data[[#This Row],[Order_Date]])/3,0)&amp;"-2023"</f>
        <v>Q2-2023</v>
      </c>
      <c r="R837" t="str">
        <f>TEXT(Cleaned_Data[[#This Row],[Order_Date]],"DDD")</f>
        <v>Fri</v>
      </c>
      <c r="S837" t="str">
        <f>IF(Cleaned_Data[[#This Row],[Net_Sales]]&gt;=100000,"High",IF(Cleaned_Data[[#This Row],[Net_Sales]]&gt;=50000,"Medium","Low"))</f>
        <v>Low</v>
      </c>
    </row>
    <row r="838" spans="1:19" x14ac:dyDescent="0.3">
      <c r="A838" t="s">
        <v>986</v>
      </c>
      <c r="B838" s="1">
        <v>45103</v>
      </c>
      <c r="C838" t="s">
        <v>135</v>
      </c>
      <c r="D838" t="s">
        <v>136</v>
      </c>
      <c r="E838" t="s">
        <v>15</v>
      </c>
      <c r="F838" t="s">
        <v>16</v>
      </c>
      <c r="G838" t="s">
        <v>25</v>
      </c>
      <c r="H838" t="s">
        <v>124</v>
      </c>
      <c r="I838">
        <v>2</v>
      </c>
      <c r="J838" s="8">
        <v>3000</v>
      </c>
      <c r="K838">
        <v>0</v>
      </c>
      <c r="L838" t="s">
        <v>53</v>
      </c>
      <c r="M838" s="5">
        <f>Cleaned_Data[[#This Row],[Quantity]]*Cleaned_Data[[#This Row],[Unit_Price]]</f>
        <v>6000</v>
      </c>
      <c r="N838" s="7">
        <f>Cleaned_Data[[#This Row],[Total_sales]]*(Cleaned_Data[[#This Row],[Discount_Percent]]/100)</f>
        <v>0</v>
      </c>
      <c r="O838" s="7">
        <f>Cleaned_Data[[#This Row],[Total_sales]]-Cleaned_Data[[#This Row],[Discount_Amount]]</f>
        <v>6000</v>
      </c>
      <c r="P838" t="str">
        <f>TEXT(Cleaned_Data[[#This Row],[Order_Date]],"MMM-YYYY")</f>
        <v>Jun-2023</v>
      </c>
      <c r="Q838" t="str">
        <f>"Q"&amp;ROUNDUP(MONTH(Cleaned_Data[[#This Row],[Order_Date]])/3,0)&amp;"-2023"</f>
        <v>Q2-2023</v>
      </c>
      <c r="R838" t="str">
        <f>TEXT(Cleaned_Data[[#This Row],[Order_Date]],"DDD")</f>
        <v>Mon</v>
      </c>
      <c r="S838" t="str">
        <f>IF(Cleaned_Data[[#This Row],[Net_Sales]]&gt;=100000,"High",IF(Cleaned_Data[[#This Row],[Net_Sales]]&gt;=50000,"Medium","Low"))</f>
        <v>Low</v>
      </c>
    </row>
    <row r="839" spans="1:19" x14ac:dyDescent="0.3">
      <c r="A839" t="s">
        <v>987</v>
      </c>
      <c r="B839" s="1">
        <v>45103</v>
      </c>
      <c r="C839" t="s">
        <v>143</v>
      </c>
      <c r="D839" t="s">
        <v>144</v>
      </c>
      <c r="E839" t="s">
        <v>81</v>
      </c>
      <c r="F839" t="s">
        <v>110</v>
      </c>
      <c r="G839" t="s">
        <v>25</v>
      </c>
      <c r="H839" t="s">
        <v>124</v>
      </c>
      <c r="I839">
        <v>1</v>
      </c>
      <c r="J839" s="8">
        <v>1900</v>
      </c>
      <c r="K839">
        <v>5</v>
      </c>
      <c r="L839" t="s">
        <v>27</v>
      </c>
      <c r="M839" s="5">
        <f>Cleaned_Data[[#This Row],[Quantity]]*Cleaned_Data[[#This Row],[Unit_Price]]</f>
        <v>1900</v>
      </c>
      <c r="N839" s="7">
        <f>Cleaned_Data[[#This Row],[Total_sales]]*(Cleaned_Data[[#This Row],[Discount_Percent]]/100)</f>
        <v>95</v>
      </c>
      <c r="O839" s="7">
        <f>Cleaned_Data[[#This Row],[Total_sales]]-Cleaned_Data[[#This Row],[Discount_Amount]]</f>
        <v>1805</v>
      </c>
      <c r="P839" t="str">
        <f>TEXT(Cleaned_Data[[#This Row],[Order_Date]],"MMM-YYYY")</f>
        <v>Jun-2023</v>
      </c>
      <c r="Q839" t="str">
        <f>"Q"&amp;ROUNDUP(MONTH(Cleaned_Data[[#This Row],[Order_Date]])/3,0)&amp;"-2023"</f>
        <v>Q2-2023</v>
      </c>
      <c r="R839" t="str">
        <f>TEXT(Cleaned_Data[[#This Row],[Order_Date]],"DDD")</f>
        <v>Mon</v>
      </c>
      <c r="S839" t="str">
        <f>IF(Cleaned_Data[[#This Row],[Net_Sales]]&gt;=100000,"High",IF(Cleaned_Data[[#This Row],[Net_Sales]]&gt;=50000,"Medium","Low"))</f>
        <v>Low</v>
      </c>
    </row>
    <row r="840" spans="1:19" x14ac:dyDescent="0.3">
      <c r="A840" t="s">
        <v>988</v>
      </c>
      <c r="B840" s="1">
        <v>45103</v>
      </c>
      <c r="C840" t="s">
        <v>163</v>
      </c>
      <c r="D840" t="s">
        <v>73</v>
      </c>
      <c r="E840" t="s">
        <v>15</v>
      </c>
      <c r="F840" t="s">
        <v>16</v>
      </c>
      <c r="G840" t="s">
        <v>97</v>
      </c>
      <c r="H840" t="s">
        <v>133</v>
      </c>
      <c r="I840">
        <v>1</v>
      </c>
      <c r="J840" s="8">
        <v>52300</v>
      </c>
      <c r="K840">
        <v>20</v>
      </c>
      <c r="L840" t="s">
        <v>27</v>
      </c>
      <c r="M840" s="5">
        <f>Cleaned_Data[[#This Row],[Quantity]]*Cleaned_Data[[#This Row],[Unit_Price]]</f>
        <v>52300</v>
      </c>
      <c r="N840" s="7">
        <f>Cleaned_Data[[#This Row],[Total_sales]]*(Cleaned_Data[[#This Row],[Discount_Percent]]/100)</f>
        <v>10460</v>
      </c>
      <c r="O840" s="7">
        <f>Cleaned_Data[[#This Row],[Total_sales]]-Cleaned_Data[[#This Row],[Discount_Amount]]</f>
        <v>41840</v>
      </c>
      <c r="P840" t="str">
        <f>TEXT(Cleaned_Data[[#This Row],[Order_Date]],"MMM-YYYY")</f>
        <v>Jun-2023</v>
      </c>
      <c r="Q840" t="str">
        <f>"Q"&amp;ROUNDUP(MONTH(Cleaned_Data[[#This Row],[Order_Date]])/3,0)&amp;"-2023"</f>
        <v>Q2-2023</v>
      </c>
      <c r="R840" t="str">
        <f>TEXT(Cleaned_Data[[#This Row],[Order_Date]],"DDD")</f>
        <v>Mon</v>
      </c>
      <c r="S840" t="str">
        <f>IF(Cleaned_Data[[#This Row],[Net_Sales]]&gt;=100000,"High",IF(Cleaned_Data[[#This Row],[Net_Sales]]&gt;=50000,"Medium","Low"))</f>
        <v>Low</v>
      </c>
    </row>
    <row r="841" spans="1:19" x14ac:dyDescent="0.3">
      <c r="A841" t="s">
        <v>989</v>
      </c>
      <c r="B841" s="1">
        <v>45133</v>
      </c>
      <c r="C841" t="s">
        <v>115</v>
      </c>
      <c r="D841" t="s">
        <v>116</v>
      </c>
      <c r="E841" t="s">
        <v>81</v>
      </c>
      <c r="F841" t="s">
        <v>117</v>
      </c>
      <c r="G841" t="s">
        <v>97</v>
      </c>
      <c r="H841" t="s">
        <v>98</v>
      </c>
      <c r="I841">
        <v>1</v>
      </c>
      <c r="J841" s="8">
        <v>60700</v>
      </c>
      <c r="K841">
        <v>15</v>
      </c>
      <c r="L841" t="s">
        <v>47</v>
      </c>
      <c r="M841" s="5">
        <f>Cleaned_Data[[#This Row],[Quantity]]*Cleaned_Data[[#This Row],[Unit_Price]]</f>
        <v>60700</v>
      </c>
      <c r="N841" s="7">
        <f>Cleaned_Data[[#This Row],[Total_sales]]*(Cleaned_Data[[#This Row],[Discount_Percent]]/100)</f>
        <v>9105</v>
      </c>
      <c r="O841" s="7">
        <f>Cleaned_Data[[#This Row],[Total_sales]]-Cleaned_Data[[#This Row],[Discount_Amount]]</f>
        <v>51595</v>
      </c>
      <c r="P841" t="str">
        <f>TEXT(Cleaned_Data[[#This Row],[Order_Date]],"MMM-YYYY")</f>
        <v>Jul-2023</v>
      </c>
      <c r="Q841" t="str">
        <f>"Q"&amp;ROUNDUP(MONTH(Cleaned_Data[[#This Row],[Order_Date]])/3,0)&amp;"-2023"</f>
        <v>Q3-2023</v>
      </c>
      <c r="R841" t="str">
        <f>TEXT(Cleaned_Data[[#This Row],[Order_Date]],"DDD")</f>
        <v>Wed</v>
      </c>
      <c r="S841" t="str">
        <f>IF(Cleaned_Data[[#This Row],[Net_Sales]]&gt;=100000,"High",IF(Cleaned_Data[[#This Row],[Net_Sales]]&gt;=50000,"Medium","Low"))</f>
        <v>Medium</v>
      </c>
    </row>
    <row r="842" spans="1:19" x14ac:dyDescent="0.3">
      <c r="A842" t="s">
        <v>990</v>
      </c>
      <c r="B842" s="1">
        <v>45164</v>
      </c>
      <c r="C842" t="s">
        <v>165</v>
      </c>
      <c r="D842" t="s">
        <v>166</v>
      </c>
      <c r="E842" t="s">
        <v>15</v>
      </c>
      <c r="F842" t="s">
        <v>131</v>
      </c>
      <c r="G842" t="s">
        <v>25</v>
      </c>
      <c r="H842" t="s">
        <v>124</v>
      </c>
      <c r="I842">
        <v>3</v>
      </c>
      <c r="J842" s="8">
        <v>2000</v>
      </c>
      <c r="K842">
        <v>20</v>
      </c>
      <c r="L842" t="s">
        <v>33</v>
      </c>
      <c r="M842" s="5">
        <f>Cleaned_Data[[#This Row],[Quantity]]*Cleaned_Data[[#This Row],[Unit_Price]]</f>
        <v>6000</v>
      </c>
      <c r="N842" s="7">
        <f>Cleaned_Data[[#This Row],[Total_sales]]*(Cleaned_Data[[#This Row],[Discount_Percent]]/100)</f>
        <v>1200</v>
      </c>
      <c r="O842" s="7">
        <f>Cleaned_Data[[#This Row],[Total_sales]]-Cleaned_Data[[#This Row],[Discount_Amount]]</f>
        <v>4800</v>
      </c>
      <c r="P842" t="str">
        <f>TEXT(Cleaned_Data[[#This Row],[Order_Date]],"MMM-YYYY")</f>
        <v>Aug-2023</v>
      </c>
      <c r="Q842" t="str">
        <f>"Q"&amp;ROUNDUP(MONTH(Cleaned_Data[[#This Row],[Order_Date]])/3,0)&amp;"-2023"</f>
        <v>Q3-2023</v>
      </c>
      <c r="R842" t="str">
        <f>TEXT(Cleaned_Data[[#This Row],[Order_Date]],"DDD")</f>
        <v>Sat</v>
      </c>
      <c r="S842" t="str">
        <f>IF(Cleaned_Data[[#This Row],[Net_Sales]]&gt;=100000,"High",IF(Cleaned_Data[[#This Row],[Net_Sales]]&gt;=50000,"Medium","Low"))</f>
        <v>Low</v>
      </c>
    </row>
    <row r="843" spans="1:19" x14ac:dyDescent="0.3">
      <c r="A843" t="s">
        <v>991</v>
      </c>
      <c r="B843" s="1">
        <v>45164</v>
      </c>
      <c r="C843" t="s">
        <v>112</v>
      </c>
      <c r="D843" t="s">
        <v>113</v>
      </c>
      <c r="E843" t="s">
        <v>37</v>
      </c>
      <c r="F843" t="s">
        <v>61</v>
      </c>
      <c r="G843" t="s">
        <v>97</v>
      </c>
      <c r="H843" t="s">
        <v>171</v>
      </c>
      <c r="I843">
        <v>1</v>
      </c>
      <c r="J843" s="8">
        <v>70300</v>
      </c>
      <c r="K843">
        <v>0</v>
      </c>
      <c r="L843" t="s">
        <v>73</v>
      </c>
      <c r="M843" s="5">
        <f>Cleaned_Data[[#This Row],[Quantity]]*Cleaned_Data[[#This Row],[Unit_Price]]</f>
        <v>70300</v>
      </c>
      <c r="N843" s="7">
        <f>Cleaned_Data[[#This Row],[Total_sales]]*(Cleaned_Data[[#This Row],[Discount_Percent]]/100)</f>
        <v>0</v>
      </c>
      <c r="O843" s="7">
        <f>Cleaned_Data[[#This Row],[Total_sales]]-Cleaned_Data[[#This Row],[Discount_Amount]]</f>
        <v>70300</v>
      </c>
      <c r="P843" t="str">
        <f>TEXT(Cleaned_Data[[#This Row],[Order_Date]],"MMM-YYYY")</f>
        <v>Aug-2023</v>
      </c>
      <c r="Q843" t="str">
        <f>"Q"&amp;ROUNDUP(MONTH(Cleaned_Data[[#This Row],[Order_Date]])/3,0)&amp;"-2023"</f>
        <v>Q3-2023</v>
      </c>
      <c r="R843" t="str">
        <f>TEXT(Cleaned_Data[[#This Row],[Order_Date]],"DDD")</f>
        <v>Sat</v>
      </c>
      <c r="S843" t="str">
        <f>IF(Cleaned_Data[[#This Row],[Net_Sales]]&gt;=100000,"High",IF(Cleaned_Data[[#This Row],[Net_Sales]]&gt;=50000,"Medium","Low"))</f>
        <v>Medium</v>
      </c>
    </row>
    <row r="844" spans="1:19" x14ac:dyDescent="0.3">
      <c r="A844" t="s">
        <v>992</v>
      </c>
      <c r="B844" s="1">
        <v>45164</v>
      </c>
      <c r="C844" t="s">
        <v>105</v>
      </c>
      <c r="D844" t="s">
        <v>106</v>
      </c>
      <c r="E844" t="s">
        <v>37</v>
      </c>
      <c r="F844" t="s">
        <v>38</v>
      </c>
      <c r="G844" t="s">
        <v>45</v>
      </c>
      <c r="H844" t="s">
        <v>156</v>
      </c>
      <c r="I844">
        <v>1</v>
      </c>
      <c r="J844" s="8">
        <v>37800</v>
      </c>
      <c r="K844">
        <v>25</v>
      </c>
      <c r="L844" t="s">
        <v>27</v>
      </c>
      <c r="M844" s="5">
        <f>Cleaned_Data[[#This Row],[Quantity]]*Cleaned_Data[[#This Row],[Unit_Price]]</f>
        <v>37800</v>
      </c>
      <c r="N844" s="7">
        <f>Cleaned_Data[[#This Row],[Total_sales]]*(Cleaned_Data[[#This Row],[Discount_Percent]]/100)</f>
        <v>9450</v>
      </c>
      <c r="O844" s="7">
        <f>Cleaned_Data[[#This Row],[Total_sales]]-Cleaned_Data[[#This Row],[Discount_Amount]]</f>
        <v>28350</v>
      </c>
      <c r="P844" t="str">
        <f>TEXT(Cleaned_Data[[#This Row],[Order_Date]],"MMM-YYYY")</f>
        <v>Aug-2023</v>
      </c>
      <c r="Q844" t="str">
        <f>"Q"&amp;ROUNDUP(MONTH(Cleaned_Data[[#This Row],[Order_Date]])/3,0)&amp;"-2023"</f>
        <v>Q3-2023</v>
      </c>
      <c r="R844" t="str">
        <f>TEXT(Cleaned_Data[[#This Row],[Order_Date]],"DDD")</f>
        <v>Sat</v>
      </c>
      <c r="S844" t="str">
        <f>IF(Cleaned_Data[[#This Row],[Net_Sales]]&gt;=100000,"High",IF(Cleaned_Data[[#This Row],[Net_Sales]]&gt;=50000,"Medium","Low"))</f>
        <v>Low</v>
      </c>
    </row>
    <row r="845" spans="1:19" x14ac:dyDescent="0.3">
      <c r="A845" t="s">
        <v>993</v>
      </c>
      <c r="B845" s="1">
        <v>45195</v>
      </c>
      <c r="C845" t="s">
        <v>75</v>
      </c>
      <c r="D845" t="s">
        <v>76</v>
      </c>
      <c r="E845" t="s">
        <v>23</v>
      </c>
      <c r="F845" t="s">
        <v>24</v>
      </c>
      <c r="G845" t="s">
        <v>97</v>
      </c>
      <c r="H845" t="s">
        <v>174</v>
      </c>
      <c r="I845">
        <v>1</v>
      </c>
      <c r="J845" s="8">
        <v>65700</v>
      </c>
      <c r="K845">
        <v>10</v>
      </c>
      <c r="L845" t="s">
        <v>33</v>
      </c>
      <c r="M845" s="5">
        <f>Cleaned_Data[[#This Row],[Quantity]]*Cleaned_Data[[#This Row],[Unit_Price]]</f>
        <v>65700</v>
      </c>
      <c r="N845" s="7">
        <f>Cleaned_Data[[#This Row],[Total_sales]]*(Cleaned_Data[[#This Row],[Discount_Percent]]/100)</f>
        <v>6570</v>
      </c>
      <c r="O845" s="7">
        <f>Cleaned_Data[[#This Row],[Total_sales]]-Cleaned_Data[[#This Row],[Discount_Amount]]</f>
        <v>59130</v>
      </c>
      <c r="P845" t="str">
        <f>TEXT(Cleaned_Data[[#This Row],[Order_Date]],"MMM-YYYY")</f>
        <v>Sep-2023</v>
      </c>
      <c r="Q845" t="str">
        <f>"Q"&amp;ROUNDUP(MONTH(Cleaned_Data[[#This Row],[Order_Date]])/3,0)&amp;"-2023"</f>
        <v>Q3-2023</v>
      </c>
      <c r="R845" t="str">
        <f>TEXT(Cleaned_Data[[#This Row],[Order_Date]],"DDD")</f>
        <v>Tue</v>
      </c>
      <c r="S845" t="str">
        <f>IF(Cleaned_Data[[#This Row],[Net_Sales]]&gt;=100000,"High",IF(Cleaned_Data[[#This Row],[Net_Sales]]&gt;=50000,"Medium","Low"))</f>
        <v>Medium</v>
      </c>
    </row>
    <row r="846" spans="1:19" x14ac:dyDescent="0.3">
      <c r="A846" t="s">
        <v>994</v>
      </c>
      <c r="B846" s="1">
        <v>45195</v>
      </c>
      <c r="C846" t="s">
        <v>203</v>
      </c>
      <c r="D846" t="s">
        <v>204</v>
      </c>
      <c r="E846" t="s">
        <v>81</v>
      </c>
      <c r="F846" t="s">
        <v>82</v>
      </c>
      <c r="G846" t="s">
        <v>39</v>
      </c>
      <c r="H846" t="s">
        <v>102</v>
      </c>
      <c r="I846">
        <v>1</v>
      </c>
      <c r="J846" s="8">
        <v>23200</v>
      </c>
      <c r="K846">
        <v>10</v>
      </c>
      <c r="L846" t="s">
        <v>103</v>
      </c>
      <c r="M846" s="5">
        <f>Cleaned_Data[[#This Row],[Quantity]]*Cleaned_Data[[#This Row],[Unit_Price]]</f>
        <v>23200</v>
      </c>
      <c r="N846" s="7">
        <f>Cleaned_Data[[#This Row],[Total_sales]]*(Cleaned_Data[[#This Row],[Discount_Percent]]/100)</f>
        <v>2320</v>
      </c>
      <c r="O846" s="7">
        <f>Cleaned_Data[[#This Row],[Total_sales]]-Cleaned_Data[[#This Row],[Discount_Amount]]</f>
        <v>20880</v>
      </c>
      <c r="P846" t="str">
        <f>TEXT(Cleaned_Data[[#This Row],[Order_Date]],"MMM-YYYY")</f>
        <v>Sep-2023</v>
      </c>
      <c r="Q846" t="str">
        <f>"Q"&amp;ROUNDUP(MONTH(Cleaned_Data[[#This Row],[Order_Date]])/3,0)&amp;"-2023"</f>
        <v>Q3-2023</v>
      </c>
      <c r="R846" t="str">
        <f>TEXT(Cleaned_Data[[#This Row],[Order_Date]],"DDD")</f>
        <v>Tue</v>
      </c>
      <c r="S846" t="str">
        <f>IF(Cleaned_Data[[#This Row],[Net_Sales]]&gt;=100000,"High",IF(Cleaned_Data[[#This Row],[Net_Sales]]&gt;=50000,"Medium","Low"))</f>
        <v>Low</v>
      </c>
    </row>
    <row r="847" spans="1:19" x14ac:dyDescent="0.3">
      <c r="A847" t="s">
        <v>995</v>
      </c>
      <c r="B847" s="1">
        <v>45225</v>
      </c>
      <c r="C847" t="s">
        <v>70</v>
      </c>
      <c r="D847" t="s">
        <v>71</v>
      </c>
      <c r="E847" t="s">
        <v>66</v>
      </c>
      <c r="F847" t="s">
        <v>67</v>
      </c>
      <c r="G847" t="s">
        <v>97</v>
      </c>
      <c r="H847" t="s">
        <v>133</v>
      </c>
      <c r="I847">
        <v>1</v>
      </c>
      <c r="J847" s="8">
        <v>60200</v>
      </c>
      <c r="K847">
        <v>0</v>
      </c>
      <c r="L847" t="s">
        <v>27</v>
      </c>
      <c r="M847" s="5">
        <f>Cleaned_Data[[#This Row],[Quantity]]*Cleaned_Data[[#This Row],[Unit_Price]]</f>
        <v>60200</v>
      </c>
      <c r="N847" s="7">
        <f>Cleaned_Data[[#This Row],[Total_sales]]*(Cleaned_Data[[#This Row],[Discount_Percent]]/100)</f>
        <v>0</v>
      </c>
      <c r="O847" s="7">
        <f>Cleaned_Data[[#This Row],[Total_sales]]-Cleaned_Data[[#This Row],[Discount_Amount]]</f>
        <v>60200</v>
      </c>
      <c r="P847" t="str">
        <f>TEXT(Cleaned_Data[[#This Row],[Order_Date]],"MMM-YYYY")</f>
        <v>Oct-2023</v>
      </c>
      <c r="Q847" t="str">
        <f>"Q"&amp;ROUNDUP(MONTH(Cleaned_Data[[#This Row],[Order_Date]])/3,0)&amp;"-2023"</f>
        <v>Q4-2023</v>
      </c>
      <c r="R847" t="str">
        <f>TEXT(Cleaned_Data[[#This Row],[Order_Date]],"DDD")</f>
        <v>Thu</v>
      </c>
      <c r="S847" t="str">
        <f>IF(Cleaned_Data[[#This Row],[Net_Sales]]&gt;=100000,"High",IF(Cleaned_Data[[#This Row],[Net_Sales]]&gt;=50000,"Medium","Low"))</f>
        <v>Medium</v>
      </c>
    </row>
    <row r="848" spans="1:19" x14ac:dyDescent="0.3">
      <c r="A848" t="s">
        <v>996</v>
      </c>
      <c r="B848" s="1">
        <v>45225</v>
      </c>
      <c r="C848" t="s">
        <v>122</v>
      </c>
      <c r="D848" t="s">
        <v>123</v>
      </c>
      <c r="E848" t="s">
        <v>15</v>
      </c>
      <c r="F848" t="s">
        <v>128</v>
      </c>
      <c r="G848" t="s">
        <v>25</v>
      </c>
      <c r="H848" t="s">
        <v>32</v>
      </c>
      <c r="I848">
        <v>2</v>
      </c>
      <c r="J848" s="8">
        <v>2400</v>
      </c>
      <c r="K848">
        <v>0</v>
      </c>
      <c r="L848" t="s">
        <v>53</v>
      </c>
      <c r="M848" s="5">
        <f>Cleaned_Data[[#This Row],[Quantity]]*Cleaned_Data[[#This Row],[Unit_Price]]</f>
        <v>4800</v>
      </c>
      <c r="N848" s="7">
        <f>Cleaned_Data[[#This Row],[Total_sales]]*(Cleaned_Data[[#This Row],[Discount_Percent]]/100)</f>
        <v>0</v>
      </c>
      <c r="O848" s="7">
        <f>Cleaned_Data[[#This Row],[Total_sales]]-Cleaned_Data[[#This Row],[Discount_Amount]]</f>
        <v>4800</v>
      </c>
      <c r="P848" t="str">
        <f>TEXT(Cleaned_Data[[#This Row],[Order_Date]],"MMM-YYYY")</f>
        <v>Oct-2023</v>
      </c>
      <c r="Q848" t="str">
        <f>"Q"&amp;ROUNDUP(MONTH(Cleaned_Data[[#This Row],[Order_Date]])/3,0)&amp;"-2023"</f>
        <v>Q4-2023</v>
      </c>
      <c r="R848" t="str">
        <f>TEXT(Cleaned_Data[[#This Row],[Order_Date]],"DDD")</f>
        <v>Thu</v>
      </c>
      <c r="S848" t="str">
        <f>IF(Cleaned_Data[[#This Row],[Net_Sales]]&gt;=100000,"High",IF(Cleaned_Data[[#This Row],[Net_Sales]]&gt;=50000,"Medium","Low"))</f>
        <v>Low</v>
      </c>
    </row>
    <row r="849" spans="1:19" x14ac:dyDescent="0.3">
      <c r="A849" t="s">
        <v>997</v>
      </c>
      <c r="B849" s="1">
        <v>45225</v>
      </c>
      <c r="C849" t="s">
        <v>29</v>
      </c>
      <c r="D849" t="s">
        <v>30</v>
      </c>
      <c r="E849" t="s">
        <v>15</v>
      </c>
      <c r="F849" t="s">
        <v>16</v>
      </c>
      <c r="G849" t="s">
        <v>97</v>
      </c>
      <c r="H849" t="s">
        <v>174</v>
      </c>
      <c r="I849">
        <v>1</v>
      </c>
      <c r="J849" s="8">
        <v>48900</v>
      </c>
      <c r="K849">
        <v>0</v>
      </c>
      <c r="L849" t="s">
        <v>73</v>
      </c>
      <c r="M849" s="5">
        <f>Cleaned_Data[[#This Row],[Quantity]]*Cleaned_Data[[#This Row],[Unit_Price]]</f>
        <v>48900</v>
      </c>
      <c r="N849" s="7">
        <f>Cleaned_Data[[#This Row],[Total_sales]]*(Cleaned_Data[[#This Row],[Discount_Percent]]/100)</f>
        <v>0</v>
      </c>
      <c r="O849" s="7">
        <f>Cleaned_Data[[#This Row],[Total_sales]]-Cleaned_Data[[#This Row],[Discount_Amount]]</f>
        <v>48900</v>
      </c>
      <c r="P849" t="str">
        <f>TEXT(Cleaned_Data[[#This Row],[Order_Date]],"MMM-YYYY")</f>
        <v>Oct-2023</v>
      </c>
      <c r="Q849" t="str">
        <f>"Q"&amp;ROUNDUP(MONTH(Cleaned_Data[[#This Row],[Order_Date]])/3,0)&amp;"-2023"</f>
        <v>Q4-2023</v>
      </c>
      <c r="R849" t="str">
        <f>TEXT(Cleaned_Data[[#This Row],[Order_Date]],"DDD")</f>
        <v>Thu</v>
      </c>
      <c r="S849" t="str">
        <f>IF(Cleaned_Data[[#This Row],[Net_Sales]]&gt;=100000,"High",IF(Cleaned_Data[[#This Row],[Net_Sales]]&gt;=50000,"Medium","Low"))</f>
        <v>Low</v>
      </c>
    </row>
    <row r="850" spans="1:19" x14ac:dyDescent="0.3">
      <c r="A850" t="s">
        <v>998</v>
      </c>
      <c r="B850" s="1">
        <v>45225</v>
      </c>
      <c r="C850" t="s">
        <v>105</v>
      </c>
      <c r="D850" t="s">
        <v>106</v>
      </c>
      <c r="E850" t="s">
        <v>37</v>
      </c>
      <c r="F850" t="s">
        <v>38</v>
      </c>
      <c r="G850" t="s">
        <v>45</v>
      </c>
      <c r="H850" t="s">
        <v>52</v>
      </c>
      <c r="I850">
        <v>1</v>
      </c>
      <c r="J850" s="8">
        <v>37900</v>
      </c>
      <c r="K850">
        <v>0</v>
      </c>
      <c r="L850" t="s">
        <v>27</v>
      </c>
      <c r="M850" s="5">
        <f>Cleaned_Data[[#This Row],[Quantity]]*Cleaned_Data[[#This Row],[Unit_Price]]</f>
        <v>37900</v>
      </c>
      <c r="N850" s="7">
        <f>Cleaned_Data[[#This Row],[Total_sales]]*(Cleaned_Data[[#This Row],[Discount_Percent]]/100)</f>
        <v>0</v>
      </c>
      <c r="O850" s="7">
        <f>Cleaned_Data[[#This Row],[Total_sales]]-Cleaned_Data[[#This Row],[Discount_Amount]]</f>
        <v>37900</v>
      </c>
      <c r="P850" t="str">
        <f>TEXT(Cleaned_Data[[#This Row],[Order_Date]],"MMM-YYYY")</f>
        <v>Oct-2023</v>
      </c>
      <c r="Q850" t="str">
        <f>"Q"&amp;ROUNDUP(MONTH(Cleaned_Data[[#This Row],[Order_Date]])/3,0)&amp;"-2023"</f>
        <v>Q4-2023</v>
      </c>
      <c r="R850" t="str">
        <f>TEXT(Cleaned_Data[[#This Row],[Order_Date]],"DDD")</f>
        <v>Thu</v>
      </c>
      <c r="S850" t="str">
        <f>IF(Cleaned_Data[[#This Row],[Net_Sales]]&gt;=100000,"High",IF(Cleaned_Data[[#This Row],[Net_Sales]]&gt;=50000,"Medium","Low"))</f>
        <v>Low</v>
      </c>
    </row>
    <row r="851" spans="1:19" x14ac:dyDescent="0.3">
      <c r="A851" t="s">
        <v>999</v>
      </c>
      <c r="B851" s="1">
        <v>45256</v>
      </c>
      <c r="C851" t="s">
        <v>180</v>
      </c>
      <c r="D851" t="s">
        <v>181</v>
      </c>
      <c r="E851" t="s">
        <v>66</v>
      </c>
      <c r="F851" t="s">
        <v>92</v>
      </c>
      <c r="G851" t="s">
        <v>25</v>
      </c>
      <c r="H851" t="s">
        <v>108</v>
      </c>
      <c r="I851">
        <v>1</v>
      </c>
      <c r="J851" s="8">
        <v>1300</v>
      </c>
      <c r="K851">
        <v>10</v>
      </c>
      <c r="L851" t="s">
        <v>47</v>
      </c>
      <c r="M851" s="5">
        <f>Cleaned_Data[[#This Row],[Quantity]]*Cleaned_Data[[#This Row],[Unit_Price]]</f>
        <v>1300</v>
      </c>
      <c r="N851" s="7">
        <f>Cleaned_Data[[#This Row],[Total_sales]]*(Cleaned_Data[[#This Row],[Discount_Percent]]/100)</f>
        <v>130</v>
      </c>
      <c r="O851" s="7">
        <f>Cleaned_Data[[#This Row],[Total_sales]]-Cleaned_Data[[#This Row],[Discount_Amount]]</f>
        <v>1170</v>
      </c>
      <c r="P851" t="str">
        <f>TEXT(Cleaned_Data[[#This Row],[Order_Date]],"MMM-YYYY")</f>
        <v>Nov-2023</v>
      </c>
      <c r="Q851" t="str">
        <f>"Q"&amp;ROUNDUP(MONTH(Cleaned_Data[[#This Row],[Order_Date]])/3,0)&amp;"-2023"</f>
        <v>Q4-2023</v>
      </c>
      <c r="R851" t="str">
        <f>TEXT(Cleaned_Data[[#This Row],[Order_Date]],"DDD")</f>
        <v>Sun</v>
      </c>
      <c r="S851" t="str">
        <f>IF(Cleaned_Data[[#This Row],[Net_Sales]]&gt;=100000,"High",IF(Cleaned_Data[[#This Row],[Net_Sales]]&gt;=50000,"Medium","Low"))</f>
        <v>Low</v>
      </c>
    </row>
    <row r="852" spans="1:19" x14ac:dyDescent="0.3">
      <c r="A852" t="s">
        <v>1000</v>
      </c>
      <c r="B852" s="1">
        <v>45256</v>
      </c>
      <c r="C852" t="s">
        <v>250</v>
      </c>
      <c r="D852" t="s">
        <v>251</v>
      </c>
      <c r="E852" t="s">
        <v>37</v>
      </c>
      <c r="F852" t="s">
        <v>141</v>
      </c>
      <c r="G852" t="s">
        <v>25</v>
      </c>
      <c r="H852" t="s">
        <v>32</v>
      </c>
      <c r="I852">
        <v>2</v>
      </c>
      <c r="J852" s="8">
        <v>2400</v>
      </c>
      <c r="K852">
        <v>0</v>
      </c>
      <c r="L852" t="s">
        <v>73</v>
      </c>
      <c r="M852" s="5">
        <f>Cleaned_Data[[#This Row],[Quantity]]*Cleaned_Data[[#This Row],[Unit_Price]]</f>
        <v>4800</v>
      </c>
      <c r="N852" s="7">
        <f>Cleaned_Data[[#This Row],[Total_sales]]*(Cleaned_Data[[#This Row],[Discount_Percent]]/100)</f>
        <v>0</v>
      </c>
      <c r="O852" s="7">
        <f>Cleaned_Data[[#This Row],[Total_sales]]-Cleaned_Data[[#This Row],[Discount_Amount]]</f>
        <v>4800</v>
      </c>
      <c r="P852" t="str">
        <f>TEXT(Cleaned_Data[[#This Row],[Order_Date]],"MMM-YYYY")</f>
        <v>Nov-2023</v>
      </c>
      <c r="Q852" t="str">
        <f>"Q"&amp;ROUNDUP(MONTH(Cleaned_Data[[#This Row],[Order_Date]])/3,0)&amp;"-2023"</f>
        <v>Q4-2023</v>
      </c>
      <c r="R852" t="str">
        <f>TEXT(Cleaned_Data[[#This Row],[Order_Date]],"DDD")</f>
        <v>Sun</v>
      </c>
      <c r="S852" t="str">
        <f>IF(Cleaned_Data[[#This Row],[Net_Sales]]&gt;=100000,"High",IF(Cleaned_Data[[#This Row],[Net_Sales]]&gt;=50000,"Medium","Low"))</f>
        <v>Low</v>
      </c>
    </row>
    <row r="853" spans="1:19" x14ac:dyDescent="0.3">
      <c r="A853" t="s">
        <v>1001</v>
      </c>
      <c r="B853" s="1">
        <v>45256</v>
      </c>
      <c r="C853" t="s">
        <v>183</v>
      </c>
      <c r="D853" t="s">
        <v>27</v>
      </c>
      <c r="E853" t="s">
        <v>23</v>
      </c>
      <c r="F853" t="s">
        <v>24</v>
      </c>
      <c r="G853" t="s">
        <v>25</v>
      </c>
      <c r="H853" t="s">
        <v>212</v>
      </c>
      <c r="I853">
        <v>2</v>
      </c>
      <c r="J853" s="8">
        <v>1800</v>
      </c>
      <c r="K853">
        <v>10</v>
      </c>
      <c r="L853" t="s">
        <v>73</v>
      </c>
      <c r="M853" s="5">
        <f>Cleaned_Data[[#This Row],[Quantity]]*Cleaned_Data[[#This Row],[Unit_Price]]</f>
        <v>3600</v>
      </c>
      <c r="N853" s="7">
        <f>Cleaned_Data[[#This Row],[Total_sales]]*(Cleaned_Data[[#This Row],[Discount_Percent]]/100)</f>
        <v>360</v>
      </c>
      <c r="O853" s="7">
        <f>Cleaned_Data[[#This Row],[Total_sales]]-Cleaned_Data[[#This Row],[Discount_Amount]]</f>
        <v>3240</v>
      </c>
      <c r="P853" t="str">
        <f>TEXT(Cleaned_Data[[#This Row],[Order_Date]],"MMM-YYYY")</f>
        <v>Nov-2023</v>
      </c>
      <c r="Q853" t="str">
        <f>"Q"&amp;ROUNDUP(MONTH(Cleaned_Data[[#This Row],[Order_Date]])/3,0)&amp;"-2023"</f>
        <v>Q4-2023</v>
      </c>
      <c r="R853" t="str">
        <f>TEXT(Cleaned_Data[[#This Row],[Order_Date]],"DDD")</f>
        <v>Sun</v>
      </c>
      <c r="S853" t="str">
        <f>IF(Cleaned_Data[[#This Row],[Net_Sales]]&gt;=100000,"High",IF(Cleaned_Data[[#This Row],[Net_Sales]]&gt;=50000,"Medium","Low"))</f>
        <v>Low</v>
      </c>
    </row>
    <row r="854" spans="1:19" x14ac:dyDescent="0.3">
      <c r="A854" t="s">
        <v>1002</v>
      </c>
      <c r="B854" s="1">
        <v>45256</v>
      </c>
      <c r="C854" t="s">
        <v>64</v>
      </c>
      <c r="D854" t="s">
        <v>65</v>
      </c>
      <c r="E854" t="s">
        <v>37</v>
      </c>
      <c r="F854" t="s">
        <v>141</v>
      </c>
      <c r="G854" t="s">
        <v>45</v>
      </c>
      <c r="H854" t="s">
        <v>52</v>
      </c>
      <c r="I854">
        <v>1</v>
      </c>
      <c r="J854" s="8">
        <v>30100</v>
      </c>
      <c r="K854">
        <v>15</v>
      </c>
      <c r="L854" t="s">
        <v>19</v>
      </c>
      <c r="M854" s="5">
        <f>Cleaned_Data[[#This Row],[Quantity]]*Cleaned_Data[[#This Row],[Unit_Price]]</f>
        <v>30100</v>
      </c>
      <c r="N854" s="7">
        <f>Cleaned_Data[[#This Row],[Total_sales]]*(Cleaned_Data[[#This Row],[Discount_Percent]]/100)</f>
        <v>4515</v>
      </c>
      <c r="O854" s="7">
        <f>Cleaned_Data[[#This Row],[Total_sales]]-Cleaned_Data[[#This Row],[Discount_Amount]]</f>
        <v>25585</v>
      </c>
      <c r="P854" t="str">
        <f>TEXT(Cleaned_Data[[#This Row],[Order_Date]],"MMM-YYYY")</f>
        <v>Nov-2023</v>
      </c>
      <c r="Q854" t="str">
        <f>"Q"&amp;ROUNDUP(MONTH(Cleaned_Data[[#This Row],[Order_Date]])/3,0)&amp;"-2023"</f>
        <v>Q4-2023</v>
      </c>
      <c r="R854" t="str">
        <f>TEXT(Cleaned_Data[[#This Row],[Order_Date]],"DDD")</f>
        <v>Sun</v>
      </c>
      <c r="S854" t="str">
        <f>IF(Cleaned_Data[[#This Row],[Net_Sales]]&gt;=100000,"High",IF(Cleaned_Data[[#This Row],[Net_Sales]]&gt;=50000,"Medium","Low"))</f>
        <v>Low</v>
      </c>
    </row>
    <row r="855" spans="1:19" x14ac:dyDescent="0.3">
      <c r="A855" t="s">
        <v>1003</v>
      </c>
      <c r="B855" s="1">
        <v>45286</v>
      </c>
      <c r="C855" t="s">
        <v>59</v>
      </c>
      <c r="D855" t="s">
        <v>60</v>
      </c>
      <c r="E855" t="s">
        <v>23</v>
      </c>
      <c r="F855" t="s">
        <v>24</v>
      </c>
      <c r="G855" t="s">
        <v>17</v>
      </c>
      <c r="H855" t="s">
        <v>77</v>
      </c>
      <c r="I855">
        <v>1</v>
      </c>
      <c r="J855" s="8">
        <v>21000</v>
      </c>
      <c r="K855">
        <v>0</v>
      </c>
      <c r="L855" t="s">
        <v>19</v>
      </c>
      <c r="M855" s="5">
        <f>Cleaned_Data[[#This Row],[Quantity]]*Cleaned_Data[[#This Row],[Unit_Price]]</f>
        <v>21000</v>
      </c>
      <c r="N855" s="7">
        <f>Cleaned_Data[[#This Row],[Total_sales]]*(Cleaned_Data[[#This Row],[Discount_Percent]]/100)</f>
        <v>0</v>
      </c>
      <c r="O855" s="7">
        <f>Cleaned_Data[[#This Row],[Total_sales]]-Cleaned_Data[[#This Row],[Discount_Amount]]</f>
        <v>21000</v>
      </c>
      <c r="P855" t="str">
        <f>TEXT(Cleaned_Data[[#This Row],[Order_Date]],"MMM-YYYY")</f>
        <v>Dec-2023</v>
      </c>
      <c r="Q855" t="str">
        <f>"Q"&amp;ROUNDUP(MONTH(Cleaned_Data[[#This Row],[Order_Date]])/3,0)&amp;"-2023"</f>
        <v>Q4-2023</v>
      </c>
      <c r="R855" t="str">
        <f>TEXT(Cleaned_Data[[#This Row],[Order_Date]],"DDD")</f>
        <v>Tue</v>
      </c>
      <c r="S855" t="str">
        <f>IF(Cleaned_Data[[#This Row],[Net_Sales]]&gt;=100000,"High",IF(Cleaned_Data[[#This Row],[Net_Sales]]&gt;=50000,"Medium","Low"))</f>
        <v>Low</v>
      </c>
    </row>
    <row r="856" spans="1:19" x14ac:dyDescent="0.3">
      <c r="A856" t="s">
        <v>1004</v>
      </c>
      <c r="B856" s="1">
        <v>45286</v>
      </c>
      <c r="C856" t="s">
        <v>183</v>
      </c>
      <c r="D856" t="s">
        <v>27</v>
      </c>
      <c r="E856" t="s">
        <v>37</v>
      </c>
      <c r="F856" t="s">
        <v>101</v>
      </c>
      <c r="G856" t="s">
        <v>17</v>
      </c>
      <c r="H856" t="s">
        <v>88</v>
      </c>
      <c r="I856">
        <v>1</v>
      </c>
      <c r="J856" s="8">
        <v>42300</v>
      </c>
      <c r="K856">
        <v>5</v>
      </c>
      <c r="L856" t="s">
        <v>73</v>
      </c>
      <c r="M856" s="5">
        <f>Cleaned_Data[[#This Row],[Quantity]]*Cleaned_Data[[#This Row],[Unit_Price]]</f>
        <v>42300</v>
      </c>
      <c r="N856" s="7">
        <f>Cleaned_Data[[#This Row],[Total_sales]]*(Cleaned_Data[[#This Row],[Discount_Percent]]/100)</f>
        <v>2115</v>
      </c>
      <c r="O856" s="7">
        <f>Cleaned_Data[[#This Row],[Total_sales]]-Cleaned_Data[[#This Row],[Discount_Amount]]</f>
        <v>40185</v>
      </c>
      <c r="P856" t="str">
        <f>TEXT(Cleaned_Data[[#This Row],[Order_Date]],"MMM-YYYY")</f>
        <v>Dec-2023</v>
      </c>
      <c r="Q856" t="str">
        <f>"Q"&amp;ROUNDUP(MONTH(Cleaned_Data[[#This Row],[Order_Date]])/3,0)&amp;"-2023"</f>
        <v>Q4-2023</v>
      </c>
      <c r="R856" t="str">
        <f>TEXT(Cleaned_Data[[#This Row],[Order_Date]],"DDD")</f>
        <v>Tue</v>
      </c>
      <c r="S856" t="str">
        <f>IF(Cleaned_Data[[#This Row],[Net_Sales]]&gt;=100000,"High",IF(Cleaned_Data[[#This Row],[Net_Sales]]&gt;=50000,"Medium","Low"))</f>
        <v>Low</v>
      </c>
    </row>
    <row r="857" spans="1:19" x14ac:dyDescent="0.3">
      <c r="A857" t="s">
        <v>1005</v>
      </c>
      <c r="B857" s="1">
        <v>44953</v>
      </c>
      <c r="C857" t="s">
        <v>165</v>
      </c>
      <c r="D857" t="s">
        <v>166</v>
      </c>
      <c r="E857" t="s">
        <v>37</v>
      </c>
      <c r="F857" t="s">
        <v>101</v>
      </c>
      <c r="G857" t="s">
        <v>17</v>
      </c>
      <c r="H857" t="s">
        <v>77</v>
      </c>
      <c r="I857">
        <v>1</v>
      </c>
      <c r="J857" s="8">
        <v>27400</v>
      </c>
      <c r="K857">
        <v>10</v>
      </c>
      <c r="L857" t="s">
        <v>62</v>
      </c>
      <c r="M857" s="5">
        <f>Cleaned_Data[[#This Row],[Quantity]]*Cleaned_Data[[#This Row],[Unit_Price]]</f>
        <v>27400</v>
      </c>
      <c r="N857" s="7">
        <f>Cleaned_Data[[#This Row],[Total_sales]]*(Cleaned_Data[[#This Row],[Discount_Percent]]/100)</f>
        <v>2740</v>
      </c>
      <c r="O857" s="7">
        <f>Cleaned_Data[[#This Row],[Total_sales]]-Cleaned_Data[[#This Row],[Discount_Amount]]</f>
        <v>24660</v>
      </c>
      <c r="P857" t="str">
        <f>TEXT(Cleaned_Data[[#This Row],[Order_Date]],"MMM-YYYY")</f>
        <v>Jan-2023</v>
      </c>
      <c r="Q857" t="str">
        <f>"Q"&amp;ROUNDUP(MONTH(Cleaned_Data[[#This Row],[Order_Date]])/3,0)&amp;"-2023"</f>
        <v>Q1-2023</v>
      </c>
      <c r="R857" t="str">
        <f>TEXT(Cleaned_Data[[#This Row],[Order_Date]],"DDD")</f>
        <v>Fri</v>
      </c>
      <c r="S857" t="str">
        <f>IF(Cleaned_Data[[#This Row],[Net_Sales]]&gt;=100000,"High",IF(Cleaned_Data[[#This Row],[Net_Sales]]&gt;=50000,"Medium","Low"))</f>
        <v>Low</v>
      </c>
    </row>
    <row r="858" spans="1:19" x14ac:dyDescent="0.3">
      <c r="A858" t="s">
        <v>1006</v>
      </c>
      <c r="B858" s="1">
        <v>44953</v>
      </c>
      <c r="C858" t="s">
        <v>163</v>
      </c>
      <c r="D858" t="s">
        <v>73</v>
      </c>
      <c r="E858" t="s">
        <v>66</v>
      </c>
      <c r="F858" t="s">
        <v>92</v>
      </c>
      <c r="G858" t="s">
        <v>39</v>
      </c>
      <c r="H858" t="s">
        <v>102</v>
      </c>
      <c r="I858">
        <v>1</v>
      </c>
      <c r="J858" s="8">
        <v>31000</v>
      </c>
      <c r="K858">
        <v>20</v>
      </c>
      <c r="L858" t="s">
        <v>47</v>
      </c>
      <c r="M858" s="5">
        <f>Cleaned_Data[[#This Row],[Quantity]]*Cleaned_Data[[#This Row],[Unit_Price]]</f>
        <v>31000</v>
      </c>
      <c r="N858" s="7">
        <f>Cleaned_Data[[#This Row],[Total_sales]]*(Cleaned_Data[[#This Row],[Discount_Percent]]/100)</f>
        <v>6200</v>
      </c>
      <c r="O858" s="7">
        <f>Cleaned_Data[[#This Row],[Total_sales]]-Cleaned_Data[[#This Row],[Discount_Amount]]</f>
        <v>24800</v>
      </c>
      <c r="P858" t="str">
        <f>TEXT(Cleaned_Data[[#This Row],[Order_Date]],"MMM-YYYY")</f>
        <v>Jan-2023</v>
      </c>
      <c r="Q858" t="str">
        <f>"Q"&amp;ROUNDUP(MONTH(Cleaned_Data[[#This Row],[Order_Date]])/3,0)&amp;"-2023"</f>
        <v>Q1-2023</v>
      </c>
      <c r="R858" t="str">
        <f>TEXT(Cleaned_Data[[#This Row],[Order_Date]],"DDD")</f>
        <v>Fri</v>
      </c>
      <c r="S858" t="str">
        <f>IF(Cleaned_Data[[#This Row],[Net_Sales]]&gt;=100000,"High",IF(Cleaned_Data[[#This Row],[Net_Sales]]&gt;=50000,"Medium","Low"))</f>
        <v>Low</v>
      </c>
    </row>
    <row r="859" spans="1:19" x14ac:dyDescent="0.3">
      <c r="A859" t="s">
        <v>1007</v>
      </c>
      <c r="B859" s="1">
        <v>44953</v>
      </c>
      <c r="C859" t="s">
        <v>203</v>
      </c>
      <c r="D859" t="s">
        <v>204</v>
      </c>
      <c r="E859" t="s">
        <v>37</v>
      </c>
      <c r="F859" t="s">
        <v>141</v>
      </c>
      <c r="G859" t="s">
        <v>25</v>
      </c>
      <c r="H859" t="s">
        <v>212</v>
      </c>
      <c r="I859">
        <v>2</v>
      </c>
      <c r="J859" s="8">
        <v>2200</v>
      </c>
      <c r="K859">
        <v>5</v>
      </c>
      <c r="L859" t="s">
        <v>33</v>
      </c>
      <c r="M859" s="5">
        <f>Cleaned_Data[[#This Row],[Quantity]]*Cleaned_Data[[#This Row],[Unit_Price]]</f>
        <v>4400</v>
      </c>
      <c r="N859" s="7">
        <f>Cleaned_Data[[#This Row],[Total_sales]]*(Cleaned_Data[[#This Row],[Discount_Percent]]/100)</f>
        <v>220</v>
      </c>
      <c r="O859" s="7">
        <f>Cleaned_Data[[#This Row],[Total_sales]]-Cleaned_Data[[#This Row],[Discount_Amount]]</f>
        <v>4180</v>
      </c>
      <c r="P859" t="str">
        <f>TEXT(Cleaned_Data[[#This Row],[Order_Date]],"MMM-YYYY")</f>
        <v>Jan-2023</v>
      </c>
      <c r="Q859" t="str">
        <f>"Q"&amp;ROUNDUP(MONTH(Cleaned_Data[[#This Row],[Order_Date]])/3,0)&amp;"-2023"</f>
        <v>Q1-2023</v>
      </c>
      <c r="R859" t="str">
        <f>TEXT(Cleaned_Data[[#This Row],[Order_Date]],"DDD")</f>
        <v>Fri</v>
      </c>
      <c r="S859" t="str">
        <f>IF(Cleaned_Data[[#This Row],[Net_Sales]]&gt;=100000,"High",IF(Cleaned_Data[[#This Row],[Net_Sales]]&gt;=50000,"Medium","Low"))</f>
        <v>Low</v>
      </c>
    </row>
    <row r="860" spans="1:19" x14ac:dyDescent="0.3">
      <c r="A860" t="s">
        <v>1008</v>
      </c>
      <c r="B860" s="1">
        <v>44953</v>
      </c>
      <c r="C860" t="s">
        <v>176</v>
      </c>
      <c r="D860" t="s">
        <v>177</v>
      </c>
      <c r="E860" t="s">
        <v>23</v>
      </c>
      <c r="F860" t="s">
        <v>44</v>
      </c>
      <c r="G860" t="s">
        <v>45</v>
      </c>
      <c r="H860" t="s">
        <v>156</v>
      </c>
      <c r="I860">
        <v>1</v>
      </c>
      <c r="J860" s="8">
        <v>36300</v>
      </c>
      <c r="K860">
        <v>25</v>
      </c>
      <c r="L860" t="s">
        <v>53</v>
      </c>
      <c r="M860" s="5">
        <f>Cleaned_Data[[#This Row],[Quantity]]*Cleaned_Data[[#This Row],[Unit_Price]]</f>
        <v>36300</v>
      </c>
      <c r="N860" s="7">
        <f>Cleaned_Data[[#This Row],[Total_sales]]*(Cleaned_Data[[#This Row],[Discount_Percent]]/100)</f>
        <v>9075</v>
      </c>
      <c r="O860" s="7">
        <f>Cleaned_Data[[#This Row],[Total_sales]]-Cleaned_Data[[#This Row],[Discount_Amount]]</f>
        <v>27225</v>
      </c>
      <c r="P860" t="str">
        <f>TEXT(Cleaned_Data[[#This Row],[Order_Date]],"MMM-YYYY")</f>
        <v>Jan-2023</v>
      </c>
      <c r="Q860" t="str">
        <f>"Q"&amp;ROUNDUP(MONTH(Cleaned_Data[[#This Row],[Order_Date]])/3,0)&amp;"-2023"</f>
        <v>Q1-2023</v>
      </c>
      <c r="R860" t="str">
        <f>TEXT(Cleaned_Data[[#This Row],[Order_Date]],"DDD")</f>
        <v>Fri</v>
      </c>
      <c r="S860" t="str">
        <f>IF(Cleaned_Data[[#This Row],[Net_Sales]]&gt;=100000,"High",IF(Cleaned_Data[[#This Row],[Net_Sales]]&gt;=50000,"Medium","Low"))</f>
        <v>Low</v>
      </c>
    </row>
    <row r="861" spans="1:19" x14ac:dyDescent="0.3">
      <c r="A861" t="s">
        <v>1009</v>
      </c>
      <c r="B861" s="1">
        <v>44984</v>
      </c>
      <c r="C861" t="s">
        <v>112</v>
      </c>
      <c r="D861" t="s">
        <v>113</v>
      </c>
      <c r="E861" t="s">
        <v>23</v>
      </c>
      <c r="F861" t="s">
        <v>51</v>
      </c>
      <c r="G861" t="s">
        <v>97</v>
      </c>
      <c r="H861" t="s">
        <v>171</v>
      </c>
      <c r="I861">
        <v>1</v>
      </c>
      <c r="J861" s="8">
        <v>66000</v>
      </c>
      <c r="K861">
        <v>15</v>
      </c>
      <c r="L861" t="s">
        <v>33</v>
      </c>
      <c r="M861" s="5">
        <f>Cleaned_Data[[#This Row],[Quantity]]*Cleaned_Data[[#This Row],[Unit_Price]]</f>
        <v>66000</v>
      </c>
      <c r="N861" s="7">
        <f>Cleaned_Data[[#This Row],[Total_sales]]*(Cleaned_Data[[#This Row],[Discount_Percent]]/100)</f>
        <v>9900</v>
      </c>
      <c r="O861" s="7">
        <f>Cleaned_Data[[#This Row],[Total_sales]]-Cleaned_Data[[#This Row],[Discount_Amount]]</f>
        <v>56100</v>
      </c>
      <c r="P861" t="str">
        <f>TEXT(Cleaned_Data[[#This Row],[Order_Date]],"MMM-YYYY")</f>
        <v>Feb-2023</v>
      </c>
      <c r="Q861" t="str">
        <f>"Q"&amp;ROUNDUP(MONTH(Cleaned_Data[[#This Row],[Order_Date]])/3,0)&amp;"-2023"</f>
        <v>Q1-2023</v>
      </c>
      <c r="R861" t="str">
        <f>TEXT(Cleaned_Data[[#This Row],[Order_Date]],"DDD")</f>
        <v>Mon</v>
      </c>
      <c r="S861" t="str">
        <f>IF(Cleaned_Data[[#This Row],[Net_Sales]]&gt;=100000,"High",IF(Cleaned_Data[[#This Row],[Net_Sales]]&gt;=50000,"Medium","Low"))</f>
        <v>Medium</v>
      </c>
    </row>
    <row r="862" spans="1:19" x14ac:dyDescent="0.3">
      <c r="A862" t="s">
        <v>1010</v>
      </c>
      <c r="B862" s="1">
        <v>44984</v>
      </c>
      <c r="C862" t="s">
        <v>188</v>
      </c>
      <c r="D862" t="s">
        <v>189</v>
      </c>
      <c r="E862" t="s">
        <v>15</v>
      </c>
      <c r="F862" t="s">
        <v>128</v>
      </c>
      <c r="G862" t="s">
        <v>39</v>
      </c>
      <c r="H862" t="s">
        <v>57</v>
      </c>
      <c r="I862">
        <v>1</v>
      </c>
      <c r="J862" s="8">
        <v>29800</v>
      </c>
      <c r="K862">
        <v>15</v>
      </c>
      <c r="L862" t="s">
        <v>62</v>
      </c>
      <c r="M862" s="5">
        <f>Cleaned_Data[[#This Row],[Quantity]]*Cleaned_Data[[#This Row],[Unit_Price]]</f>
        <v>29800</v>
      </c>
      <c r="N862" s="7">
        <f>Cleaned_Data[[#This Row],[Total_sales]]*(Cleaned_Data[[#This Row],[Discount_Percent]]/100)</f>
        <v>4470</v>
      </c>
      <c r="O862" s="7">
        <f>Cleaned_Data[[#This Row],[Total_sales]]-Cleaned_Data[[#This Row],[Discount_Amount]]</f>
        <v>25330</v>
      </c>
      <c r="P862" t="str">
        <f>TEXT(Cleaned_Data[[#This Row],[Order_Date]],"MMM-YYYY")</f>
        <v>Feb-2023</v>
      </c>
      <c r="Q862" t="str">
        <f>"Q"&amp;ROUNDUP(MONTH(Cleaned_Data[[#This Row],[Order_Date]])/3,0)&amp;"-2023"</f>
        <v>Q1-2023</v>
      </c>
      <c r="R862" t="str">
        <f>TEXT(Cleaned_Data[[#This Row],[Order_Date]],"DDD")</f>
        <v>Mon</v>
      </c>
      <c r="S862" t="str">
        <f>IF(Cleaned_Data[[#This Row],[Net_Sales]]&gt;=100000,"High",IF(Cleaned_Data[[#This Row],[Net_Sales]]&gt;=50000,"Medium","Low"))</f>
        <v>Low</v>
      </c>
    </row>
    <row r="863" spans="1:19" x14ac:dyDescent="0.3">
      <c r="A863" t="s">
        <v>1011</v>
      </c>
      <c r="B863" s="1">
        <v>44984</v>
      </c>
      <c r="C863" t="s">
        <v>70</v>
      </c>
      <c r="D863" t="s">
        <v>71</v>
      </c>
      <c r="E863" t="s">
        <v>66</v>
      </c>
      <c r="F863" t="s">
        <v>72</v>
      </c>
      <c r="G863" t="s">
        <v>97</v>
      </c>
      <c r="H863" t="s">
        <v>174</v>
      </c>
      <c r="I863">
        <v>1</v>
      </c>
      <c r="J863" s="8">
        <v>52100</v>
      </c>
      <c r="K863">
        <v>5</v>
      </c>
      <c r="L863" t="s">
        <v>103</v>
      </c>
      <c r="M863" s="5">
        <f>Cleaned_Data[[#This Row],[Quantity]]*Cleaned_Data[[#This Row],[Unit_Price]]</f>
        <v>52100</v>
      </c>
      <c r="N863" s="7">
        <f>Cleaned_Data[[#This Row],[Total_sales]]*(Cleaned_Data[[#This Row],[Discount_Percent]]/100)</f>
        <v>2605</v>
      </c>
      <c r="O863" s="7">
        <f>Cleaned_Data[[#This Row],[Total_sales]]-Cleaned_Data[[#This Row],[Discount_Amount]]</f>
        <v>49495</v>
      </c>
      <c r="P863" t="str">
        <f>TEXT(Cleaned_Data[[#This Row],[Order_Date]],"MMM-YYYY")</f>
        <v>Feb-2023</v>
      </c>
      <c r="Q863" t="str">
        <f>"Q"&amp;ROUNDUP(MONTH(Cleaned_Data[[#This Row],[Order_Date]])/3,0)&amp;"-2023"</f>
        <v>Q1-2023</v>
      </c>
      <c r="R863" t="str">
        <f>TEXT(Cleaned_Data[[#This Row],[Order_Date]],"DDD")</f>
        <v>Mon</v>
      </c>
      <c r="S863" t="str">
        <f>IF(Cleaned_Data[[#This Row],[Net_Sales]]&gt;=100000,"High",IF(Cleaned_Data[[#This Row],[Net_Sales]]&gt;=50000,"Medium","Low"))</f>
        <v>Low</v>
      </c>
    </row>
    <row r="864" spans="1:19" x14ac:dyDescent="0.3">
      <c r="A864" t="s">
        <v>1012</v>
      </c>
      <c r="B864" s="1">
        <v>45012</v>
      </c>
      <c r="C864" t="s">
        <v>236</v>
      </c>
      <c r="D864" t="s">
        <v>237</v>
      </c>
      <c r="E864" t="s">
        <v>81</v>
      </c>
      <c r="F864" t="s">
        <v>110</v>
      </c>
      <c r="G864" t="s">
        <v>39</v>
      </c>
      <c r="H864" t="s">
        <v>102</v>
      </c>
      <c r="I864">
        <v>1</v>
      </c>
      <c r="J864" s="8">
        <v>12200</v>
      </c>
      <c r="K864">
        <v>5</v>
      </c>
      <c r="L864" t="s">
        <v>27</v>
      </c>
      <c r="M864" s="5">
        <f>Cleaned_Data[[#This Row],[Quantity]]*Cleaned_Data[[#This Row],[Unit_Price]]</f>
        <v>12200</v>
      </c>
      <c r="N864" s="7">
        <f>Cleaned_Data[[#This Row],[Total_sales]]*(Cleaned_Data[[#This Row],[Discount_Percent]]/100)</f>
        <v>610</v>
      </c>
      <c r="O864" s="7">
        <f>Cleaned_Data[[#This Row],[Total_sales]]-Cleaned_Data[[#This Row],[Discount_Amount]]</f>
        <v>11590</v>
      </c>
      <c r="P864" t="str">
        <f>TEXT(Cleaned_Data[[#This Row],[Order_Date]],"MMM-YYYY")</f>
        <v>Mar-2023</v>
      </c>
      <c r="Q864" t="str">
        <f>"Q"&amp;ROUNDUP(MONTH(Cleaned_Data[[#This Row],[Order_Date]])/3,0)&amp;"-2023"</f>
        <v>Q1-2023</v>
      </c>
      <c r="R864" t="str">
        <f>TEXT(Cleaned_Data[[#This Row],[Order_Date]],"DDD")</f>
        <v>Mon</v>
      </c>
      <c r="S864" t="str">
        <f>IF(Cleaned_Data[[#This Row],[Net_Sales]]&gt;=100000,"High",IF(Cleaned_Data[[#This Row],[Net_Sales]]&gt;=50000,"Medium","Low"))</f>
        <v>Low</v>
      </c>
    </row>
    <row r="865" spans="1:19" x14ac:dyDescent="0.3">
      <c r="A865" t="s">
        <v>1013</v>
      </c>
      <c r="B865" s="1">
        <v>45012</v>
      </c>
      <c r="C865" t="s">
        <v>236</v>
      </c>
      <c r="D865" t="s">
        <v>237</v>
      </c>
      <c r="E865" t="s">
        <v>66</v>
      </c>
      <c r="F865" t="s">
        <v>72</v>
      </c>
      <c r="G865" t="s">
        <v>25</v>
      </c>
      <c r="H865" t="s">
        <v>124</v>
      </c>
      <c r="I865">
        <v>2</v>
      </c>
      <c r="J865" s="8">
        <v>2500</v>
      </c>
      <c r="K865">
        <v>20</v>
      </c>
      <c r="L865" t="s">
        <v>19</v>
      </c>
      <c r="M865" s="5">
        <f>Cleaned_Data[[#This Row],[Quantity]]*Cleaned_Data[[#This Row],[Unit_Price]]</f>
        <v>5000</v>
      </c>
      <c r="N865" s="7">
        <f>Cleaned_Data[[#This Row],[Total_sales]]*(Cleaned_Data[[#This Row],[Discount_Percent]]/100)</f>
        <v>1000</v>
      </c>
      <c r="O865" s="7">
        <f>Cleaned_Data[[#This Row],[Total_sales]]-Cleaned_Data[[#This Row],[Discount_Amount]]</f>
        <v>4000</v>
      </c>
      <c r="P865" t="str">
        <f>TEXT(Cleaned_Data[[#This Row],[Order_Date]],"MMM-YYYY")</f>
        <v>Mar-2023</v>
      </c>
      <c r="Q865" t="str">
        <f>"Q"&amp;ROUNDUP(MONTH(Cleaned_Data[[#This Row],[Order_Date]])/3,0)&amp;"-2023"</f>
        <v>Q1-2023</v>
      </c>
      <c r="R865" t="str">
        <f>TEXT(Cleaned_Data[[#This Row],[Order_Date]],"DDD")</f>
        <v>Mon</v>
      </c>
      <c r="S865" t="str">
        <f>IF(Cleaned_Data[[#This Row],[Net_Sales]]&gt;=100000,"High",IF(Cleaned_Data[[#This Row],[Net_Sales]]&gt;=50000,"Medium","Low"))</f>
        <v>Low</v>
      </c>
    </row>
    <row r="866" spans="1:19" x14ac:dyDescent="0.3">
      <c r="A866" t="s">
        <v>1014</v>
      </c>
      <c r="B866" s="1">
        <v>45012</v>
      </c>
      <c r="C866" t="s">
        <v>115</v>
      </c>
      <c r="D866" t="s">
        <v>116</v>
      </c>
      <c r="E866" t="s">
        <v>15</v>
      </c>
      <c r="F866" t="s">
        <v>131</v>
      </c>
      <c r="G866" t="s">
        <v>39</v>
      </c>
      <c r="H866" t="s">
        <v>68</v>
      </c>
      <c r="I866">
        <v>1</v>
      </c>
      <c r="J866" s="8">
        <v>15400</v>
      </c>
      <c r="K866">
        <v>10</v>
      </c>
      <c r="L866" t="s">
        <v>19</v>
      </c>
      <c r="M866" s="5">
        <f>Cleaned_Data[[#This Row],[Quantity]]*Cleaned_Data[[#This Row],[Unit_Price]]</f>
        <v>15400</v>
      </c>
      <c r="N866" s="7">
        <f>Cleaned_Data[[#This Row],[Total_sales]]*(Cleaned_Data[[#This Row],[Discount_Percent]]/100)</f>
        <v>1540</v>
      </c>
      <c r="O866" s="7">
        <f>Cleaned_Data[[#This Row],[Total_sales]]-Cleaned_Data[[#This Row],[Discount_Amount]]</f>
        <v>13860</v>
      </c>
      <c r="P866" t="str">
        <f>TEXT(Cleaned_Data[[#This Row],[Order_Date]],"MMM-YYYY")</f>
        <v>Mar-2023</v>
      </c>
      <c r="Q866" t="str">
        <f>"Q"&amp;ROUNDUP(MONTH(Cleaned_Data[[#This Row],[Order_Date]])/3,0)&amp;"-2023"</f>
        <v>Q1-2023</v>
      </c>
      <c r="R866" t="str">
        <f>TEXT(Cleaned_Data[[#This Row],[Order_Date]],"DDD")</f>
        <v>Mon</v>
      </c>
      <c r="S866" t="str">
        <f>IF(Cleaned_Data[[#This Row],[Net_Sales]]&gt;=100000,"High",IF(Cleaned_Data[[#This Row],[Net_Sales]]&gt;=50000,"Medium","Low"))</f>
        <v>Low</v>
      </c>
    </row>
    <row r="867" spans="1:19" x14ac:dyDescent="0.3">
      <c r="A867" t="s">
        <v>1015</v>
      </c>
      <c r="B867" s="1">
        <v>45012</v>
      </c>
      <c r="C867" t="s">
        <v>21</v>
      </c>
      <c r="D867" t="s">
        <v>22</v>
      </c>
      <c r="E867" t="s">
        <v>66</v>
      </c>
      <c r="F867" t="s">
        <v>92</v>
      </c>
      <c r="G867" t="s">
        <v>25</v>
      </c>
      <c r="H867" t="s">
        <v>26</v>
      </c>
      <c r="I867">
        <v>3</v>
      </c>
      <c r="J867" s="8">
        <v>900</v>
      </c>
      <c r="K867">
        <v>10</v>
      </c>
      <c r="L867" t="s">
        <v>27</v>
      </c>
      <c r="M867" s="5">
        <f>Cleaned_Data[[#This Row],[Quantity]]*Cleaned_Data[[#This Row],[Unit_Price]]</f>
        <v>2700</v>
      </c>
      <c r="N867" s="7">
        <f>Cleaned_Data[[#This Row],[Total_sales]]*(Cleaned_Data[[#This Row],[Discount_Percent]]/100)</f>
        <v>270</v>
      </c>
      <c r="O867" s="7">
        <f>Cleaned_Data[[#This Row],[Total_sales]]-Cleaned_Data[[#This Row],[Discount_Amount]]</f>
        <v>2430</v>
      </c>
      <c r="P867" t="str">
        <f>TEXT(Cleaned_Data[[#This Row],[Order_Date]],"MMM-YYYY")</f>
        <v>Mar-2023</v>
      </c>
      <c r="Q867" t="str">
        <f>"Q"&amp;ROUNDUP(MONTH(Cleaned_Data[[#This Row],[Order_Date]])/3,0)&amp;"-2023"</f>
        <v>Q1-2023</v>
      </c>
      <c r="R867" t="str">
        <f>TEXT(Cleaned_Data[[#This Row],[Order_Date]],"DDD")</f>
        <v>Mon</v>
      </c>
      <c r="S867" t="str">
        <f>IF(Cleaned_Data[[#This Row],[Net_Sales]]&gt;=100000,"High",IF(Cleaned_Data[[#This Row],[Net_Sales]]&gt;=50000,"Medium","Low"))</f>
        <v>Low</v>
      </c>
    </row>
    <row r="868" spans="1:19" x14ac:dyDescent="0.3">
      <c r="A868" t="s">
        <v>1016</v>
      </c>
      <c r="B868" s="1">
        <v>45073</v>
      </c>
      <c r="C868" t="s">
        <v>165</v>
      </c>
      <c r="D868" t="s">
        <v>166</v>
      </c>
      <c r="E868" t="s">
        <v>66</v>
      </c>
      <c r="F868" t="s">
        <v>67</v>
      </c>
      <c r="G868" t="s">
        <v>25</v>
      </c>
      <c r="H868" t="s">
        <v>212</v>
      </c>
      <c r="I868">
        <v>3</v>
      </c>
      <c r="J868" s="8">
        <v>2000</v>
      </c>
      <c r="K868">
        <v>5</v>
      </c>
      <c r="L868" t="s">
        <v>27</v>
      </c>
      <c r="M868" s="5">
        <f>Cleaned_Data[[#This Row],[Quantity]]*Cleaned_Data[[#This Row],[Unit_Price]]</f>
        <v>6000</v>
      </c>
      <c r="N868" s="7">
        <f>Cleaned_Data[[#This Row],[Total_sales]]*(Cleaned_Data[[#This Row],[Discount_Percent]]/100)</f>
        <v>300</v>
      </c>
      <c r="O868" s="7">
        <f>Cleaned_Data[[#This Row],[Total_sales]]-Cleaned_Data[[#This Row],[Discount_Amount]]</f>
        <v>5700</v>
      </c>
      <c r="P868" t="str">
        <f>TEXT(Cleaned_Data[[#This Row],[Order_Date]],"MMM-YYYY")</f>
        <v>May-2023</v>
      </c>
      <c r="Q868" t="str">
        <f>"Q"&amp;ROUNDUP(MONTH(Cleaned_Data[[#This Row],[Order_Date]])/3,0)&amp;"-2023"</f>
        <v>Q2-2023</v>
      </c>
      <c r="R868" t="str">
        <f>TEXT(Cleaned_Data[[#This Row],[Order_Date]],"DDD")</f>
        <v>Sat</v>
      </c>
      <c r="S868" t="str">
        <f>IF(Cleaned_Data[[#This Row],[Net_Sales]]&gt;=100000,"High",IF(Cleaned_Data[[#This Row],[Net_Sales]]&gt;=50000,"Medium","Low"))</f>
        <v>Low</v>
      </c>
    </row>
    <row r="869" spans="1:19" x14ac:dyDescent="0.3">
      <c r="A869" t="s">
        <v>1017</v>
      </c>
      <c r="B869" s="1">
        <v>45104</v>
      </c>
      <c r="C869" t="s">
        <v>232</v>
      </c>
      <c r="D869" t="s">
        <v>233</v>
      </c>
      <c r="E869" t="s">
        <v>81</v>
      </c>
      <c r="F869" t="s">
        <v>160</v>
      </c>
      <c r="G869" t="s">
        <v>45</v>
      </c>
      <c r="H869" t="s">
        <v>46</v>
      </c>
      <c r="I869">
        <v>1</v>
      </c>
      <c r="J869" s="8">
        <v>39000</v>
      </c>
      <c r="K869">
        <v>20</v>
      </c>
      <c r="L869" t="s">
        <v>103</v>
      </c>
      <c r="M869" s="5">
        <f>Cleaned_Data[[#This Row],[Quantity]]*Cleaned_Data[[#This Row],[Unit_Price]]</f>
        <v>39000</v>
      </c>
      <c r="N869" s="7">
        <f>Cleaned_Data[[#This Row],[Total_sales]]*(Cleaned_Data[[#This Row],[Discount_Percent]]/100)</f>
        <v>7800</v>
      </c>
      <c r="O869" s="7">
        <f>Cleaned_Data[[#This Row],[Total_sales]]-Cleaned_Data[[#This Row],[Discount_Amount]]</f>
        <v>31200</v>
      </c>
      <c r="P869" t="str">
        <f>TEXT(Cleaned_Data[[#This Row],[Order_Date]],"MMM-YYYY")</f>
        <v>Jun-2023</v>
      </c>
      <c r="Q869" t="str">
        <f>"Q"&amp;ROUNDUP(MONTH(Cleaned_Data[[#This Row],[Order_Date]])/3,0)&amp;"-2023"</f>
        <v>Q2-2023</v>
      </c>
      <c r="R869" t="str">
        <f>TEXT(Cleaned_Data[[#This Row],[Order_Date]],"DDD")</f>
        <v>Tue</v>
      </c>
      <c r="S869" t="str">
        <f>IF(Cleaned_Data[[#This Row],[Net_Sales]]&gt;=100000,"High",IF(Cleaned_Data[[#This Row],[Net_Sales]]&gt;=50000,"Medium","Low"))</f>
        <v>Low</v>
      </c>
    </row>
    <row r="870" spans="1:19" x14ac:dyDescent="0.3">
      <c r="A870" t="s">
        <v>1018</v>
      </c>
      <c r="B870" s="1">
        <v>45104</v>
      </c>
      <c r="C870" t="s">
        <v>188</v>
      </c>
      <c r="D870" t="s">
        <v>189</v>
      </c>
      <c r="E870" t="s">
        <v>66</v>
      </c>
      <c r="F870" t="s">
        <v>87</v>
      </c>
      <c r="G870" t="s">
        <v>97</v>
      </c>
      <c r="H870" t="s">
        <v>133</v>
      </c>
      <c r="I870">
        <v>1</v>
      </c>
      <c r="J870" s="8">
        <v>53900</v>
      </c>
      <c r="K870">
        <v>5</v>
      </c>
      <c r="L870" t="s">
        <v>27</v>
      </c>
      <c r="M870" s="5">
        <f>Cleaned_Data[[#This Row],[Quantity]]*Cleaned_Data[[#This Row],[Unit_Price]]</f>
        <v>53900</v>
      </c>
      <c r="N870" s="7">
        <f>Cleaned_Data[[#This Row],[Total_sales]]*(Cleaned_Data[[#This Row],[Discount_Percent]]/100)</f>
        <v>2695</v>
      </c>
      <c r="O870" s="7">
        <f>Cleaned_Data[[#This Row],[Total_sales]]-Cleaned_Data[[#This Row],[Discount_Amount]]</f>
        <v>51205</v>
      </c>
      <c r="P870" t="str">
        <f>TEXT(Cleaned_Data[[#This Row],[Order_Date]],"MMM-YYYY")</f>
        <v>Jun-2023</v>
      </c>
      <c r="Q870" t="str">
        <f>"Q"&amp;ROUNDUP(MONTH(Cleaned_Data[[#This Row],[Order_Date]])/3,0)&amp;"-2023"</f>
        <v>Q2-2023</v>
      </c>
      <c r="R870" t="str">
        <f>TEXT(Cleaned_Data[[#This Row],[Order_Date]],"DDD")</f>
        <v>Tue</v>
      </c>
      <c r="S870" t="str">
        <f>IF(Cleaned_Data[[#This Row],[Net_Sales]]&gt;=100000,"High",IF(Cleaned_Data[[#This Row],[Net_Sales]]&gt;=50000,"Medium","Low"))</f>
        <v>Medium</v>
      </c>
    </row>
    <row r="871" spans="1:19" x14ac:dyDescent="0.3">
      <c r="A871" t="s">
        <v>1019</v>
      </c>
      <c r="B871" s="1">
        <v>45104</v>
      </c>
      <c r="C871" t="s">
        <v>232</v>
      </c>
      <c r="D871" t="s">
        <v>233</v>
      </c>
      <c r="E871" t="s">
        <v>15</v>
      </c>
      <c r="F871" t="s">
        <v>16</v>
      </c>
      <c r="G871" t="s">
        <v>17</v>
      </c>
      <c r="H871" t="s">
        <v>168</v>
      </c>
      <c r="I871">
        <v>1</v>
      </c>
      <c r="J871" s="8">
        <v>42700</v>
      </c>
      <c r="K871">
        <v>0</v>
      </c>
      <c r="L871" t="s">
        <v>19</v>
      </c>
      <c r="M871" s="5">
        <f>Cleaned_Data[[#This Row],[Quantity]]*Cleaned_Data[[#This Row],[Unit_Price]]</f>
        <v>42700</v>
      </c>
      <c r="N871" s="7">
        <f>Cleaned_Data[[#This Row],[Total_sales]]*(Cleaned_Data[[#This Row],[Discount_Percent]]/100)</f>
        <v>0</v>
      </c>
      <c r="O871" s="7">
        <f>Cleaned_Data[[#This Row],[Total_sales]]-Cleaned_Data[[#This Row],[Discount_Amount]]</f>
        <v>42700</v>
      </c>
      <c r="P871" t="str">
        <f>TEXT(Cleaned_Data[[#This Row],[Order_Date]],"MMM-YYYY")</f>
        <v>Jun-2023</v>
      </c>
      <c r="Q871" t="str">
        <f>"Q"&amp;ROUNDUP(MONTH(Cleaned_Data[[#This Row],[Order_Date]])/3,0)&amp;"-2023"</f>
        <v>Q2-2023</v>
      </c>
      <c r="R871" t="str">
        <f>TEXT(Cleaned_Data[[#This Row],[Order_Date]],"DDD")</f>
        <v>Tue</v>
      </c>
      <c r="S871" t="str">
        <f>IF(Cleaned_Data[[#This Row],[Net_Sales]]&gt;=100000,"High",IF(Cleaned_Data[[#This Row],[Net_Sales]]&gt;=50000,"Medium","Low"))</f>
        <v>Low</v>
      </c>
    </row>
    <row r="872" spans="1:19" x14ac:dyDescent="0.3">
      <c r="A872" t="s">
        <v>1020</v>
      </c>
      <c r="B872" s="1">
        <v>45104</v>
      </c>
      <c r="C872" t="s">
        <v>185</v>
      </c>
      <c r="D872" t="s">
        <v>186</v>
      </c>
      <c r="E872" t="s">
        <v>66</v>
      </c>
      <c r="F872" t="s">
        <v>87</v>
      </c>
      <c r="G872" t="s">
        <v>39</v>
      </c>
      <c r="H872" t="s">
        <v>102</v>
      </c>
      <c r="I872">
        <v>1</v>
      </c>
      <c r="J872" s="8">
        <v>18900</v>
      </c>
      <c r="K872">
        <v>0</v>
      </c>
      <c r="L872" t="s">
        <v>73</v>
      </c>
      <c r="M872" s="5">
        <f>Cleaned_Data[[#This Row],[Quantity]]*Cleaned_Data[[#This Row],[Unit_Price]]</f>
        <v>18900</v>
      </c>
      <c r="N872" s="7">
        <f>Cleaned_Data[[#This Row],[Total_sales]]*(Cleaned_Data[[#This Row],[Discount_Percent]]/100)</f>
        <v>0</v>
      </c>
      <c r="O872" s="7">
        <f>Cleaned_Data[[#This Row],[Total_sales]]-Cleaned_Data[[#This Row],[Discount_Amount]]</f>
        <v>18900</v>
      </c>
      <c r="P872" t="str">
        <f>TEXT(Cleaned_Data[[#This Row],[Order_Date]],"MMM-YYYY")</f>
        <v>Jun-2023</v>
      </c>
      <c r="Q872" t="str">
        <f>"Q"&amp;ROUNDUP(MONTH(Cleaned_Data[[#This Row],[Order_Date]])/3,0)&amp;"-2023"</f>
        <v>Q2-2023</v>
      </c>
      <c r="R872" t="str">
        <f>TEXT(Cleaned_Data[[#This Row],[Order_Date]],"DDD")</f>
        <v>Tue</v>
      </c>
      <c r="S872" t="str">
        <f>IF(Cleaned_Data[[#This Row],[Net_Sales]]&gt;=100000,"High",IF(Cleaned_Data[[#This Row],[Net_Sales]]&gt;=50000,"Medium","Low"))</f>
        <v>Low</v>
      </c>
    </row>
    <row r="873" spans="1:19" x14ac:dyDescent="0.3">
      <c r="A873" t="s">
        <v>1021</v>
      </c>
      <c r="B873" s="1">
        <v>45104</v>
      </c>
      <c r="C873" t="s">
        <v>79</v>
      </c>
      <c r="D873" t="s">
        <v>80</v>
      </c>
      <c r="E873" t="s">
        <v>81</v>
      </c>
      <c r="F873" t="s">
        <v>117</v>
      </c>
      <c r="G873" t="s">
        <v>39</v>
      </c>
      <c r="H873" t="s">
        <v>57</v>
      </c>
      <c r="I873">
        <v>1</v>
      </c>
      <c r="J873" s="8">
        <v>25900</v>
      </c>
      <c r="K873">
        <v>15</v>
      </c>
      <c r="L873" t="s">
        <v>103</v>
      </c>
      <c r="M873" s="5">
        <f>Cleaned_Data[[#This Row],[Quantity]]*Cleaned_Data[[#This Row],[Unit_Price]]</f>
        <v>25900</v>
      </c>
      <c r="N873" s="7">
        <f>Cleaned_Data[[#This Row],[Total_sales]]*(Cleaned_Data[[#This Row],[Discount_Percent]]/100)</f>
        <v>3885</v>
      </c>
      <c r="O873" s="7">
        <f>Cleaned_Data[[#This Row],[Total_sales]]-Cleaned_Data[[#This Row],[Discount_Amount]]</f>
        <v>22015</v>
      </c>
      <c r="P873" t="str">
        <f>TEXT(Cleaned_Data[[#This Row],[Order_Date]],"MMM-YYYY")</f>
        <v>Jun-2023</v>
      </c>
      <c r="Q873" t="str">
        <f>"Q"&amp;ROUNDUP(MONTH(Cleaned_Data[[#This Row],[Order_Date]])/3,0)&amp;"-2023"</f>
        <v>Q2-2023</v>
      </c>
      <c r="R873" t="str">
        <f>TEXT(Cleaned_Data[[#This Row],[Order_Date]],"DDD")</f>
        <v>Tue</v>
      </c>
      <c r="S873" t="str">
        <f>IF(Cleaned_Data[[#This Row],[Net_Sales]]&gt;=100000,"High",IF(Cleaned_Data[[#This Row],[Net_Sales]]&gt;=50000,"Medium","Low"))</f>
        <v>Low</v>
      </c>
    </row>
    <row r="874" spans="1:19" x14ac:dyDescent="0.3">
      <c r="A874" t="s">
        <v>1022</v>
      </c>
      <c r="B874" s="1">
        <v>45165</v>
      </c>
      <c r="C874" t="s">
        <v>70</v>
      </c>
      <c r="D874" t="s">
        <v>71</v>
      </c>
      <c r="E874" t="s">
        <v>23</v>
      </c>
      <c r="F874" t="s">
        <v>44</v>
      </c>
      <c r="G874" t="s">
        <v>45</v>
      </c>
      <c r="H874" t="s">
        <v>46</v>
      </c>
      <c r="I874">
        <v>1</v>
      </c>
      <c r="J874" s="8">
        <v>25700</v>
      </c>
      <c r="K874">
        <v>10</v>
      </c>
      <c r="L874" t="s">
        <v>27</v>
      </c>
      <c r="M874" s="5">
        <f>Cleaned_Data[[#This Row],[Quantity]]*Cleaned_Data[[#This Row],[Unit_Price]]</f>
        <v>25700</v>
      </c>
      <c r="N874" s="7">
        <f>Cleaned_Data[[#This Row],[Total_sales]]*(Cleaned_Data[[#This Row],[Discount_Percent]]/100)</f>
        <v>2570</v>
      </c>
      <c r="O874" s="7">
        <f>Cleaned_Data[[#This Row],[Total_sales]]-Cleaned_Data[[#This Row],[Discount_Amount]]</f>
        <v>23130</v>
      </c>
      <c r="P874" t="str">
        <f>TEXT(Cleaned_Data[[#This Row],[Order_Date]],"MMM-YYYY")</f>
        <v>Aug-2023</v>
      </c>
      <c r="Q874" t="str">
        <f>"Q"&amp;ROUNDUP(MONTH(Cleaned_Data[[#This Row],[Order_Date]])/3,0)&amp;"-2023"</f>
        <v>Q3-2023</v>
      </c>
      <c r="R874" t="str">
        <f>TEXT(Cleaned_Data[[#This Row],[Order_Date]],"DDD")</f>
        <v>Sun</v>
      </c>
      <c r="S874" t="str">
        <f>IF(Cleaned_Data[[#This Row],[Net_Sales]]&gt;=100000,"High",IF(Cleaned_Data[[#This Row],[Net_Sales]]&gt;=50000,"Medium","Low"))</f>
        <v>Low</v>
      </c>
    </row>
    <row r="875" spans="1:19" x14ac:dyDescent="0.3">
      <c r="A875" t="s">
        <v>1023</v>
      </c>
      <c r="B875" s="1">
        <v>45165</v>
      </c>
      <c r="C875" t="s">
        <v>163</v>
      </c>
      <c r="D875" t="s">
        <v>73</v>
      </c>
      <c r="E875" t="s">
        <v>81</v>
      </c>
      <c r="F875" t="s">
        <v>160</v>
      </c>
      <c r="G875" t="s">
        <v>17</v>
      </c>
      <c r="H875" t="s">
        <v>18</v>
      </c>
      <c r="I875">
        <v>1</v>
      </c>
      <c r="J875" s="8">
        <v>29500</v>
      </c>
      <c r="K875">
        <v>25</v>
      </c>
      <c r="L875" t="s">
        <v>62</v>
      </c>
      <c r="M875" s="5">
        <f>Cleaned_Data[[#This Row],[Quantity]]*Cleaned_Data[[#This Row],[Unit_Price]]</f>
        <v>29500</v>
      </c>
      <c r="N875" s="7">
        <f>Cleaned_Data[[#This Row],[Total_sales]]*(Cleaned_Data[[#This Row],[Discount_Percent]]/100)</f>
        <v>7375</v>
      </c>
      <c r="O875" s="7">
        <f>Cleaned_Data[[#This Row],[Total_sales]]-Cleaned_Data[[#This Row],[Discount_Amount]]</f>
        <v>22125</v>
      </c>
      <c r="P875" t="str">
        <f>TEXT(Cleaned_Data[[#This Row],[Order_Date]],"MMM-YYYY")</f>
        <v>Aug-2023</v>
      </c>
      <c r="Q875" t="str">
        <f>"Q"&amp;ROUNDUP(MONTH(Cleaned_Data[[#This Row],[Order_Date]])/3,0)&amp;"-2023"</f>
        <v>Q3-2023</v>
      </c>
      <c r="R875" t="str">
        <f>TEXT(Cleaned_Data[[#This Row],[Order_Date]],"DDD")</f>
        <v>Sun</v>
      </c>
      <c r="S875" t="str">
        <f>IF(Cleaned_Data[[#This Row],[Net_Sales]]&gt;=100000,"High",IF(Cleaned_Data[[#This Row],[Net_Sales]]&gt;=50000,"Medium","Low"))</f>
        <v>Low</v>
      </c>
    </row>
    <row r="876" spans="1:19" x14ac:dyDescent="0.3">
      <c r="A876" t="s">
        <v>1024</v>
      </c>
      <c r="B876" s="1">
        <v>45196</v>
      </c>
      <c r="C876" t="s">
        <v>250</v>
      </c>
      <c r="D876" t="s">
        <v>251</v>
      </c>
      <c r="E876" t="s">
        <v>66</v>
      </c>
      <c r="F876" t="s">
        <v>67</v>
      </c>
      <c r="G876" t="s">
        <v>17</v>
      </c>
      <c r="H876" t="s">
        <v>77</v>
      </c>
      <c r="I876">
        <v>1</v>
      </c>
      <c r="J876" s="8">
        <v>47200</v>
      </c>
      <c r="K876">
        <v>0</v>
      </c>
      <c r="L876" t="s">
        <v>73</v>
      </c>
      <c r="M876" s="5">
        <f>Cleaned_Data[[#This Row],[Quantity]]*Cleaned_Data[[#This Row],[Unit_Price]]</f>
        <v>47200</v>
      </c>
      <c r="N876" s="7">
        <f>Cleaned_Data[[#This Row],[Total_sales]]*(Cleaned_Data[[#This Row],[Discount_Percent]]/100)</f>
        <v>0</v>
      </c>
      <c r="O876" s="7">
        <f>Cleaned_Data[[#This Row],[Total_sales]]-Cleaned_Data[[#This Row],[Discount_Amount]]</f>
        <v>47200</v>
      </c>
      <c r="P876" t="str">
        <f>TEXT(Cleaned_Data[[#This Row],[Order_Date]],"MMM-YYYY")</f>
        <v>Sep-2023</v>
      </c>
      <c r="Q876" t="str">
        <f>"Q"&amp;ROUNDUP(MONTH(Cleaned_Data[[#This Row],[Order_Date]])/3,0)&amp;"-2023"</f>
        <v>Q3-2023</v>
      </c>
      <c r="R876" t="str">
        <f>TEXT(Cleaned_Data[[#This Row],[Order_Date]],"DDD")</f>
        <v>Wed</v>
      </c>
      <c r="S876" t="str">
        <f>IF(Cleaned_Data[[#This Row],[Net_Sales]]&gt;=100000,"High",IF(Cleaned_Data[[#This Row],[Net_Sales]]&gt;=50000,"Medium","Low"))</f>
        <v>Low</v>
      </c>
    </row>
    <row r="877" spans="1:19" x14ac:dyDescent="0.3">
      <c r="A877" t="s">
        <v>1025</v>
      </c>
      <c r="B877" s="1">
        <v>45226</v>
      </c>
      <c r="C877" t="s">
        <v>13</v>
      </c>
      <c r="D877" t="s">
        <v>14</v>
      </c>
      <c r="E877" t="s">
        <v>66</v>
      </c>
      <c r="F877" t="s">
        <v>87</v>
      </c>
      <c r="G877" t="s">
        <v>97</v>
      </c>
      <c r="H877" t="s">
        <v>154</v>
      </c>
      <c r="I877">
        <v>1</v>
      </c>
      <c r="J877" s="8">
        <v>50200</v>
      </c>
      <c r="K877">
        <v>0</v>
      </c>
      <c r="L877" t="s">
        <v>19</v>
      </c>
      <c r="M877" s="5">
        <f>Cleaned_Data[[#This Row],[Quantity]]*Cleaned_Data[[#This Row],[Unit_Price]]</f>
        <v>50200</v>
      </c>
      <c r="N877" s="7">
        <f>Cleaned_Data[[#This Row],[Total_sales]]*(Cleaned_Data[[#This Row],[Discount_Percent]]/100)</f>
        <v>0</v>
      </c>
      <c r="O877" s="7">
        <f>Cleaned_Data[[#This Row],[Total_sales]]-Cleaned_Data[[#This Row],[Discount_Amount]]</f>
        <v>50200</v>
      </c>
      <c r="P877" t="str">
        <f>TEXT(Cleaned_Data[[#This Row],[Order_Date]],"MMM-YYYY")</f>
        <v>Oct-2023</v>
      </c>
      <c r="Q877" t="str">
        <f>"Q"&amp;ROUNDUP(MONTH(Cleaned_Data[[#This Row],[Order_Date]])/3,0)&amp;"-2023"</f>
        <v>Q4-2023</v>
      </c>
      <c r="R877" t="str">
        <f>TEXT(Cleaned_Data[[#This Row],[Order_Date]],"DDD")</f>
        <v>Fri</v>
      </c>
      <c r="S877" t="str">
        <f>IF(Cleaned_Data[[#This Row],[Net_Sales]]&gt;=100000,"High",IF(Cleaned_Data[[#This Row],[Net_Sales]]&gt;=50000,"Medium","Low"))</f>
        <v>Medium</v>
      </c>
    </row>
    <row r="878" spans="1:19" x14ac:dyDescent="0.3">
      <c r="A878" t="s">
        <v>1026</v>
      </c>
      <c r="B878" s="1">
        <v>45226</v>
      </c>
      <c r="C878" t="s">
        <v>232</v>
      </c>
      <c r="D878" t="s">
        <v>233</v>
      </c>
      <c r="E878" t="s">
        <v>37</v>
      </c>
      <c r="F878" t="s">
        <v>38</v>
      </c>
      <c r="G878" t="s">
        <v>97</v>
      </c>
      <c r="H878" t="s">
        <v>171</v>
      </c>
      <c r="I878">
        <v>1</v>
      </c>
      <c r="J878" s="8">
        <v>51200</v>
      </c>
      <c r="K878">
        <v>5</v>
      </c>
      <c r="L878" t="s">
        <v>103</v>
      </c>
      <c r="M878" s="5">
        <f>Cleaned_Data[[#This Row],[Quantity]]*Cleaned_Data[[#This Row],[Unit_Price]]</f>
        <v>51200</v>
      </c>
      <c r="N878" s="7">
        <f>Cleaned_Data[[#This Row],[Total_sales]]*(Cleaned_Data[[#This Row],[Discount_Percent]]/100)</f>
        <v>2560</v>
      </c>
      <c r="O878" s="7">
        <f>Cleaned_Data[[#This Row],[Total_sales]]-Cleaned_Data[[#This Row],[Discount_Amount]]</f>
        <v>48640</v>
      </c>
      <c r="P878" t="str">
        <f>TEXT(Cleaned_Data[[#This Row],[Order_Date]],"MMM-YYYY")</f>
        <v>Oct-2023</v>
      </c>
      <c r="Q878" t="str">
        <f>"Q"&amp;ROUNDUP(MONTH(Cleaned_Data[[#This Row],[Order_Date]])/3,0)&amp;"-2023"</f>
        <v>Q4-2023</v>
      </c>
      <c r="R878" t="str">
        <f>TEXT(Cleaned_Data[[#This Row],[Order_Date]],"DDD")</f>
        <v>Fri</v>
      </c>
      <c r="S878" t="str">
        <f>IF(Cleaned_Data[[#This Row],[Net_Sales]]&gt;=100000,"High",IF(Cleaned_Data[[#This Row],[Net_Sales]]&gt;=50000,"Medium","Low"))</f>
        <v>Low</v>
      </c>
    </row>
    <row r="879" spans="1:19" x14ac:dyDescent="0.3">
      <c r="A879" t="s">
        <v>1027</v>
      </c>
      <c r="B879" s="1">
        <v>45226</v>
      </c>
      <c r="C879" t="s">
        <v>122</v>
      </c>
      <c r="D879" t="s">
        <v>123</v>
      </c>
      <c r="E879" t="s">
        <v>23</v>
      </c>
      <c r="F879" t="s">
        <v>44</v>
      </c>
      <c r="G879" t="s">
        <v>25</v>
      </c>
      <c r="H879" t="s">
        <v>26</v>
      </c>
      <c r="I879">
        <v>2</v>
      </c>
      <c r="J879" s="8">
        <v>1000</v>
      </c>
      <c r="K879">
        <v>10</v>
      </c>
      <c r="L879" t="s">
        <v>27</v>
      </c>
      <c r="M879" s="5">
        <f>Cleaned_Data[[#This Row],[Quantity]]*Cleaned_Data[[#This Row],[Unit_Price]]</f>
        <v>2000</v>
      </c>
      <c r="N879" s="7">
        <f>Cleaned_Data[[#This Row],[Total_sales]]*(Cleaned_Data[[#This Row],[Discount_Percent]]/100)</f>
        <v>200</v>
      </c>
      <c r="O879" s="7">
        <f>Cleaned_Data[[#This Row],[Total_sales]]-Cleaned_Data[[#This Row],[Discount_Amount]]</f>
        <v>1800</v>
      </c>
      <c r="P879" t="str">
        <f>TEXT(Cleaned_Data[[#This Row],[Order_Date]],"MMM-YYYY")</f>
        <v>Oct-2023</v>
      </c>
      <c r="Q879" t="str">
        <f>"Q"&amp;ROUNDUP(MONTH(Cleaned_Data[[#This Row],[Order_Date]])/3,0)&amp;"-2023"</f>
        <v>Q4-2023</v>
      </c>
      <c r="R879" t="str">
        <f>TEXT(Cleaned_Data[[#This Row],[Order_Date]],"DDD")</f>
        <v>Fri</v>
      </c>
      <c r="S879" t="str">
        <f>IF(Cleaned_Data[[#This Row],[Net_Sales]]&gt;=100000,"High",IF(Cleaned_Data[[#This Row],[Net_Sales]]&gt;=50000,"Medium","Low"))</f>
        <v>Low</v>
      </c>
    </row>
    <row r="880" spans="1:19" x14ac:dyDescent="0.3">
      <c r="A880" t="s">
        <v>1028</v>
      </c>
      <c r="B880" s="1">
        <v>45226</v>
      </c>
      <c r="C880" t="s">
        <v>183</v>
      </c>
      <c r="D880" t="s">
        <v>27</v>
      </c>
      <c r="E880" t="s">
        <v>66</v>
      </c>
      <c r="F880" t="s">
        <v>87</v>
      </c>
      <c r="G880" t="s">
        <v>39</v>
      </c>
      <c r="H880" t="s">
        <v>57</v>
      </c>
      <c r="I880">
        <v>1</v>
      </c>
      <c r="J880" s="8">
        <v>28000</v>
      </c>
      <c r="K880">
        <v>0</v>
      </c>
      <c r="L880" t="s">
        <v>27</v>
      </c>
      <c r="M880" s="5">
        <f>Cleaned_Data[[#This Row],[Quantity]]*Cleaned_Data[[#This Row],[Unit_Price]]</f>
        <v>28000</v>
      </c>
      <c r="N880" s="7">
        <f>Cleaned_Data[[#This Row],[Total_sales]]*(Cleaned_Data[[#This Row],[Discount_Percent]]/100)</f>
        <v>0</v>
      </c>
      <c r="O880" s="7">
        <f>Cleaned_Data[[#This Row],[Total_sales]]-Cleaned_Data[[#This Row],[Discount_Amount]]</f>
        <v>28000</v>
      </c>
      <c r="P880" t="str">
        <f>TEXT(Cleaned_Data[[#This Row],[Order_Date]],"MMM-YYYY")</f>
        <v>Oct-2023</v>
      </c>
      <c r="Q880" t="str">
        <f>"Q"&amp;ROUNDUP(MONTH(Cleaned_Data[[#This Row],[Order_Date]])/3,0)&amp;"-2023"</f>
        <v>Q4-2023</v>
      </c>
      <c r="R880" t="str">
        <f>TEXT(Cleaned_Data[[#This Row],[Order_Date]],"DDD")</f>
        <v>Fri</v>
      </c>
      <c r="S880" t="str">
        <f>IF(Cleaned_Data[[#This Row],[Net_Sales]]&gt;=100000,"High",IF(Cleaned_Data[[#This Row],[Net_Sales]]&gt;=50000,"Medium","Low"))</f>
        <v>Low</v>
      </c>
    </row>
    <row r="881" spans="1:19" x14ac:dyDescent="0.3">
      <c r="A881" t="s">
        <v>1029</v>
      </c>
      <c r="B881" s="1">
        <v>45257</v>
      </c>
      <c r="C881" t="s">
        <v>176</v>
      </c>
      <c r="D881" t="s">
        <v>177</v>
      </c>
      <c r="E881" t="s">
        <v>23</v>
      </c>
      <c r="F881" t="s">
        <v>44</v>
      </c>
      <c r="G881" t="s">
        <v>25</v>
      </c>
      <c r="H881" t="s">
        <v>108</v>
      </c>
      <c r="I881">
        <v>2</v>
      </c>
      <c r="J881" s="8">
        <v>1800</v>
      </c>
      <c r="K881">
        <v>20</v>
      </c>
      <c r="L881" t="s">
        <v>73</v>
      </c>
      <c r="M881" s="5">
        <f>Cleaned_Data[[#This Row],[Quantity]]*Cleaned_Data[[#This Row],[Unit_Price]]</f>
        <v>3600</v>
      </c>
      <c r="N881" s="7">
        <f>Cleaned_Data[[#This Row],[Total_sales]]*(Cleaned_Data[[#This Row],[Discount_Percent]]/100)</f>
        <v>720</v>
      </c>
      <c r="O881" s="7">
        <f>Cleaned_Data[[#This Row],[Total_sales]]-Cleaned_Data[[#This Row],[Discount_Amount]]</f>
        <v>2880</v>
      </c>
      <c r="P881" t="str">
        <f>TEXT(Cleaned_Data[[#This Row],[Order_Date]],"MMM-YYYY")</f>
        <v>Nov-2023</v>
      </c>
      <c r="Q881" t="str">
        <f>"Q"&amp;ROUNDUP(MONTH(Cleaned_Data[[#This Row],[Order_Date]])/3,0)&amp;"-2023"</f>
        <v>Q4-2023</v>
      </c>
      <c r="R881" t="str">
        <f>TEXT(Cleaned_Data[[#This Row],[Order_Date]],"DDD")</f>
        <v>Mon</v>
      </c>
      <c r="S881" t="str">
        <f>IF(Cleaned_Data[[#This Row],[Net_Sales]]&gt;=100000,"High",IF(Cleaned_Data[[#This Row],[Net_Sales]]&gt;=50000,"Medium","Low"))</f>
        <v>Low</v>
      </c>
    </row>
    <row r="882" spans="1:19" x14ac:dyDescent="0.3">
      <c r="A882" t="s">
        <v>1030</v>
      </c>
      <c r="B882" s="1">
        <v>45287</v>
      </c>
      <c r="C882" t="s">
        <v>143</v>
      </c>
      <c r="D882" t="s">
        <v>144</v>
      </c>
      <c r="E882" t="s">
        <v>15</v>
      </c>
      <c r="F882" t="s">
        <v>128</v>
      </c>
      <c r="G882" t="s">
        <v>45</v>
      </c>
      <c r="H882" t="s">
        <v>207</v>
      </c>
      <c r="I882">
        <v>1</v>
      </c>
      <c r="J882" s="8">
        <v>38200</v>
      </c>
      <c r="K882">
        <v>10</v>
      </c>
      <c r="L882" t="s">
        <v>73</v>
      </c>
      <c r="M882" s="5">
        <f>Cleaned_Data[[#This Row],[Quantity]]*Cleaned_Data[[#This Row],[Unit_Price]]</f>
        <v>38200</v>
      </c>
      <c r="N882" s="7">
        <f>Cleaned_Data[[#This Row],[Total_sales]]*(Cleaned_Data[[#This Row],[Discount_Percent]]/100)</f>
        <v>3820</v>
      </c>
      <c r="O882" s="7">
        <f>Cleaned_Data[[#This Row],[Total_sales]]-Cleaned_Data[[#This Row],[Discount_Amount]]</f>
        <v>34380</v>
      </c>
      <c r="P882" t="str">
        <f>TEXT(Cleaned_Data[[#This Row],[Order_Date]],"MMM-YYYY")</f>
        <v>Dec-2023</v>
      </c>
      <c r="Q882" t="str">
        <f>"Q"&amp;ROUNDUP(MONTH(Cleaned_Data[[#This Row],[Order_Date]])/3,0)&amp;"-2023"</f>
        <v>Q4-2023</v>
      </c>
      <c r="R882" t="str">
        <f>TEXT(Cleaned_Data[[#This Row],[Order_Date]],"DDD")</f>
        <v>Wed</v>
      </c>
      <c r="S882" t="str">
        <f>IF(Cleaned_Data[[#This Row],[Net_Sales]]&gt;=100000,"High",IF(Cleaned_Data[[#This Row],[Net_Sales]]&gt;=50000,"Medium","Low"))</f>
        <v>Low</v>
      </c>
    </row>
    <row r="883" spans="1:19" x14ac:dyDescent="0.3">
      <c r="A883" t="s">
        <v>1031</v>
      </c>
      <c r="B883" s="1">
        <v>45287</v>
      </c>
      <c r="C883" t="s">
        <v>21</v>
      </c>
      <c r="D883" t="s">
        <v>22</v>
      </c>
      <c r="E883" t="s">
        <v>81</v>
      </c>
      <c r="F883" t="s">
        <v>160</v>
      </c>
      <c r="G883" t="s">
        <v>39</v>
      </c>
      <c r="H883" t="s">
        <v>68</v>
      </c>
      <c r="I883">
        <v>1</v>
      </c>
      <c r="J883" s="8">
        <v>13900</v>
      </c>
      <c r="K883">
        <v>15</v>
      </c>
      <c r="L883" t="s">
        <v>47</v>
      </c>
      <c r="M883" s="5">
        <f>Cleaned_Data[[#This Row],[Quantity]]*Cleaned_Data[[#This Row],[Unit_Price]]</f>
        <v>13900</v>
      </c>
      <c r="N883" s="7">
        <f>Cleaned_Data[[#This Row],[Total_sales]]*(Cleaned_Data[[#This Row],[Discount_Percent]]/100)</f>
        <v>2085</v>
      </c>
      <c r="O883" s="7">
        <f>Cleaned_Data[[#This Row],[Total_sales]]-Cleaned_Data[[#This Row],[Discount_Amount]]</f>
        <v>11815</v>
      </c>
      <c r="P883" t="str">
        <f>TEXT(Cleaned_Data[[#This Row],[Order_Date]],"MMM-YYYY")</f>
        <v>Dec-2023</v>
      </c>
      <c r="Q883" t="str">
        <f>"Q"&amp;ROUNDUP(MONTH(Cleaned_Data[[#This Row],[Order_Date]])/3,0)&amp;"-2023"</f>
        <v>Q4-2023</v>
      </c>
      <c r="R883" t="str">
        <f>TEXT(Cleaned_Data[[#This Row],[Order_Date]],"DDD")</f>
        <v>Wed</v>
      </c>
      <c r="S883" t="str">
        <f>IF(Cleaned_Data[[#This Row],[Net_Sales]]&gt;=100000,"High",IF(Cleaned_Data[[#This Row],[Net_Sales]]&gt;=50000,"Medium","Low"))</f>
        <v>Low</v>
      </c>
    </row>
    <row r="884" spans="1:19" x14ac:dyDescent="0.3">
      <c r="A884" t="s">
        <v>1032</v>
      </c>
      <c r="B884" s="1">
        <v>45287</v>
      </c>
      <c r="C884" t="s">
        <v>79</v>
      </c>
      <c r="D884" t="s">
        <v>80</v>
      </c>
      <c r="E884" t="s">
        <v>37</v>
      </c>
      <c r="F884" t="s">
        <v>61</v>
      </c>
      <c r="G884" t="s">
        <v>45</v>
      </c>
      <c r="H884" t="s">
        <v>156</v>
      </c>
      <c r="I884">
        <v>1</v>
      </c>
      <c r="J884" s="8">
        <v>20000</v>
      </c>
      <c r="K884">
        <v>20</v>
      </c>
      <c r="L884" t="s">
        <v>19</v>
      </c>
      <c r="M884" s="5">
        <f>Cleaned_Data[[#This Row],[Quantity]]*Cleaned_Data[[#This Row],[Unit_Price]]</f>
        <v>20000</v>
      </c>
      <c r="N884" s="7">
        <f>Cleaned_Data[[#This Row],[Total_sales]]*(Cleaned_Data[[#This Row],[Discount_Percent]]/100)</f>
        <v>4000</v>
      </c>
      <c r="O884" s="7">
        <f>Cleaned_Data[[#This Row],[Total_sales]]-Cleaned_Data[[#This Row],[Discount_Amount]]</f>
        <v>16000</v>
      </c>
      <c r="P884" t="str">
        <f>TEXT(Cleaned_Data[[#This Row],[Order_Date]],"MMM-YYYY")</f>
        <v>Dec-2023</v>
      </c>
      <c r="Q884" t="str">
        <f>"Q"&amp;ROUNDUP(MONTH(Cleaned_Data[[#This Row],[Order_Date]])/3,0)&amp;"-2023"</f>
        <v>Q4-2023</v>
      </c>
      <c r="R884" t="str">
        <f>TEXT(Cleaned_Data[[#This Row],[Order_Date]],"DDD")</f>
        <v>Wed</v>
      </c>
      <c r="S884" t="str">
        <f>IF(Cleaned_Data[[#This Row],[Net_Sales]]&gt;=100000,"High",IF(Cleaned_Data[[#This Row],[Net_Sales]]&gt;=50000,"Medium","Low"))</f>
        <v>Low</v>
      </c>
    </row>
    <row r="885" spans="1:19" x14ac:dyDescent="0.3">
      <c r="A885" t="s">
        <v>1033</v>
      </c>
      <c r="B885" s="1">
        <v>45287</v>
      </c>
      <c r="C885" t="s">
        <v>70</v>
      </c>
      <c r="D885" t="s">
        <v>71</v>
      </c>
      <c r="E885" t="s">
        <v>23</v>
      </c>
      <c r="F885" t="s">
        <v>24</v>
      </c>
      <c r="G885" t="s">
        <v>39</v>
      </c>
      <c r="H885" t="s">
        <v>57</v>
      </c>
      <c r="I885">
        <v>1</v>
      </c>
      <c r="J885" s="8">
        <v>29100</v>
      </c>
      <c r="K885">
        <v>10</v>
      </c>
      <c r="L885" t="s">
        <v>33</v>
      </c>
      <c r="M885" s="5">
        <f>Cleaned_Data[[#This Row],[Quantity]]*Cleaned_Data[[#This Row],[Unit_Price]]</f>
        <v>29100</v>
      </c>
      <c r="N885" s="7">
        <f>Cleaned_Data[[#This Row],[Total_sales]]*(Cleaned_Data[[#This Row],[Discount_Percent]]/100)</f>
        <v>2910</v>
      </c>
      <c r="O885" s="7">
        <f>Cleaned_Data[[#This Row],[Total_sales]]-Cleaned_Data[[#This Row],[Discount_Amount]]</f>
        <v>26190</v>
      </c>
      <c r="P885" t="str">
        <f>TEXT(Cleaned_Data[[#This Row],[Order_Date]],"MMM-YYYY")</f>
        <v>Dec-2023</v>
      </c>
      <c r="Q885" t="str">
        <f>"Q"&amp;ROUNDUP(MONTH(Cleaned_Data[[#This Row],[Order_Date]])/3,0)&amp;"-2023"</f>
        <v>Q4-2023</v>
      </c>
      <c r="R885" t="str">
        <f>TEXT(Cleaned_Data[[#This Row],[Order_Date]],"DDD")</f>
        <v>Wed</v>
      </c>
      <c r="S885" t="str">
        <f>IF(Cleaned_Data[[#This Row],[Net_Sales]]&gt;=100000,"High",IF(Cleaned_Data[[#This Row],[Net_Sales]]&gt;=50000,"Medium","Low"))</f>
        <v>Low</v>
      </c>
    </row>
    <row r="886" spans="1:19" x14ac:dyDescent="0.3">
      <c r="A886" t="s">
        <v>1034</v>
      </c>
      <c r="B886" s="1">
        <v>45287</v>
      </c>
      <c r="C886" t="s">
        <v>210</v>
      </c>
      <c r="D886" t="s">
        <v>211</v>
      </c>
      <c r="E886" t="s">
        <v>23</v>
      </c>
      <c r="F886" t="s">
        <v>24</v>
      </c>
      <c r="G886" t="s">
        <v>39</v>
      </c>
      <c r="H886" t="s">
        <v>40</v>
      </c>
      <c r="I886">
        <v>1</v>
      </c>
      <c r="J886" s="8">
        <v>19800</v>
      </c>
      <c r="K886">
        <v>20</v>
      </c>
      <c r="L886" t="s">
        <v>53</v>
      </c>
      <c r="M886" s="5">
        <f>Cleaned_Data[[#This Row],[Quantity]]*Cleaned_Data[[#This Row],[Unit_Price]]</f>
        <v>19800</v>
      </c>
      <c r="N886" s="7">
        <f>Cleaned_Data[[#This Row],[Total_sales]]*(Cleaned_Data[[#This Row],[Discount_Percent]]/100)</f>
        <v>3960</v>
      </c>
      <c r="O886" s="7">
        <f>Cleaned_Data[[#This Row],[Total_sales]]-Cleaned_Data[[#This Row],[Discount_Amount]]</f>
        <v>15840</v>
      </c>
      <c r="P886" t="str">
        <f>TEXT(Cleaned_Data[[#This Row],[Order_Date]],"MMM-YYYY")</f>
        <v>Dec-2023</v>
      </c>
      <c r="Q886" t="str">
        <f>"Q"&amp;ROUNDUP(MONTH(Cleaned_Data[[#This Row],[Order_Date]])/3,0)&amp;"-2023"</f>
        <v>Q4-2023</v>
      </c>
      <c r="R886" t="str">
        <f>TEXT(Cleaned_Data[[#This Row],[Order_Date]],"DDD")</f>
        <v>Wed</v>
      </c>
      <c r="S886" t="str">
        <f>IF(Cleaned_Data[[#This Row],[Net_Sales]]&gt;=100000,"High",IF(Cleaned_Data[[#This Row],[Net_Sales]]&gt;=50000,"Medium","Low"))</f>
        <v>Low</v>
      </c>
    </row>
    <row r="887" spans="1:19" x14ac:dyDescent="0.3">
      <c r="A887" t="s">
        <v>1035</v>
      </c>
      <c r="B887" s="1">
        <v>45287</v>
      </c>
      <c r="C887" t="s">
        <v>75</v>
      </c>
      <c r="D887" t="s">
        <v>76</v>
      </c>
      <c r="E887" t="s">
        <v>23</v>
      </c>
      <c r="F887" t="s">
        <v>24</v>
      </c>
      <c r="G887" t="s">
        <v>17</v>
      </c>
      <c r="H887" t="s">
        <v>77</v>
      </c>
      <c r="I887">
        <v>1</v>
      </c>
      <c r="J887" s="8">
        <v>49400</v>
      </c>
      <c r="K887">
        <v>0</v>
      </c>
      <c r="L887" t="s">
        <v>33</v>
      </c>
      <c r="M887" s="5">
        <f>Cleaned_Data[[#This Row],[Quantity]]*Cleaned_Data[[#This Row],[Unit_Price]]</f>
        <v>49400</v>
      </c>
      <c r="N887" s="7">
        <f>Cleaned_Data[[#This Row],[Total_sales]]*(Cleaned_Data[[#This Row],[Discount_Percent]]/100)</f>
        <v>0</v>
      </c>
      <c r="O887" s="7">
        <f>Cleaned_Data[[#This Row],[Total_sales]]-Cleaned_Data[[#This Row],[Discount_Amount]]</f>
        <v>49400</v>
      </c>
      <c r="P887" t="str">
        <f>TEXT(Cleaned_Data[[#This Row],[Order_Date]],"MMM-YYYY")</f>
        <v>Dec-2023</v>
      </c>
      <c r="Q887" t="str">
        <f>"Q"&amp;ROUNDUP(MONTH(Cleaned_Data[[#This Row],[Order_Date]])/3,0)&amp;"-2023"</f>
        <v>Q4-2023</v>
      </c>
      <c r="R887" t="str">
        <f>TEXT(Cleaned_Data[[#This Row],[Order_Date]],"DDD")</f>
        <v>Wed</v>
      </c>
      <c r="S887" t="str">
        <f>IF(Cleaned_Data[[#This Row],[Net_Sales]]&gt;=100000,"High",IF(Cleaned_Data[[#This Row],[Net_Sales]]&gt;=50000,"Medium","Low"))</f>
        <v>Low</v>
      </c>
    </row>
    <row r="888" spans="1:19" x14ac:dyDescent="0.3">
      <c r="A888" t="s">
        <v>1036</v>
      </c>
      <c r="B888" s="1">
        <v>44954</v>
      </c>
      <c r="C888" t="s">
        <v>84</v>
      </c>
      <c r="D888" t="s">
        <v>85</v>
      </c>
      <c r="E888" t="s">
        <v>23</v>
      </c>
      <c r="F888" t="s">
        <v>44</v>
      </c>
      <c r="G888" t="s">
        <v>17</v>
      </c>
      <c r="H888" t="s">
        <v>88</v>
      </c>
      <c r="I888">
        <v>1</v>
      </c>
      <c r="J888" s="8">
        <v>56300</v>
      </c>
      <c r="K888">
        <v>10</v>
      </c>
      <c r="L888" t="s">
        <v>27</v>
      </c>
      <c r="M888" s="5">
        <f>Cleaned_Data[[#This Row],[Quantity]]*Cleaned_Data[[#This Row],[Unit_Price]]</f>
        <v>56300</v>
      </c>
      <c r="N888" s="7">
        <f>Cleaned_Data[[#This Row],[Total_sales]]*(Cleaned_Data[[#This Row],[Discount_Percent]]/100)</f>
        <v>5630</v>
      </c>
      <c r="O888" s="7">
        <f>Cleaned_Data[[#This Row],[Total_sales]]-Cleaned_Data[[#This Row],[Discount_Amount]]</f>
        <v>50670</v>
      </c>
      <c r="P888" t="str">
        <f>TEXT(Cleaned_Data[[#This Row],[Order_Date]],"MMM-YYYY")</f>
        <v>Jan-2023</v>
      </c>
      <c r="Q888" t="str">
        <f>"Q"&amp;ROUNDUP(MONTH(Cleaned_Data[[#This Row],[Order_Date]])/3,0)&amp;"-2023"</f>
        <v>Q1-2023</v>
      </c>
      <c r="R888" t="str">
        <f>TEXT(Cleaned_Data[[#This Row],[Order_Date]],"DDD")</f>
        <v>Sat</v>
      </c>
      <c r="S888" t="str">
        <f>IF(Cleaned_Data[[#This Row],[Net_Sales]]&gt;=100000,"High",IF(Cleaned_Data[[#This Row],[Net_Sales]]&gt;=50000,"Medium","Low"))</f>
        <v>Medium</v>
      </c>
    </row>
    <row r="889" spans="1:19" x14ac:dyDescent="0.3">
      <c r="A889" t="s">
        <v>1037</v>
      </c>
      <c r="B889" s="1">
        <v>44954</v>
      </c>
      <c r="C889" t="s">
        <v>158</v>
      </c>
      <c r="D889" t="s">
        <v>159</v>
      </c>
      <c r="E889" t="s">
        <v>37</v>
      </c>
      <c r="F889" t="s">
        <v>141</v>
      </c>
      <c r="G889" t="s">
        <v>45</v>
      </c>
      <c r="H889" t="s">
        <v>156</v>
      </c>
      <c r="I889">
        <v>1</v>
      </c>
      <c r="J889" s="8">
        <v>39900</v>
      </c>
      <c r="K889">
        <v>10</v>
      </c>
      <c r="L889" t="s">
        <v>19</v>
      </c>
      <c r="M889" s="5">
        <f>Cleaned_Data[[#This Row],[Quantity]]*Cleaned_Data[[#This Row],[Unit_Price]]</f>
        <v>39900</v>
      </c>
      <c r="N889" s="7">
        <f>Cleaned_Data[[#This Row],[Total_sales]]*(Cleaned_Data[[#This Row],[Discount_Percent]]/100)</f>
        <v>3990</v>
      </c>
      <c r="O889" s="7">
        <f>Cleaned_Data[[#This Row],[Total_sales]]-Cleaned_Data[[#This Row],[Discount_Amount]]</f>
        <v>35910</v>
      </c>
      <c r="P889" t="str">
        <f>TEXT(Cleaned_Data[[#This Row],[Order_Date]],"MMM-YYYY")</f>
        <v>Jan-2023</v>
      </c>
      <c r="Q889" t="str">
        <f>"Q"&amp;ROUNDUP(MONTH(Cleaned_Data[[#This Row],[Order_Date]])/3,0)&amp;"-2023"</f>
        <v>Q1-2023</v>
      </c>
      <c r="R889" t="str">
        <f>TEXT(Cleaned_Data[[#This Row],[Order_Date]],"DDD")</f>
        <v>Sat</v>
      </c>
      <c r="S889" t="str">
        <f>IF(Cleaned_Data[[#This Row],[Net_Sales]]&gt;=100000,"High",IF(Cleaned_Data[[#This Row],[Net_Sales]]&gt;=50000,"Medium","Low"))</f>
        <v>Low</v>
      </c>
    </row>
    <row r="890" spans="1:19" x14ac:dyDescent="0.3">
      <c r="A890" t="s">
        <v>1038</v>
      </c>
      <c r="B890" s="1">
        <v>44954</v>
      </c>
      <c r="C890" t="s">
        <v>42</v>
      </c>
      <c r="D890" t="s">
        <v>43</v>
      </c>
      <c r="E890" t="s">
        <v>81</v>
      </c>
      <c r="F890" t="s">
        <v>82</v>
      </c>
      <c r="G890" t="s">
        <v>45</v>
      </c>
      <c r="H890" t="s">
        <v>46</v>
      </c>
      <c r="I890">
        <v>1</v>
      </c>
      <c r="J890" s="8">
        <v>33800</v>
      </c>
      <c r="K890">
        <v>10</v>
      </c>
      <c r="L890" t="s">
        <v>33</v>
      </c>
      <c r="M890" s="5">
        <f>Cleaned_Data[[#This Row],[Quantity]]*Cleaned_Data[[#This Row],[Unit_Price]]</f>
        <v>33800</v>
      </c>
      <c r="N890" s="7">
        <f>Cleaned_Data[[#This Row],[Total_sales]]*(Cleaned_Data[[#This Row],[Discount_Percent]]/100)</f>
        <v>3380</v>
      </c>
      <c r="O890" s="7">
        <f>Cleaned_Data[[#This Row],[Total_sales]]-Cleaned_Data[[#This Row],[Discount_Amount]]</f>
        <v>30420</v>
      </c>
      <c r="P890" t="str">
        <f>TEXT(Cleaned_Data[[#This Row],[Order_Date]],"MMM-YYYY")</f>
        <v>Jan-2023</v>
      </c>
      <c r="Q890" t="str">
        <f>"Q"&amp;ROUNDUP(MONTH(Cleaned_Data[[#This Row],[Order_Date]])/3,0)&amp;"-2023"</f>
        <v>Q1-2023</v>
      </c>
      <c r="R890" t="str">
        <f>TEXT(Cleaned_Data[[#This Row],[Order_Date]],"DDD")</f>
        <v>Sat</v>
      </c>
      <c r="S890" t="str">
        <f>IF(Cleaned_Data[[#This Row],[Net_Sales]]&gt;=100000,"High",IF(Cleaned_Data[[#This Row],[Net_Sales]]&gt;=50000,"Medium","Low"))</f>
        <v>Low</v>
      </c>
    </row>
    <row r="891" spans="1:19" x14ac:dyDescent="0.3">
      <c r="A891" t="s">
        <v>1039</v>
      </c>
      <c r="B891" s="1">
        <v>44985</v>
      </c>
      <c r="C891" t="s">
        <v>130</v>
      </c>
      <c r="D891" t="s">
        <v>53</v>
      </c>
      <c r="E891" t="s">
        <v>66</v>
      </c>
      <c r="F891" t="s">
        <v>87</v>
      </c>
      <c r="G891" t="s">
        <v>17</v>
      </c>
      <c r="H891" t="s">
        <v>77</v>
      </c>
      <c r="I891">
        <v>1</v>
      </c>
      <c r="J891" s="8">
        <v>42100</v>
      </c>
      <c r="K891">
        <v>0</v>
      </c>
      <c r="L891" t="s">
        <v>27</v>
      </c>
      <c r="M891" s="5">
        <f>Cleaned_Data[[#This Row],[Quantity]]*Cleaned_Data[[#This Row],[Unit_Price]]</f>
        <v>42100</v>
      </c>
      <c r="N891" s="7">
        <f>Cleaned_Data[[#This Row],[Total_sales]]*(Cleaned_Data[[#This Row],[Discount_Percent]]/100)</f>
        <v>0</v>
      </c>
      <c r="O891" s="7">
        <f>Cleaned_Data[[#This Row],[Total_sales]]-Cleaned_Data[[#This Row],[Discount_Amount]]</f>
        <v>42100</v>
      </c>
      <c r="P891" t="str">
        <f>TEXT(Cleaned_Data[[#This Row],[Order_Date]],"MMM-YYYY")</f>
        <v>Feb-2023</v>
      </c>
      <c r="Q891" t="str">
        <f>"Q"&amp;ROUNDUP(MONTH(Cleaned_Data[[#This Row],[Order_Date]])/3,0)&amp;"-2023"</f>
        <v>Q1-2023</v>
      </c>
      <c r="R891" t="str">
        <f>TEXT(Cleaned_Data[[#This Row],[Order_Date]],"DDD")</f>
        <v>Tue</v>
      </c>
      <c r="S891" t="str">
        <f>IF(Cleaned_Data[[#This Row],[Net_Sales]]&gt;=100000,"High",IF(Cleaned_Data[[#This Row],[Net_Sales]]&gt;=50000,"Medium","Low"))</f>
        <v>Low</v>
      </c>
    </row>
    <row r="892" spans="1:19" x14ac:dyDescent="0.3">
      <c r="A892" t="s">
        <v>1040</v>
      </c>
      <c r="B892" s="1">
        <v>44985</v>
      </c>
      <c r="C892" t="s">
        <v>143</v>
      </c>
      <c r="D892" t="s">
        <v>144</v>
      </c>
      <c r="E892" t="s">
        <v>81</v>
      </c>
      <c r="F892" t="s">
        <v>110</v>
      </c>
      <c r="G892" t="s">
        <v>17</v>
      </c>
      <c r="H892" t="s">
        <v>18</v>
      </c>
      <c r="I892">
        <v>1</v>
      </c>
      <c r="J892" s="8">
        <v>60000</v>
      </c>
      <c r="K892">
        <v>25</v>
      </c>
      <c r="L892" t="s">
        <v>103</v>
      </c>
      <c r="M892" s="5">
        <f>Cleaned_Data[[#This Row],[Quantity]]*Cleaned_Data[[#This Row],[Unit_Price]]</f>
        <v>60000</v>
      </c>
      <c r="N892" s="7">
        <f>Cleaned_Data[[#This Row],[Total_sales]]*(Cleaned_Data[[#This Row],[Discount_Percent]]/100)</f>
        <v>15000</v>
      </c>
      <c r="O892" s="7">
        <f>Cleaned_Data[[#This Row],[Total_sales]]-Cleaned_Data[[#This Row],[Discount_Amount]]</f>
        <v>45000</v>
      </c>
      <c r="P892" t="str">
        <f>TEXT(Cleaned_Data[[#This Row],[Order_Date]],"MMM-YYYY")</f>
        <v>Feb-2023</v>
      </c>
      <c r="Q892" t="str">
        <f>"Q"&amp;ROUNDUP(MONTH(Cleaned_Data[[#This Row],[Order_Date]])/3,0)&amp;"-2023"</f>
        <v>Q1-2023</v>
      </c>
      <c r="R892" t="str">
        <f>TEXT(Cleaned_Data[[#This Row],[Order_Date]],"DDD")</f>
        <v>Tue</v>
      </c>
      <c r="S892" t="str">
        <f>IF(Cleaned_Data[[#This Row],[Net_Sales]]&gt;=100000,"High",IF(Cleaned_Data[[#This Row],[Net_Sales]]&gt;=50000,"Medium","Low"))</f>
        <v>Low</v>
      </c>
    </row>
    <row r="893" spans="1:19" x14ac:dyDescent="0.3">
      <c r="A893" t="s">
        <v>1041</v>
      </c>
      <c r="B893" s="1">
        <v>44985</v>
      </c>
      <c r="C893" t="s">
        <v>64</v>
      </c>
      <c r="D893" t="s">
        <v>65</v>
      </c>
      <c r="E893" t="s">
        <v>23</v>
      </c>
      <c r="F893" t="s">
        <v>44</v>
      </c>
      <c r="G893" t="s">
        <v>25</v>
      </c>
      <c r="H893" t="s">
        <v>26</v>
      </c>
      <c r="I893">
        <v>2</v>
      </c>
      <c r="J893" s="8">
        <v>2300</v>
      </c>
      <c r="K893">
        <v>25</v>
      </c>
      <c r="L893" t="s">
        <v>62</v>
      </c>
      <c r="M893" s="5">
        <f>Cleaned_Data[[#This Row],[Quantity]]*Cleaned_Data[[#This Row],[Unit_Price]]</f>
        <v>4600</v>
      </c>
      <c r="N893" s="7">
        <f>Cleaned_Data[[#This Row],[Total_sales]]*(Cleaned_Data[[#This Row],[Discount_Percent]]/100)</f>
        <v>1150</v>
      </c>
      <c r="O893" s="7">
        <f>Cleaned_Data[[#This Row],[Total_sales]]-Cleaned_Data[[#This Row],[Discount_Amount]]</f>
        <v>3450</v>
      </c>
      <c r="P893" t="str">
        <f>TEXT(Cleaned_Data[[#This Row],[Order_Date]],"MMM-YYYY")</f>
        <v>Feb-2023</v>
      </c>
      <c r="Q893" t="str">
        <f>"Q"&amp;ROUNDUP(MONTH(Cleaned_Data[[#This Row],[Order_Date]])/3,0)&amp;"-2023"</f>
        <v>Q1-2023</v>
      </c>
      <c r="R893" t="str">
        <f>TEXT(Cleaned_Data[[#This Row],[Order_Date]],"DDD")</f>
        <v>Tue</v>
      </c>
      <c r="S893" t="str">
        <f>IF(Cleaned_Data[[#This Row],[Net_Sales]]&gt;=100000,"High",IF(Cleaned_Data[[#This Row],[Net_Sales]]&gt;=50000,"Medium","Low"))</f>
        <v>Low</v>
      </c>
    </row>
    <row r="894" spans="1:19" x14ac:dyDescent="0.3">
      <c r="A894" t="s">
        <v>1042</v>
      </c>
      <c r="B894" s="1">
        <v>44985</v>
      </c>
      <c r="C894" t="s">
        <v>135</v>
      </c>
      <c r="D894" t="s">
        <v>136</v>
      </c>
      <c r="E894" t="s">
        <v>15</v>
      </c>
      <c r="F894" t="s">
        <v>128</v>
      </c>
      <c r="G894" t="s">
        <v>39</v>
      </c>
      <c r="H894" t="s">
        <v>57</v>
      </c>
      <c r="I894">
        <v>1</v>
      </c>
      <c r="J894" s="8">
        <v>10000</v>
      </c>
      <c r="K894">
        <v>20</v>
      </c>
      <c r="L894" t="s">
        <v>73</v>
      </c>
      <c r="M894" s="5">
        <f>Cleaned_Data[[#This Row],[Quantity]]*Cleaned_Data[[#This Row],[Unit_Price]]</f>
        <v>10000</v>
      </c>
      <c r="N894" s="7">
        <f>Cleaned_Data[[#This Row],[Total_sales]]*(Cleaned_Data[[#This Row],[Discount_Percent]]/100)</f>
        <v>2000</v>
      </c>
      <c r="O894" s="7">
        <f>Cleaned_Data[[#This Row],[Total_sales]]-Cleaned_Data[[#This Row],[Discount_Amount]]</f>
        <v>8000</v>
      </c>
      <c r="P894" t="str">
        <f>TEXT(Cleaned_Data[[#This Row],[Order_Date]],"MMM-YYYY")</f>
        <v>Feb-2023</v>
      </c>
      <c r="Q894" t="str">
        <f>"Q"&amp;ROUNDUP(MONTH(Cleaned_Data[[#This Row],[Order_Date]])/3,0)&amp;"-2023"</f>
        <v>Q1-2023</v>
      </c>
      <c r="R894" t="str">
        <f>TEXT(Cleaned_Data[[#This Row],[Order_Date]],"DDD")</f>
        <v>Tue</v>
      </c>
      <c r="S894" t="str">
        <f>IF(Cleaned_Data[[#This Row],[Net_Sales]]&gt;=100000,"High",IF(Cleaned_Data[[#This Row],[Net_Sales]]&gt;=50000,"Medium","Low"))</f>
        <v>Low</v>
      </c>
    </row>
    <row r="895" spans="1:19" x14ac:dyDescent="0.3">
      <c r="A895" t="s">
        <v>1043</v>
      </c>
      <c r="B895" s="1">
        <v>45013</v>
      </c>
      <c r="C895" t="s">
        <v>151</v>
      </c>
      <c r="D895" t="s">
        <v>152</v>
      </c>
      <c r="E895" t="s">
        <v>23</v>
      </c>
      <c r="F895" t="s">
        <v>24</v>
      </c>
      <c r="G895" t="s">
        <v>39</v>
      </c>
      <c r="H895" t="s">
        <v>57</v>
      </c>
      <c r="I895">
        <v>1</v>
      </c>
      <c r="J895" s="8">
        <v>16200</v>
      </c>
      <c r="K895">
        <v>10</v>
      </c>
      <c r="L895" t="s">
        <v>62</v>
      </c>
      <c r="M895" s="5">
        <f>Cleaned_Data[[#This Row],[Quantity]]*Cleaned_Data[[#This Row],[Unit_Price]]</f>
        <v>16200</v>
      </c>
      <c r="N895" s="7">
        <f>Cleaned_Data[[#This Row],[Total_sales]]*(Cleaned_Data[[#This Row],[Discount_Percent]]/100)</f>
        <v>1620</v>
      </c>
      <c r="O895" s="7">
        <f>Cleaned_Data[[#This Row],[Total_sales]]-Cleaned_Data[[#This Row],[Discount_Amount]]</f>
        <v>14580</v>
      </c>
      <c r="P895" t="str">
        <f>TEXT(Cleaned_Data[[#This Row],[Order_Date]],"MMM-YYYY")</f>
        <v>Mar-2023</v>
      </c>
      <c r="Q895" t="str">
        <f>"Q"&amp;ROUNDUP(MONTH(Cleaned_Data[[#This Row],[Order_Date]])/3,0)&amp;"-2023"</f>
        <v>Q1-2023</v>
      </c>
      <c r="R895" t="str">
        <f>TEXT(Cleaned_Data[[#This Row],[Order_Date]],"DDD")</f>
        <v>Tue</v>
      </c>
      <c r="S895" t="str">
        <f>IF(Cleaned_Data[[#This Row],[Net_Sales]]&gt;=100000,"High",IF(Cleaned_Data[[#This Row],[Net_Sales]]&gt;=50000,"Medium","Low"))</f>
        <v>Low</v>
      </c>
    </row>
    <row r="896" spans="1:19" x14ac:dyDescent="0.3">
      <c r="A896" t="s">
        <v>1044</v>
      </c>
      <c r="B896" s="1">
        <v>45013</v>
      </c>
      <c r="C896" t="s">
        <v>143</v>
      </c>
      <c r="D896" t="s">
        <v>144</v>
      </c>
      <c r="E896" t="s">
        <v>23</v>
      </c>
      <c r="F896" t="s">
        <v>31</v>
      </c>
      <c r="G896" t="s">
        <v>39</v>
      </c>
      <c r="H896" t="s">
        <v>40</v>
      </c>
      <c r="I896">
        <v>1</v>
      </c>
      <c r="J896" s="8">
        <v>27200</v>
      </c>
      <c r="K896">
        <v>0</v>
      </c>
      <c r="L896" t="s">
        <v>47</v>
      </c>
      <c r="M896" s="5">
        <f>Cleaned_Data[[#This Row],[Quantity]]*Cleaned_Data[[#This Row],[Unit_Price]]</f>
        <v>27200</v>
      </c>
      <c r="N896" s="7">
        <f>Cleaned_Data[[#This Row],[Total_sales]]*(Cleaned_Data[[#This Row],[Discount_Percent]]/100)</f>
        <v>0</v>
      </c>
      <c r="O896" s="7">
        <f>Cleaned_Data[[#This Row],[Total_sales]]-Cleaned_Data[[#This Row],[Discount_Amount]]</f>
        <v>27200</v>
      </c>
      <c r="P896" t="str">
        <f>TEXT(Cleaned_Data[[#This Row],[Order_Date]],"MMM-YYYY")</f>
        <v>Mar-2023</v>
      </c>
      <c r="Q896" t="str">
        <f>"Q"&amp;ROUNDUP(MONTH(Cleaned_Data[[#This Row],[Order_Date]])/3,0)&amp;"-2023"</f>
        <v>Q1-2023</v>
      </c>
      <c r="R896" t="str">
        <f>TEXT(Cleaned_Data[[#This Row],[Order_Date]],"DDD")</f>
        <v>Tue</v>
      </c>
      <c r="S896" t="str">
        <f>IF(Cleaned_Data[[#This Row],[Net_Sales]]&gt;=100000,"High",IF(Cleaned_Data[[#This Row],[Net_Sales]]&gt;=50000,"Medium","Low"))</f>
        <v>Low</v>
      </c>
    </row>
    <row r="897" spans="1:19" x14ac:dyDescent="0.3">
      <c r="A897" t="s">
        <v>1045</v>
      </c>
      <c r="B897" s="1">
        <v>45013</v>
      </c>
      <c r="C897" t="s">
        <v>84</v>
      </c>
      <c r="D897" t="s">
        <v>85</v>
      </c>
      <c r="E897" t="s">
        <v>23</v>
      </c>
      <c r="F897" t="s">
        <v>31</v>
      </c>
      <c r="G897" t="s">
        <v>17</v>
      </c>
      <c r="H897" t="s">
        <v>168</v>
      </c>
      <c r="I897">
        <v>2</v>
      </c>
      <c r="J897" s="8">
        <v>47600</v>
      </c>
      <c r="K897">
        <v>5</v>
      </c>
      <c r="L897" t="s">
        <v>27</v>
      </c>
      <c r="M897" s="5">
        <f>Cleaned_Data[[#This Row],[Quantity]]*Cleaned_Data[[#This Row],[Unit_Price]]</f>
        <v>95200</v>
      </c>
      <c r="N897" s="7">
        <f>Cleaned_Data[[#This Row],[Total_sales]]*(Cleaned_Data[[#This Row],[Discount_Percent]]/100)</f>
        <v>4760</v>
      </c>
      <c r="O897" s="7">
        <f>Cleaned_Data[[#This Row],[Total_sales]]-Cleaned_Data[[#This Row],[Discount_Amount]]</f>
        <v>90440</v>
      </c>
      <c r="P897" t="str">
        <f>TEXT(Cleaned_Data[[#This Row],[Order_Date]],"MMM-YYYY")</f>
        <v>Mar-2023</v>
      </c>
      <c r="Q897" t="str">
        <f>"Q"&amp;ROUNDUP(MONTH(Cleaned_Data[[#This Row],[Order_Date]])/3,0)&amp;"-2023"</f>
        <v>Q1-2023</v>
      </c>
      <c r="R897" t="str">
        <f>TEXT(Cleaned_Data[[#This Row],[Order_Date]],"DDD")</f>
        <v>Tue</v>
      </c>
      <c r="S897" t="str">
        <f>IF(Cleaned_Data[[#This Row],[Net_Sales]]&gt;=100000,"High",IF(Cleaned_Data[[#This Row],[Net_Sales]]&gt;=50000,"Medium","Low"))</f>
        <v>Medium</v>
      </c>
    </row>
    <row r="898" spans="1:19" x14ac:dyDescent="0.3">
      <c r="A898" t="s">
        <v>1046</v>
      </c>
      <c r="B898" s="1">
        <v>45044</v>
      </c>
      <c r="C898" t="s">
        <v>29</v>
      </c>
      <c r="D898" t="s">
        <v>30</v>
      </c>
      <c r="E898" t="s">
        <v>37</v>
      </c>
      <c r="F898" t="s">
        <v>141</v>
      </c>
      <c r="G898" t="s">
        <v>45</v>
      </c>
      <c r="H898" t="s">
        <v>46</v>
      </c>
      <c r="I898">
        <v>1</v>
      </c>
      <c r="J898" s="8">
        <v>40800</v>
      </c>
      <c r="K898">
        <v>5</v>
      </c>
      <c r="L898" t="s">
        <v>19</v>
      </c>
      <c r="M898" s="5">
        <f>Cleaned_Data[[#This Row],[Quantity]]*Cleaned_Data[[#This Row],[Unit_Price]]</f>
        <v>40800</v>
      </c>
      <c r="N898" s="7">
        <f>Cleaned_Data[[#This Row],[Total_sales]]*(Cleaned_Data[[#This Row],[Discount_Percent]]/100)</f>
        <v>2040</v>
      </c>
      <c r="O898" s="7">
        <f>Cleaned_Data[[#This Row],[Total_sales]]-Cleaned_Data[[#This Row],[Discount_Amount]]</f>
        <v>38760</v>
      </c>
      <c r="P898" t="str">
        <f>TEXT(Cleaned_Data[[#This Row],[Order_Date]],"MMM-YYYY")</f>
        <v>Apr-2023</v>
      </c>
      <c r="Q898" t="str">
        <f>"Q"&amp;ROUNDUP(MONTH(Cleaned_Data[[#This Row],[Order_Date]])/3,0)&amp;"-2023"</f>
        <v>Q2-2023</v>
      </c>
      <c r="R898" t="str">
        <f>TEXT(Cleaned_Data[[#This Row],[Order_Date]],"DDD")</f>
        <v>Fri</v>
      </c>
      <c r="S898" t="str">
        <f>IF(Cleaned_Data[[#This Row],[Net_Sales]]&gt;=100000,"High",IF(Cleaned_Data[[#This Row],[Net_Sales]]&gt;=50000,"Medium","Low"))</f>
        <v>Low</v>
      </c>
    </row>
    <row r="899" spans="1:19" x14ac:dyDescent="0.3">
      <c r="A899" t="s">
        <v>1047</v>
      </c>
      <c r="B899" s="1">
        <v>45074</v>
      </c>
      <c r="C899" t="s">
        <v>112</v>
      </c>
      <c r="D899" t="s">
        <v>113</v>
      </c>
      <c r="E899" t="s">
        <v>37</v>
      </c>
      <c r="F899" t="s">
        <v>38</v>
      </c>
      <c r="G899" t="s">
        <v>97</v>
      </c>
      <c r="H899" t="s">
        <v>174</v>
      </c>
      <c r="I899">
        <v>1</v>
      </c>
      <c r="J899" s="8">
        <v>55200</v>
      </c>
      <c r="K899">
        <v>0</v>
      </c>
      <c r="L899" t="s">
        <v>73</v>
      </c>
      <c r="M899" s="5">
        <f>Cleaned_Data[[#This Row],[Quantity]]*Cleaned_Data[[#This Row],[Unit_Price]]</f>
        <v>55200</v>
      </c>
      <c r="N899" s="7">
        <f>Cleaned_Data[[#This Row],[Total_sales]]*(Cleaned_Data[[#This Row],[Discount_Percent]]/100)</f>
        <v>0</v>
      </c>
      <c r="O899" s="7">
        <f>Cleaned_Data[[#This Row],[Total_sales]]-Cleaned_Data[[#This Row],[Discount_Amount]]</f>
        <v>55200</v>
      </c>
      <c r="P899" t="str">
        <f>TEXT(Cleaned_Data[[#This Row],[Order_Date]],"MMM-YYYY")</f>
        <v>May-2023</v>
      </c>
      <c r="Q899" t="str">
        <f>"Q"&amp;ROUNDUP(MONTH(Cleaned_Data[[#This Row],[Order_Date]])/3,0)&amp;"-2023"</f>
        <v>Q2-2023</v>
      </c>
      <c r="R899" t="str">
        <f>TEXT(Cleaned_Data[[#This Row],[Order_Date]],"DDD")</f>
        <v>Sun</v>
      </c>
      <c r="S899" t="str">
        <f>IF(Cleaned_Data[[#This Row],[Net_Sales]]&gt;=100000,"High",IF(Cleaned_Data[[#This Row],[Net_Sales]]&gt;=50000,"Medium","Low"))</f>
        <v>Medium</v>
      </c>
    </row>
    <row r="900" spans="1:19" x14ac:dyDescent="0.3">
      <c r="A900" t="s">
        <v>1048</v>
      </c>
      <c r="B900" s="1">
        <v>45074</v>
      </c>
      <c r="C900" t="s">
        <v>49</v>
      </c>
      <c r="D900" t="s">
        <v>50</v>
      </c>
      <c r="E900" t="s">
        <v>23</v>
      </c>
      <c r="F900" t="s">
        <v>31</v>
      </c>
      <c r="G900" t="s">
        <v>25</v>
      </c>
      <c r="H900" t="s">
        <v>124</v>
      </c>
      <c r="I900">
        <v>2</v>
      </c>
      <c r="J900" s="8">
        <v>600</v>
      </c>
      <c r="K900">
        <v>15</v>
      </c>
      <c r="L900" t="s">
        <v>33</v>
      </c>
      <c r="M900" s="5">
        <f>Cleaned_Data[[#This Row],[Quantity]]*Cleaned_Data[[#This Row],[Unit_Price]]</f>
        <v>1200</v>
      </c>
      <c r="N900" s="7">
        <f>Cleaned_Data[[#This Row],[Total_sales]]*(Cleaned_Data[[#This Row],[Discount_Percent]]/100)</f>
        <v>180</v>
      </c>
      <c r="O900" s="7">
        <f>Cleaned_Data[[#This Row],[Total_sales]]-Cleaned_Data[[#This Row],[Discount_Amount]]</f>
        <v>1020</v>
      </c>
      <c r="P900" t="str">
        <f>TEXT(Cleaned_Data[[#This Row],[Order_Date]],"MMM-YYYY")</f>
        <v>May-2023</v>
      </c>
      <c r="Q900" t="str">
        <f>"Q"&amp;ROUNDUP(MONTH(Cleaned_Data[[#This Row],[Order_Date]])/3,0)&amp;"-2023"</f>
        <v>Q2-2023</v>
      </c>
      <c r="R900" t="str">
        <f>TEXT(Cleaned_Data[[#This Row],[Order_Date]],"DDD")</f>
        <v>Sun</v>
      </c>
      <c r="S900" t="str">
        <f>IF(Cleaned_Data[[#This Row],[Net_Sales]]&gt;=100000,"High",IF(Cleaned_Data[[#This Row],[Net_Sales]]&gt;=50000,"Medium","Low"))</f>
        <v>Low</v>
      </c>
    </row>
    <row r="901" spans="1:19" x14ac:dyDescent="0.3">
      <c r="A901" t="s">
        <v>1049</v>
      </c>
      <c r="B901" s="1">
        <v>45074</v>
      </c>
      <c r="C901" t="s">
        <v>284</v>
      </c>
      <c r="D901" t="s">
        <v>285</v>
      </c>
      <c r="E901" t="s">
        <v>66</v>
      </c>
      <c r="F901" t="s">
        <v>72</v>
      </c>
      <c r="G901" t="s">
        <v>45</v>
      </c>
      <c r="H901" t="s">
        <v>207</v>
      </c>
      <c r="I901">
        <v>1</v>
      </c>
      <c r="J901" s="8">
        <v>35600</v>
      </c>
      <c r="K901">
        <v>0</v>
      </c>
      <c r="L901" t="s">
        <v>53</v>
      </c>
      <c r="M901" s="5">
        <f>Cleaned_Data[[#This Row],[Quantity]]*Cleaned_Data[[#This Row],[Unit_Price]]</f>
        <v>35600</v>
      </c>
      <c r="N901" s="7">
        <f>Cleaned_Data[[#This Row],[Total_sales]]*(Cleaned_Data[[#This Row],[Discount_Percent]]/100)</f>
        <v>0</v>
      </c>
      <c r="O901" s="7">
        <f>Cleaned_Data[[#This Row],[Total_sales]]-Cleaned_Data[[#This Row],[Discount_Amount]]</f>
        <v>35600</v>
      </c>
      <c r="P901" t="str">
        <f>TEXT(Cleaned_Data[[#This Row],[Order_Date]],"MMM-YYYY")</f>
        <v>May-2023</v>
      </c>
      <c r="Q901" t="str">
        <f>"Q"&amp;ROUNDUP(MONTH(Cleaned_Data[[#This Row],[Order_Date]])/3,0)&amp;"-2023"</f>
        <v>Q2-2023</v>
      </c>
      <c r="R901" t="str">
        <f>TEXT(Cleaned_Data[[#This Row],[Order_Date]],"DDD")</f>
        <v>Sun</v>
      </c>
      <c r="S901" t="str">
        <f>IF(Cleaned_Data[[#This Row],[Net_Sales]]&gt;=100000,"High",IF(Cleaned_Data[[#This Row],[Net_Sales]]&gt;=50000,"Medium","Low"))</f>
        <v>Low</v>
      </c>
    </row>
    <row r="902" spans="1:19" x14ac:dyDescent="0.3">
      <c r="A902" t="s">
        <v>1050</v>
      </c>
      <c r="B902" s="1">
        <v>45074</v>
      </c>
      <c r="C902" t="s">
        <v>42</v>
      </c>
      <c r="D902" t="s">
        <v>43</v>
      </c>
      <c r="E902" t="s">
        <v>15</v>
      </c>
      <c r="F902" t="s">
        <v>16</v>
      </c>
      <c r="G902" t="s">
        <v>45</v>
      </c>
      <c r="H902" t="s">
        <v>207</v>
      </c>
      <c r="I902">
        <v>1</v>
      </c>
      <c r="J902" s="8">
        <v>39500</v>
      </c>
      <c r="K902">
        <v>25</v>
      </c>
      <c r="L902" t="s">
        <v>33</v>
      </c>
      <c r="M902" s="5">
        <f>Cleaned_Data[[#This Row],[Quantity]]*Cleaned_Data[[#This Row],[Unit_Price]]</f>
        <v>39500</v>
      </c>
      <c r="N902" s="7">
        <f>Cleaned_Data[[#This Row],[Total_sales]]*(Cleaned_Data[[#This Row],[Discount_Percent]]/100)</f>
        <v>9875</v>
      </c>
      <c r="O902" s="7">
        <f>Cleaned_Data[[#This Row],[Total_sales]]-Cleaned_Data[[#This Row],[Discount_Amount]]</f>
        <v>29625</v>
      </c>
      <c r="P902" t="str">
        <f>TEXT(Cleaned_Data[[#This Row],[Order_Date]],"MMM-YYYY")</f>
        <v>May-2023</v>
      </c>
      <c r="Q902" t="str">
        <f>"Q"&amp;ROUNDUP(MONTH(Cleaned_Data[[#This Row],[Order_Date]])/3,0)&amp;"-2023"</f>
        <v>Q2-2023</v>
      </c>
      <c r="R902" t="str">
        <f>TEXT(Cleaned_Data[[#This Row],[Order_Date]],"DDD")</f>
        <v>Sun</v>
      </c>
      <c r="S902" t="str">
        <f>IF(Cleaned_Data[[#This Row],[Net_Sales]]&gt;=100000,"High",IF(Cleaned_Data[[#This Row],[Net_Sales]]&gt;=50000,"Medium","Low"))</f>
        <v>Low</v>
      </c>
    </row>
    <row r="903" spans="1:19" x14ac:dyDescent="0.3">
      <c r="A903" t="s">
        <v>1051</v>
      </c>
      <c r="B903" s="1">
        <v>45074</v>
      </c>
      <c r="C903" t="s">
        <v>147</v>
      </c>
      <c r="D903" t="s">
        <v>148</v>
      </c>
      <c r="E903" t="s">
        <v>23</v>
      </c>
      <c r="F903" t="s">
        <v>44</v>
      </c>
      <c r="G903" t="s">
        <v>25</v>
      </c>
      <c r="H903" t="s">
        <v>124</v>
      </c>
      <c r="I903">
        <v>2</v>
      </c>
      <c r="J903" s="8">
        <v>2100</v>
      </c>
      <c r="K903">
        <v>0</v>
      </c>
      <c r="L903" t="s">
        <v>103</v>
      </c>
      <c r="M903" s="5">
        <f>Cleaned_Data[[#This Row],[Quantity]]*Cleaned_Data[[#This Row],[Unit_Price]]</f>
        <v>4200</v>
      </c>
      <c r="N903" s="7">
        <f>Cleaned_Data[[#This Row],[Total_sales]]*(Cleaned_Data[[#This Row],[Discount_Percent]]/100)</f>
        <v>0</v>
      </c>
      <c r="O903" s="7">
        <f>Cleaned_Data[[#This Row],[Total_sales]]-Cleaned_Data[[#This Row],[Discount_Amount]]</f>
        <v>4200</v>
      </c>
      <c r="P903" t="str">
        <f>TEXT(Cleaned_Data[[#This Row],[Order_Date]],"MMM-YYYY")</f>
        <v>May-2023</v>
      </c>
      <c r="Q903" t="str">
        <f>"Q"&amp;ROUNDUP(MONTH(Cleaned_Data[[#This Row],[Order_Date]])/3,0)&amp;"-2023"</f>
        <v>Q2-2023</v>
      </c>
      <c r="R903" t="str">
        <f>TEXT(Cleaned_Data[[#This Row],[Order_Date]],"DDD")</f>
        <v>Sun</v>
      </c>
      <c r="S903" t="str">
        <f>IF(Cleaned_Data[[#This Row],[Net_Sales]]&gt;=100000,"High",IF(Cleaned_Data[[#This Row],[Net_Sales]]&gt;=50000,"Medium","Low"))</f>
        <v>Low</v>
      </c>
    </row>
    <row r="904" spans="1:19" x14ac:dyDescent="0.3">
      <c r="A904" t="s">
        <v>1052</v>
      </c>
      <c r="B904" s="1">
        <v>45074</v>
      </c>
      <c r="C904" t="s">
        <v>143</v>
      </c>
      <c r="D904" t="s">
        <v>144</v>
      </c>
      <c r="E904" t="s">
        <v>66</v>
      </c>
      <c r="F904" t="s">
        <v>72</v>
      </c>
      <c r="G904" t="s">
        <v>97</v>
      </c>
      <c r="H904" t="s">
        <v>174</v>
      </c>
      <c r="I904">
        <v>1</v>
      </c>
      <c r="J904" s="8">
        <v>69800</v>
      </c>
      <c r="K904">
        <v>25</v>
      </c>
      <c r="L904" t="s">
        <v>62</v>
      </c>
      <c r="M904" s="5">
        <f>Cleaned_Data[[#This Row],[Quantity]]*Cleaned_Data[[#This Row],[Unit_Price]]</f>
        <v>69800</v>
      </c>
      <c r="N904" s="7">
        <f>Cleaned_Data[[#This Row],[Total_sales]]*(Cleaned_Data[[#This Row],[Discount_Percent]]/100)</f>
        <v>17450</v>
      </c>
      <c r="O904" s="7">
        <f>Cleaned_Data[[#This Row],[Total_sales]]-Cleaned_Data[[#This Row],[Discount_Amount]]</f>
        <v>52350</v>
      </c>
      <c r="P904" t="str">
        <f>TEXT(Cleaned_Data[[#This Row],[Order_Date]],"MMM-YYYY")</f>
        <v>May-2023</v>
      </c>
      <c r="Q904" t="str">
        <f>"Q"&amp;ROUNDUP(MONTH(Cleaned_Data[[#This Row],[Order_Date]])/3,0)&amp;"-2023"</f>
        <v>Q2-2023</v>
      </c>
      <c r="R904" t="str">
        <f>TEXT(Cleaned_Data[[#This Row],[Order_Date]],"DDD")</f>
        <v>Sun</v>
      </c>
      <c r="S904" t="str">
        <f>IF(Cleaned_Data[[#This Row],[Net_Sales]]&gt;=100000,"High",IF(Cleaned_Data[[#This Row],[Net_Sales]]&gt;=50000,"Medium","Low"))</f>
        <v>Medium</v>
      </c>
    </row>
    <row r="905" spans="1:19" x14ac:dyDescent="0.3">
      <c r="A905" t="s">
        <v>1053</v>
      </c>
      <c r="B905" s="1">
        <v>45105</v>
      </c>
      <c r="C905" t="s">
        <v>165</v>
      </c>
      <c r="D905" t="s">
        <v>166</v>
      </c>
      <c r="E905" t="s">
        <v>66</v>
      </c>
      <c r="F905" t="s">
        <v>72</v>
      </c>
      <c r="G905" t="s">
        <v>97</v>
      </c>
      <c r="H905" t="s">
        <v>171</v>
      </c>
      <c r="I905">
        <v>1</v>
      </c>
      <c r="J905" s="8">
        <v>46600</v>
      </c>
      <c r="K905">
        <v>25</v>
      </c>
      <c r="L905" t="s">
        <v>27</v>
      </c>
      <c r="M905" s="5">
        <f>Cleaned_Data[[#This Row],[Quantity]]*Cleaned_Data[[#This Row],[Unit_Price]]</f>
        <v>46600</v>
      </c>
      <c r="N905" s="7">
        <f>Cleaned_Data[[#This Row],[Total_sales]]*(Cleaned_Data[[#This Row],[Discount_Percent]]/100)</f>
        <v>11650</v>
      </c>
      <c r="O905" s="7">
        <f>Cleaned_Data[[#This Row],[Total_sales]]-Cleaned_Data[[#This Row],[Discount_Amount]]</f>
        <v>34950</v>
      </c>
      <c r="P905" t="str">
        <f>TEXT(Cleaned_Data[[#This Row],[Order_Date]],"MMM-YYYY")</f>
        <v>Jun-2023</v>
      </c>
      <c r="Q905" t="str">
        <f>"Q"&amp;ROUNDUP(MONTH(Cleaned_Data[[#This Row],[Order_Date]])/3,0)&amp;"-2023"</f>
        <v>Q2-2023</v>
      </c>
      <c r="R905" t="str">
        <f>TEXT(Cleaned_Data[[#This Row],[Order_Date]],"DDD")</f>
        <v>Wed</v>
      </c>
      <c r="S905" t="str">
        <f>IF(Cleaned_Data[[#This Row],[Net_Sales]]&gt;=100000,"High",IF(Cleaned_Data[[#This Row],[Net_Sales]]&gt;=50000,"Medium","Low"))</f>
        <v>Low</v>
      </c>
    </row>
    <row r="906" spans="1:19" x14ac:dyDescent="0.3">
      <c r="A906" t="s">
        <v>1054</v>
      </c>
      <c r="B906" s="1">
        <v>45105</v>
      </c>
      <c r="C906" t="s">
        <v>203</v>
      </c>
      <c r="D906" t="s">
        <v>204</v>
      </c>
      <c r="E906" t="s">
        <v>81</v>
      </c>
      <c r="F906" t="s">
        <v>160</v>
      </c>
      <c r="G906" t="s">
        <v>25</v>
      </c>
      <c r="H906" t="s">
        <v>32</v>
      </c>
      <c r="I906">
        <v>2</v>
      </c>
      <c r="J906" s="8">
        <v>2000</v>
      </c>
      <c r="K906">
        <v>20</v>
      </c>
      <c r="L906" t="s">
        <v>53</v>
      </c>
      <c r="M906" s="5">
        <f>Cleaned_Data[[#This Row],[Quantity]]*Cleaned_Data[[#This Row],[Unit_Price]]</f>
        <v>4000</v>
      </c>
      <c r="N906" s="7">
        <f>Cleaned_Data[[#This Row],[Total_sales]]*(Cleaned_Data[[#This Row],[Discount_Percent]]/100)</f>
        <v>800</v>
      </c>
      <c r="O906" s="7">
        <f>Cleaned_Data[[#This Row],[Total_sales]]-Cleaned_Data[[#This Row],[Discount_Amount]]</f>
        <v>3200</v>
      </c>
      <c r="P906" t="str">
        <f>TEXT(Cleaned_Data[[#This Row],[Order_Date]],"MMM-YYYY")</f>
        <v>Jun-2023</v>
      </c>
      <c r="Q906" t="str">
        <f>"Q"&amp;ROUNDUP(MONTH(Cleaned_Data[[#This Row],[Order_Date]])/3,0)&amp;"-2023"</f>
        <v>Q2-2023</v>
      </c>
      <c r="R906" t="str">
        <f>TEXT(Cleaned_Data[[#This Row],[Order_Date]],"DDD")</f>
        <v>Wed</v>
      </c>
      <c r="S906" t="str">
        <f>IF(Cleaned_Data[[#This Row],[Net_Sales]]&gt;=100000,"High",IF(Cleaned_Data[[#This Row],[Net_Sales]]&gt;=50000,"Medium","Low"))</f>
        <v>Low</v>
      </c>
    </row>
    <row r="907" spans="1:19" x14ac:dyDescent="0.3">
      <c r="A907" t="s">
        <v>1055</v>
      </c>
      <c r="B907" s="1">
        <v>45135</v>
      </c>
      <c r="C907" t="s">
        <v>135</v>
      </c>
      <c r="D907" t="s">
        <v>136</v>
      </c>
      <c r="E907" t="s">
        <v>66</v>
      </c>
      <c r="F907" t="s">
        <v>72</v>
      </c>
      <c r="G907" t="s">
        <v>25</v>
      </c>
      <c r="H907" t="s">
        <v>212</v>
      </c>
      <c r="I907">
        <v>2</v>
      </c>
      <c r="J907" s="8">
        <v>500</v>
      </c>
      <c r="K907">
        <v>10</v>
      </c>
      <c r="L907" t="s">
        <v>27</v>
      </c>
      <c r="M907" s="5">
        <f>Cleaned_Data[[#This Row],[Quantity]]*Cleaned_Data[[#This Row],[Unit_Price]]</f>
        <v>1000</v>
      </c>
      <c r="N907" s="7">
        <f>Cleaned_Data[[#This Row],[Total_sales]]*(Cleaned_Data[[#This Row],[Discount_Percent]]/100)</f>
        <v>100</v>
      </c>
      <c r="O907" s="7">
        <f>Cleaned_Data[[#This Row],[Total_sales]]-Cleaned_Data[[#This Row],[Discount_Amount]]</f>
        <v>900</v>
      </c>
      <c r="P907" t="str">
        <f>TEXT(Cleaned_Data[[#This Row],[Order_Date]],"MMM-YYYY")</f>
        <v>Jul-2023</v>
      </c>
      <c r="Q907" t="str">
        <f>"Q"&amp;ROUNDUP(MONTH(Cleaned_Data[[#This Row],[Order_Date]])/3,0)&amp;"-2023"</f>
        <v>Q3-2023</v>
      </c>
      <c r="R907" t="str">
        <f>TEXT(Cleaned_Data[[#This Row],[Order_Date]],"DDD")</f>
        <v>Fri</v>
      </c>
      <c r="S907" t="str">
        <f>IF(Cleaned_Data[[#This Row],[Net_Sales]]&gt;=100000,"High",IF(Cleaned_Data[[#This Row],[Net_Sales]]&gt;=50000,"Medium","Low"))</f>
        <v>Low</v>
      </c>
    </row>
    <row r="908" spans="1:19" x14ac:dyDescent="0.3">
      <c r="A908" t="s">
        <v>1056</v>
      </c>
      <c r="B908" s="1">
        <v>45135</v>
      </c>
      <c r="C908" t="s">
        <v>59</v>
      </c>
      <c r="D908" t="s">
        <v>60</v>
      </c>
      <c r="E908" t="s">
        <v>81</v>
      </c>
      <c r="F908" t="s">
        <v>110</v>
      </c>
      <c r="G908" t="s">
        <v>25</v>
      </c>
      <c r="H908" t="s">
        <v>26</v>
      </c>
      <c r="I908">
        <v>2</v>
      </c>
      <c r="J908" s="8">
        <v>1500</v>
      </c>
      <c r="K908">
        <v>5</v>
      </c>
      <c r="L908" t="s">
        <v>27</v>
      </c>
      <c r="M908" s="5">
        <f>Cleaned_Data[[#This Row],[Quantity]]*Cleaned_Data[[#This Row],[Unit_Price]]</f>
        <v>3000</v>
      </c>
      <c r="N908" s="7">
        <f>Cleaned_Data[[#This Row],[Total_sales]]*(Cleaned_Data[[#This Row],[Discount_Percent]]/100)</f>
        <v>150</v>
      </c>
      <c r="O908" s="7">
        <f>Cleaned_Data[[#This Row],[Total_sales]]-Cleaned_Data[[#This Row],[Discount_Amount]]</f>
        <v>2850</v>
      </c>
      <c r="P908" t="str">
        <f>TEXT(Cleaned_Data[[#This Row],[Order_Date]],"MMM-YYYY")</f>
        <v>Jul-2023</v>
      </c>
      <c r="Q908" t="str">
        <f>"Q"&amp;ROUNDUP(MONTH(Cleaned_Data[[#This Row],[Order_Date]])/3,0)&amp;"-2023"</f>
        <v>Q3-2023</v>
      </c>
      <c r="R908" t="str">
        <f>TEXT(Cleaned_Data[[#This Row],[Order_Date]],"DDD")</f>
        <v>Fri</v>
      </c>
      <c r="S908" t="str">
        <f>IF(Cleaned_Data[[#This Row],[Net_Sales]]&gt;=100000,"High",IF(Cleaned_Data[[#This Row],[Net_Sales]]&gt;=50000,"Medium","Low"))</f>
        <v>Low</v>
      </c>
    </row>
    <row r="909" spans="1:19" x14ac:dyDescent="0.3">
      <c r="A909" t="s">
        <v>1057</v>
      </c>
      <c r="B909" s="1">
        <v>45166</v>
      </c>
      <c r="C909" t="s">
        <v>284</v>
      </c>
      <c r="D909" t="s">
        <v>285</v>
      </c>
      <c r="E909" t="s">
        <v>15</v>
      </c>
      <c r="F909" t="s">
        <v>16</v>
      </c>
      <c r="G909" t="s">
        <v>39</v>
      </c>
      <c r="H909" t="s">
        <v>68</v>
      </c>
      <c r="I909">
        <v>1</v>
      </c>
      <c r="J909" s="8">
        <v>30200</v>
      </c>
      <c r="K909">
        <v>0</v>
      </c>
      <c r="L909" t="s">
        <v>62</v>
      </c>
      <c r="M909" s="5">
        <f>Cleaned_Data[[#This Row],[Quantity]]*Cleaned_Data[[#This Row],[Unit_Price]]</f>
        <v>30200</v>
      </c>
      <c r="N909" s="7">
        <f>Cleaned_Data[[#This Row],[Total_sales]]*(Cleaned_Data[[#This Row],[Discount_Percent]]/100)</f>
        <v>0</v>
      </c>
      <c r="O909" s="7">
        <f>Cleaned_Data[[#This Row],[Total_sales]]-Cleaned_Data[[#This Row],[Discount_Amount]]</f>
        <v>30200</v>
      </c>
      <c r="P909" t="str">
        <f>TEXT(Cleaned_Data[[#This Row],[Order_Date]],"MMM-YYYY")</f>
        <v>Aug-2023</v>
      </c>
      <c r="Q909" t="str">
        <f>"Q"&amp;ROUNDUP(MONTH(Cleaned_Data[[#This Row],[Order_Date]])/3,0)&amp;"-2023"</f>
        <v>Q3-2023</v>
      </c>
      <c r="R909" t="str">
        <f>TEXT(Cleaned_Data[[#This Row],[Order_Date]],"DDD")</f>
        <v>Mon</v>
      </c>
      <c r="S909" t="str">
        <f>IF(Cleaned_Data[[#This Row],[Net_Sales]]&gt;=100000,"High",IF(Cleaned_Data[[#This Row],[Net_Sales]]&gt;=50000,"Medium","Low"))</f>
        <v>Low</v>
      </c>
    </row>
    <row r="910" spans="1:19" x14ac:dyDescent="0.3">
      <c r="A910" t="s">
        <v>1058</v>
      </c>
      <c r="B910" s="1">
        <v>45197</v>
      </c>
      <c r="C910" t="s">
        <v>95</v>
      </c>
      <c r="D910" t="s">
        <v>96</v>
      </c>
      <c r="E910" t="s">
        <v>81</v>
      </c>
      <c r="F910" t="s">
        <v>82</v>
      </c>
      <c r="G910" t="s">
        <v>97</v>
      </c>
      <c r="H910" t="s">
        <v>154</v>
      </c>
      <c r="I910">
        <v>1</v>
      </c>
      <c r="J910" s="8">
        <v>78300</v>
      </c>
      <c r="K910">
        <v>5</v>
      </c>
      <c r="L910" t="s">
        <v>19</v>
      </c>
      <c r="M910" s="5">
        <f>Cleaned_Data[[#This Row],[Quantity]]*Cleaned_Data[[#This Row],[Unit_Price]]</f>
        <v>78300</v>
      </c>
      <c r="N910" s="7">
        <f>Cleaned_Data[[#This Row],[Total_sales]]*(Cleaned_Data[[#This Row],[Discount_Percent]]/100)</f>
        <v>3915</v>
      </c>
      <c r="O910" s="7">
        <f>Cleaned_Data[[#This Row],[Total_sales]]-Cleaned_Data[[#This Row],[Discount_Amount]]</f>
        <v>74385</v>
      </c>
      <c r="P910" t="str">
        <f>TEXT(Cleaned_Data[[#This Row],[Order_Date]],"MMM-YYYY")</f>
        <v>Sep-2023</v>
      </c>
      <c r="Q910" t="str">
        <f>"Q"&amp;ROUNDUP(MONTH(Cleaned_Data[[#This Row],[Order_Date]])/3,0)&amp;"-2023"</f>
        <v>Q3-2023</v>
      </c>
      <c r="R910" t="str">
        <f>TEXT(Cleaned_Data[[#This Row],[Order_Date]],"DDD")</f>
        <v>Thu</v>
      </c>
      <c r="S910" t="str">
        <f>IF(Cleaned_Data[[#This Row],[Net_Sales]]&gt;=100000,"High",IF(Cleaned_Data[[#This Row],[Net_Sales]]&gt;=50000,"Medium","Low"))</f>
        <v>Medium</v>
      </c>
    </row>
    <row r="911" spans="1:19" x14ac:dyDescent="0.3">
      <c r="A911" t="s">
        <v>1059</v>
      </c>
      <c r="B911" s="1">
        <v>45197</v>
      </c>
      <c r="C911" t="s">
        <v>122</v>
      </c>
      <c r="D911" t="s">
        <v>123</v>
      </c>
      <c r="E911" t="s">
        <v>15</v>
      </c>
      <c r="F911" t="s">
        <v>119</v>
      </c>
      <c r="G911" t="s">
        <v>17</v>
      </c>
      <c r="H911" t="s">
        <v>18</v>
      </c>
      <c r="I911">
        <v>1</v>
      </c>
      <c r="J911" s="8">
        <v>34100</v>
      </c>
      <c r="K911">
        <v>5</v>
      </c>
      <c r="L911" t="s">
        <v>27</v>
      </c>
      <c r="M911" s="5">
        <f>Cleaned_Data[[#This Row],[Quantity]]*Cleaned_Data[[#This Row],[Unit_Price]]</f>
        <v>34100</v>
      </c>
      <c r="N911" s="7">
        <f>Cleaned_Data[[#This Row],[Total_sales]]*(Cleaned_Data[[#This Row],[Discount_Percent]]/100)</f>
        <v>1705</v>
      </c>
      <c r="O911" s="7">
        <f>Cleaned_Data[[#This Row],[Total_sales]]-Cleaned_Data[[#This Row],[Discount_Amount]]</f>
        <v>32395</v>
      </c>
      <c r="P911" t="str">
        <f>TEXT(Cleaned_Data[[#This Row],[Order_Date]],"MMM-YYYY")</f>
        <v>Sep-2023</v>
      </c>
      <c r="Q911" t="str">
        <f>"Q"&amp;ROUNDUP(MONTH(Cleaned_Data[[#This Row],[Order_Date]])/3,0)&amp;"-2023"</f>
        <v>Q3-2023</v>
      </c>
      <c r="R911" t="str">
        <f>TEXT(Cleaned_Data[[#This Row],[Order_Date]],"DDD")</f>
        <v>Thu</v>
      </c>
      <c r="S911" t="str">
        <f>IF(Cleaned_Data[[#This Row],[Net_Sales]]&gt;=100000,"High",IF(Cleaned_Data[[#This Row],[Net_Sales]]&gt;=50000,"Medium","Low"))</f>
        <v>Low</v>
      </c>
    </row>
    <row r="912" spans="1:19" x14ac:dyDescent="0.3">
      <c r="A912" t="s">
        <v>1060</v>
      </c>
      <c r="B912" s="1">
        <v>45227</v>
      </c>
      <c r="C912" t="s">
        <v>115</v>
      </c>
      <c r="D912" t="s">
        <v>116</v>
      </c>
      <c r="E912" t="s">
        <v>15</v>
      </c>
      <c r="F912" t="s">
        <v>16</v>
      </c>
      <c r="G912" t="s">
        <v>97</v>
      </c>
      <c r="H912" t="s">
        <v>133</v>
      </c>
      <c r="I912">
        <v>1</v>
      </c>
      <c r="J912" s="8">
        <v>56000</v>
      </c>
      <c r="K912">
        <v>10</v>
      </c>
      <c r="L912" t="s">
        <v>103</v>
      </c>
      <c r="M912" s="5">
        <f>Cleaned_Data[[#This Row],[Quantity]]*Cleaned_Data[[#This Row],[Unit_Price]]</f>
        <v>56000</v>
      </c>
      <c r="N912" s="7">
        <f>Cleaned_Data[[#This Row],[Total_sales]]*(Cleaned_Data[[#This Row],[Discount_Percent]]/100)</f>
        <v>5600</v>
      </c>
      <c r="O912" s="7">
        <f>Cleaned_Data[[#This Row],[Total_sales]]-Cleaned_Data[[#This Row],[Discount_Amount]]</f>
        <v>50400</v>
      </c>
      <c r="P912" t="str">
        <f>TEXT(Cleaned_Data[[#This Row],[Order_Date]],"MMM-YYYY")</f>
        <v>Oct-2023</v>
      </c>
      <c r="Q912" t="str">
        <f>"Q"&amp;ROUNDUP(MONTH(Cleaned_Data[[#This Row],[Order_Date]])/3,0)&amp;"-2023"</f>
        <v>Q4-2023</v>
      </c>
      <c r="R912" t="str">
        <f>TEXT(Cleaned_Data[[#This Row],[Order_Date]],"DDD")</f>
        <v>Sat</v>
      </c>
      <c r="S912" t="str">
        <f>IF(Cleaned_Data[[#This Row],[Net_Sales]]&gt;=100000,"High",IF(Cleaned_Data[[#This Row],[Net_Sales]]&gt;=50000,"Medium","Low"))</f>
        <v>Medium</v>
      </c>
    </row>
    <row r="913" spans="1:19" x14ac:dyDescent="0.3">
      <c r="A913" t="s">
        <v>1061</v>
      </c>
      <c r="B913" s="1">
        <v>45227</v>
      </c>
      <c r="C913" t="s">
        <v>165</v>
      </c>
      <c r="D913" t="s">
        <v>166</v>
      </c>
      <c r="E913" t="s">
        <v>37</v>
      </c>
      <c r="F913" t="s">
        <v>38</v>
      </c>
      <c r="G913" t="s">
        <v>45</v>
      </c>
      <c r="H913" t="s">
        <v>46</v>
      </c>
      <c r="I913">
        <v>1</v>
      </c>
      <c r="J913" s="8">
        <v>29800</v>
      </c>
      <c r="K913">
        <v>25</v>
      </c>
      <c r="L913" t="s">
        <v>47</v>
      </c>
      <c r="M913" s="5">
        <f>Cleaned_Data[[#This Row],[Quantity]]*Cleaned_Data[[#This Row],[Unit_Price]]</f>
        <v>29800</v>
      </c>
      <c r="N913" s="7">
        <f>Cleaned_Data[[#This Row],[Total_sales]]*(Cleaned_Data[[#This Row],[Discount_Percent]]/100)</f>
        <v>7450</v>
      </c>
      <c r="O913" s="7">
        <f>Cleaned_Data[[#This Row],[Total_sales]]-Cleaned_Data[[#This Row],[Discount_Amount]]</f>
        <v>22350</v>
      </c>
      <c r="P913" t="str">
        <f>TEXT(Cleaned_Data[[#This Row],[Order_Date]],"MMM-YYYY")</f>
        <v>Oct-2023</v>
      </c>
      <c r="Q913" t="str">
        <f>"Q"&amp;ROUNDUP(MONTH(Cleaned_Data[[#This Row],[Order_Date]])/3,0)&amp;"-2023"</f>
        <v>Q4-2023</v>
      </c>
      <c r="R913" t="str">
        <f>TEXT(Cleaned_Data[[#This Row],[Order_Date]],"DDD")</f>
        <v>Sat</v>
      </c>
      <c r="S913" t="str">
        <f>IF(Cleaned_Data[[#This Row],[Net_Sales]]&gt;=100000,"High",IF(Cleaned_Data[[#This Row],[Net_Sales]]&gt;=50000,"Medium","Low"))</f>
        <v>Low</v>
      </c>
    </row>
    <row r="914" spans="1:19" x14ac:dyDescent="0.3">
      <c r="A914" t="s">
        <v>1062</v>
      </c>
      <c r="B914" s="1">
        <v>45227</v>
      </c>
      <c r="C914" t="s">
        <v>64</v>
      </c>
      <c r="D914" t="s">
        <v>65</v>
      </c>
      <c r="E914" t="s">
        <v>23</v>
      </c>
      <c r="F914" t="s">
        <v>24</v>
      </c>
      <c r="G914" t="s">
        <v>45</v>
      </c>
      <c r="H914" t="s">
        <v>46</v>
      </c>
      <c r="I914">
        <v>1</v>
      </c>
      <c r="J914" s="8">
        <v>23200</v>
      </c>
      <c r="K914">
        <v>0</v>
      </c>
      <c r="L914" t="s">
        <v>27</v>
      </c>
      <c r="M914" s="5">
        <f>Cleaned_Data[[#This Row],[Quantity]]*Cleaned_Data[[#This Row],[Unit_Price]]</f>
        <v>23200</v>
      </c>
      <c r="N914" s="7">
        <f>Cleaned_Data[[#This Row],[Total_sales]]*(Cleaned_Data[[#This Row],[Discount_Percent]]/100)</f>
        <v>0</v>
      </c>
      <c r="O914" s="7">
        <f>Cleaned_Data[[#This Row],[Total_sales]]-Cleaned_Data[[#This Row],[Discount_Amount]]</f>
        <v>23200</v>
      </c>
      <c r="P914" t="str">
        <f>TEXT(Cleaned_Data[[#This Row],[Order_Date]],"MMM-YYYY")</f>
        <v>Oct-2023</v>
      </c>
      <c r="Q914" t="str">
        <f>"Q"&amp;ROUNDUP(MONTH(Cleaned_Data[[#This Row],[Order_Date]])/3,0)&amp;"-2023"</f>
        <v>Q4-2023</v>
      </c>
      <c r="R914" t="str">
        <f>TEXT(Cleaned_Data[[#This Row],[Order_Date]],"DDD")</f>
        <v>Sat</v>
      </c>
      <c r="S914" t="str">
        <f>IF(Cleaned_Data[[#This Row],[Net_Sales]]&gt;=100000,"High",IF(Cleaned_Data[[#This Row],[Net_Sales]]&gt;=50000,"Medium","Low"))</f>
        <v>Low</v>
      </c>
    </row>
    <row r="915" spans="1:19" x14ac:dyDescent="0.3">
      <c r="A915" t="s">
        <v>1063</v>
      </c>
      <c r="B915" s="1">
        <v>45258</v>
      </c>
      <c r="C915" t="s">
        <v>176</v>
      </c>
      <c r="D915" t="s">
        <v>177</v>
      </c>
      <c r="E915" t="s">
        <v>23</v>
      </c>
      <c r="F915" t="s">
        <v>51</v>
      </c>
      <c r="G915" t="s">
        <v>97</v>
      </c>
      <c r="H915" t="s">
        <v>133</v>
      </c>
      <c r="I915">
        <v>1</v>
      </c>
      <c r="J915" s="8">
        <v>58100</v>
      </c>
      <c r="K915">
        <v>10</v>
      </c>
      <c r="L915" t="s">
        <v>19</v>
      </c>
      <c r="M915" s="5">
        <f>Cleaned_Data[[#This Row],[Quantity]]*Cleaned_Data[[#This Row],[Unit_Price]]</f>
        <v>58100</v>
      </c>
      <c r="N915" s="7">
        <f>Cleaned_Data[[#This Row],[Total_sales]]*(Cleaned_Data[[#This Row],[Discount_Percent]]/100)</f>
        <v>5810</v>
      </c>
      <c r="O915" s="7">
        <f>Cleaned_Data[[#This Row],[Total_sales]]-Cleaned_Data[[#This Row],[Discount_Amount]]</f>
        <v>52290</v>
      </c>
      <c r="P915" t="str">
        <f>TEXT(Cleaned_Data[[#This Row],[Order_Date]],"MMM-YYYY")</f>
        <v>Nov-2023</v>
      </c>
      <c r="Q915" t="str">
        <f>"Q"&amp;ROUNDUP(MONTH(Cleaned_Data[[#This Row],[Order_Date]])/3,0)&amp;"-2023"</f>
        <v>Q4-2023</v>
      </c>
      <c r="R915" t="str">
        <f>TEXT(Cleaned_Data[[#This Row],[Order_Date]],"DDD")</f>
        <v>Tue</v>
      </c>
      <c r="S915" t="str">
        <f>IF(Cleaned_Data[[#This Row],[Net_Sales]]&gt;=100000,"High",IF(Cleaned_Data[[#This Row],[Net_Sales]]&gt;=50000,"Medium","Low"))</f>
        <v>Medium</v>
      </c>
    </row>
    <row r="916" spans="1:19" x14ac:dyDescent="0.3">
      <c r="A916" t="s">
        <v>1064</v>
      </c>
      <c r="B916" s="1">
        <v>45258</v>
      </c>
      <c r="C916" t="s">
        <v>29</v>
      </c>
      <c r="D916" t="s">
        <v>30</v>
      </c>
      <c r="E916" t="s">
        <v>23</v>
      </c>
      <c r="F916" t="s">
        <v>44</v>
      </c>
      <c r="G916" t="s">
        <v>45</v>
      </c>
      <c r="H916" t="s">
        <v>207</v>
      </c>
      <c r="I916">
        <v>1</v>
      </c>
      <c r="J916" s="8">
        <v>27700</v>
      </c>
      <c r="K916">
        <v>20</v>
      </c>
      <c r="L916" t="s">
        <v>103</v>
      </c>
      <c r="M916" s="5">
        <f>Cleaned_Data[[#This Row],[Quantity]]*Cleaned_Data[[#This Row],[Unit_Price]]</f>
        <v>27700</v>
      </c>
      <c r="N916" s="7">
        <f>Cleaned_Data[[#This Row],[Total_sales]]*(Cleaned_Data[[#This Row],[Discount_Percent]]/100)</f>
        <v>5540</v>
      </c>
      <c r="O916" s="7">
        <f>Cleaned_Data[[#This Row],[Total_sales]]-Cleaned_Data[[#This Row],[Discount_Amount]]</f>
        <v>22160</v>
      </c>
      <c r="P916" t="str">
        <f>TEXT(Cleaned_Data[[#This Row],[Order_Date]],"MMM-YYYY")</f>
        <v>Nov-2023</v>
      </c>
      <c r="Q916" t="str">
        <f>"Q"&amp;ROUNDUP(MONTH(Cleaned_Data[[#This Row],[Order_Date]])/3,0)&amp;"-2023"</f>
        <v>Q4-2023</v>
      </c>
      <c r="R916" t="str">
        <f>TEXT(Cleaned_Data[[#This Row],[Order_Date]],"DDD")</f>
        <v>Tue</v>
      </c>
      <c r="S916" t="str">
        <f>IF(Cleaned_Data[[#This Row],[Net_Sales]]&gt;=100000,"High",IF(Cleaned_Data[[#This Row],[Net_Sales]]&gt;=50000,"Medium","Low"))</f>
        <v>Low</v>
      </c>
    </row>
    <row r="917" spans="1:19" x14ac:dyDescent="0.3">
      <c r="A917" t="s">
        <v>1065</v>
      </c>
      <c r="B917" s="1">
        <v>45288</v>
      </c>
      <c r="C917" t="s">
        <v>135</v>
      </c>
      <c r="D917" t="s">
        <v>136</v>
      </c>
      <c r="E917" t="s">
        <v>66</v>
      </c>
      <c r="F917" t="s">
        <v>72</v>
      </c>
      <c r="G917" t="s">
        <v>39</v>
      </c>
      <c r="H917" t="s">
        <v>102</v>
      </c>
      <c r="I917">
        <v>1</v>
      </c>
      <c r="J917" s="8">
        <v>21600</v>
      </c>
      <c r="K917">
        <v>0</v>
      </c>
      <c r="L917" t="s">
        <v>47</v>
      </c>
      <c r="M917" s="5">
        <f>Cleaned_Data[[#This Row],[Quantity]]*Cleaned_Data[[#This Row],[Unit_Price]]</f>
        <v>21600</v>
      </c>
      <c r="N917" s="7">
        <f>Cleaned_Data[[#This Row],[Total_sales]]*(Cleaned_Data[[#This Row],[Discount_Percent]]/100)</f>
        <v>0</v>
      </c>
      <c r="O917" s="7">
        <f>Cleaned_Data[[#This Row],[Total_sales]]-Cleaned_Data[[#This Row],[Discount_Amount]]</f>
        <v>21600</v>
      </c>
      <c r="P917" t="str">
        <f>TEXT(Cleaned_Data[[#This Row],[Order_Date]],"MMM-YYYY")</f>
        <v>Dec-2023</v>
      </c>
      <c r="Q917" t="str">
        <f>"Q"&amp;ROUNDUP(MONTH(Cleaned_Data[[#This Row],[Order_Date]])/3,0)&amp;"-2023"</f>
        <v>Q4-2023</v>
      </c>
      <c r="R917" t="str">
        <f>TEXT(Cleaned_Data[[#This Row],[Order_Date]],"DDD")</f>
        <v>Thu</v>
      </c>
      <c r="S917" t="str">
        <f>IF(Cleaned_Data[[#This Row],[Net_Sales]]&gt;=100000,"High",IF(Cleaned_Data[[#This Row],[Net_Sales]]&gt;=50000,"Medium","Low"))</f>
        <v>Low</v>
      </c>
    </row>
    <row r="918" spans="1:19" x14ac:dyDescent="0.3">
      <c r="A918" t="s">
        <v>1066</v>
      </c>
      <c r="B918" s="1">
        <v>44955</v>
      </c>
      <c r="C918" t="s">
        <v>84</v>
      </c>
      <c r="D918" t="s">
        <v>85</v>
      </c>
      <c r="E918" t="s">
        <v>37</v>
      </c>
      <c r="F918" t="s">
        <v>61</v>
      </c>
      <c r="G918" t="s">
        <v>17</v>
      </c>
      <c r="H918" t="s">
        <v>18</v>
      </c>
      <c r="I918">
        <v>1</v>
      </c>
      <c r="J918" s="8">
        <v>60000</v>
      </c>
      <c r="K918">
        <v>10</v>
      </c>
      <c r="L918" t="s">
        <v>103</v>
      </c>
      <c r="M918" s="5">
        <f>Cleaned_Data[[#This Row],[Quantity]]*Cleaned_Data[[#This Row],[Unit_Price]]</f>
        <v>60000</v>
      </c>
      <c r="N918" s="7">
        <f>Cleaned_Data[[#This Row],[Total_sales]]*(Cleaned_Data[[#This Row],[Discount_Percent]]/100)</f>
        <v>6000</v>
      </c>
      <c r="O918" s="7">
        <f>Cleaned_Data[[#This Row],[Total_sales]]-Cleaned_Data[[#This Row],[Discount_Amount]]</f>
        <v>54000</v>
      </c>
      <c r="P918" t="str">
        <f>TEXT(Cleaned_Data[[#This Row],[Order_Date]],"MMM-YYYY")</f>
        <v>Jan-2023</v>
      </c>
      <c r="Q918" t="str">
        <f>"Q"&amp;ROUNDUP(MONTH(Cleaned_Data[[#This Row],[Order_Date]])/3,0)&amp;"-2023"</f>
        <v>Q1-2023</v>
      </c>
      <c r="R918" t="str">
        <f>TEXT(Cleaned_Data[[#This Row],[Order_Date]],"DDD")</f>
        <v>Sun</v>
      </c>
      <c r="S918" t="str">
        <f>IF(Cleaned_Data[[#This Row],[Net_Sales]]&gt;=100000,"High",IF(Cleaned_Data[[#This Row],[Net_Sales]]&gt;=50000,"Medium","Low"))</f>
        <v>Medium</v>
      </c>
    </row>
    <row r="919" spans="1:19" x14ac:dyDescent="0.3">
      <c r="A919" t="s">
        <v>1067</v>
      </c>
      <c r="B919" s="1">
        <v>45014</v>
      </c>
      <c r="C919" t="s">
        <v>13</v>
      </c>
      <c r="D919" t="s">
        <v>14</v>
      </c>
      <c r="E919" t="s">
        <v>37</v>
      </c>
      <c r="F919" t="s">
        <v>141</v>
      </c>
      <c r="G919" t="s">
        <v>39</v>
      </c>
      <c r="H919" t="s">
        <v>57</v>
      </c>
      <c r="I919">
        <v>1</v>
      </c>
      <c r="J919" s="8">
        <v>35000</v>
      </c>
      <c r="K919">
        <v>25</v>
      </c>
      <c r="L919" t="s">
        <v>47</v>
      </c>
      <c r="M919" s="5">
        <f>Cleaned_Data[[#This Row],[Quantity]]*Cleaned_Data[[#This Row],[Unit_Price]]</f>
        <v>35000</v>
      </c>
      <c r="N919" s="7">
        <f>Cleaned_Data[[#This Row],[Total_sales]]*(Cleaned_Data[[#This Row],[Discount_Percent]]/100)</f>
        <v>8750</v>
      </c>
      <c r="O919" s="7">
        <f>Cleaned_Data[[#This Row],[Total_sales]]-Cleaned_Data[[#This Row],[Discount_Amount]]</f>
        <v>26250</v>
      </c>
      <c r="P919" t="str">
        <f>TEXT(Cleaned_Data[[#This Row],[Order_Date]],"MMM-YYYY")</f>
        <v>Mar-2023</v>
      </c>
      <c r="Q919" t="str">
        <f>"Q"&amp;ROUNDUP(MONTH(Cleaned_Data[[#This Row],[Order_Date]])/3,0)&amp;"-2023"</f>
        <v>Q1-2023</v>
      </c>
      <c r="R919" t="str">
        <f>TEXT(Cleaned_Data[[#This Row],[Order_Date]],"DDD")</f>
        <v>Wed</v>
      </c>
      <c r="S919" t="str">
        <f>IF(Cleaned_Data[[#This Row],[Net_Sales]]&gt;=100000,"High",IF(Cleaned_Data[[#This Row],[Net_Sales]]&gt;=50000,"Medium","Low"))</f>
        <v>Low</v>
      </c>
    </row>
    <row r="920" spans="1:19" x14ac:dyDescent="0.3">
      <c r="A920" t="s">
        <v>1068</v>
      </c>
      <c r="B920" s="1">
        <v>45014</v>
      </c>
      <c r="C920" t="s">
        <v>130</v>
      </c>
      <c r="D920" t="s">
        <v>53</v>
      </c>
      <c r="E920" t="s">
        <v>15</v>
      </c>
      <c r="F920" t="s">
        <v>16</v>
      </c>
      <c r="G920" t="s">
        <v>39</v>
      </c>
      <c r="H920" t="s">
        <v>102</v>
      </c>
      <c r="I920">
        <v>1</v>
      </c>
      <c r="J920" s="8">
        <v>10000</v>
      </c>
      <c r="K920">
        <v>0</v>
      </c>
      <c r="L920" t="s">
        <v>103</v>
      </c>
      <c r="M920" s="5">
        <f>Cleaned_Data[[#This Row],[Quantity]]*Cleaned_Data[[#This Row],[Unit_Price]]</f>
        <v>10000</v>
      </c>
      <c r="N920" s="7">
        <f>Cleaned_Data[[#This Row],[Total_sales]]*(Cleaned_Data[[#This Row],[Discount_Percent]]/100)</f>
        <v>0</v>
      </c>
      <c r="O920" s="7">
        <f>Cleaned_Data[[#This Row],[Total_sales]]-Cleaned_Data[[#This Row],[Discount_Amount]]</f>
        <v>10000</v>
      </c>
      <c r="P920" t="str">
        <f>TEXT(Cleaned_Data[[#This Row],[Order_Date]],"MMM-YYYY")</f>
        <v>Mar-2023</v>
      </c>
      <c r="Q920" t="str">
        <f>"Q"&amp;ROUNDUP(MONTH(Cleaned_Data[[#This Row],[Order_Date]])/3,0)&amp;"-2023"</f>
        <v>Q1-2023</v>
      </c>
      <c r="R920" t="str">
        <f>TEXT(Cleaned_Data[[#This Row],[Order_Date]],"DDD")</f>
        <v>Wed</v>
      </c>
      <c r="S920" t="str">
        <f>IF(Cleaned_Data[[#This Row],[Net_Sales]]&gt;=100000,"High",IF(Cleaned_Data[[#This Row],[Net_Sales]]&gt;=50000,"Medium","Low"))</f>
        <v>Low</v>
      </c>
    </row>
    <row r="921" spans="1:19" x14ac:dyDescent="0.3">
      <c r="A921" t="s">
        <v>1069</v>
      </c>
      <c r="B921" s="1">
        <v>45014</v>
      </c>
      <c r="C921" t="s">
        <v>64</v>
      </c>
      <c r="D921" t="s">
        <v>65</v>
      </c>
      <c r="E921" t="s">
        <v>81</v>
      </c>
      <c r="F921" t="s">
        <v>117</v>
      </c>
      <c r="G921" t="s">
        <v>25</v>
      </c>
      <c r="H921" t="s">
        <v>124</v>
      </c>
      <c r="I921">
        <v>2</v>
      </c>
      <c r="J921" s="8">
        <v>1600</v>
      </c>
      <c r="K921">
        <v>5</v>
      </c>
      <c r="L921" t="s">
        <v>62</v>
      </c>
      <c r="M921" s="5">
        <f>Cleaned_Data[[#This Row],[Quantity]]*Cleaned_Data[[#This Row],[Unit_Price]]</f>
        <v>3200</v>
      </c>
      <c r="N921" s="7">
        <f>Cleaned_Data[[#This Row],[Total_sales]]*(Cleaned_Data[[#This Row],[Discount_Percent]]/100)</f>
        <v>160</v>
      </c>
      <c r="O921" s="7">
        <f>Cleaned_Data[[#This Row],[Total_sales]]-Cleaned_Data[[#This Row],[Discount_Amount]]</f>
        <v>3040</v>
      </c>
      <c r="P921" t="str">
        <f>TEXT(Cleaned_Data[[#This Row],[Order_Date]],"MMM-YYYY")</f>
        <v>Mar-2023</v>
      </c>
      <c r="Q921" t="str">
        <f>"Q"&amp;ROUNDUP(MONTH(Cleaned_Data[[#This Row],[Order_Date]])/3,0)&amp;"-2023"</f>
        <v>Q1-2023</v>
      </c>
      <c r="R921" t="str">
        <f>TEXT(Cleaned_Data[[#This Row],[Order_Date]],"DDD")</f>
        <v>Wed</v>
      </c>
      <c r="S921" t="str">
        <f>IF(Cleaned_Data[[#This Row],[Net_Sales]]&gt;=100000,"High",IF(Cleaned_Data[[#This Row],[Net_Sales]]&gt;=50000,"Medium","Low"))</f>
        <v>Low</v>
      </c>
    </row>
    <row r="922" spans="1:19" x14ac:dyDescent="0.3">
      <c r="A922" t="s">
        <v>1070</v>
      </c>
      <c r="B922" s="1">
        <v>45014</v>
      </c>
      <c r="C922" t="s">
        <v>64</v>
      </c>
      <c r="D922" t="s">
        <v>65</v>
      </c>
      <c r="E922" t="s">
        <v>23</v>
      </c>
      <c r="F922" t="s">
        <v>31</v>
      </c>
      <c r="G922" t="s">
        <v>17</v>
      </c>
      <c r="H922" t="s">
        <v>18</v>
      </c>
      <c r="I922">
        <v>1</v>
      </c>
      <c r="J922" s="8">
        <v>29900</v>
      </c>
      <c r="K922">
        <v>5</v>
      </c>
      <c r="L922" t="s">
        <v>73</v>
      </c>
      <c r="M922" s="5">
        <f>Cleaned_Data[[#This Row],[Quantity]]*Cleaned_Data[[#This Row],[Unit_Price]]</f>
        <v>29900</v>
      </c>
      <c r="N922" s="7">
        <f>Cleaned_Data[[#This Row],[Total_sales]]*(Cleaned_Data[[#This Row],[Discount_Percent]]/100)</f>
        <v>1495</v>
      </c>
      <c r="O922" s="7">
        <f>Cleaned_Data[[#This Row],[Total_sales]]-Cleaned_Data[[#This Row],[Discount_Amount]]</f>
        <v>28405</v>
      </c>
      <c r="P922" t="str">
        <f>TEXT(Cleaned_Data[[#This Row],[Order_Date]],"MMM-YYYY")</f>
        <v>Mar-2023</v>
      </c>
      <c r="Q922" t="str">
        <f>"Q"&amp;ROUNDUP(MONTH(Cleaned_Data[[#This Row],[Order_Date]])/3,0)&amp;"-2023"</f>
        <v>Q1-2023</v>
      </c>
      <c r="R922" t="str">
        <f>TEXT(Cleaned_Data[[#This Row],[Order_Date]],"DDD")</f>
        <v>Wed</v>
      </c>
      <c r="S922" t="str">
        <f>IF(Cleaned_Data[[#This Row],[Net_Sales]]&gt;=100000,"High",IF(Cleaned_Data[[#This Row],[Net_Sales]]&gt;=50000,"Medium","Low"))</f>
        <v>Low</v>
      </c>
    </row>
    <row r="923" spans="1:19" x14ac:dyDescent="0.3">
      <c r="A923" t="s">
        <v>1071</v>
      </c>
      <c r="B923" s="1">
        <v>45045</v>
      </c>
      <c r="C923" t="s">
        <v>126</v>
      </c>
      <c r="D923" t="s">
        <v>127</v>
      </c>
      <c r="E923" t="s">
        <v>81</v>
      </c>
      <c r="F923" t="s">
        <v>160</v>
      </c>
      <c r="G923" t="s">
        <v>25</v>
      </c>
      <c r="H923" t="s">
        <v>26</v>
      </c>
      <c r="I923">
        <v>3</v>
      </c>
      <c r="J923" s="8">
        <v>2400</v>
      </c>
      <c r="K923">
        <v>5</v>
      </c>
      <c r="L923" t="s">
        <v>33</v>
      </c>
      <c r="M923" s="5">
        <f>Cleaned_Data[[#This Row],[Quantity]]*Cleaned_Data[[#This Row],[Unit_Price]]</f>
        <v>7200</v>
      </c>
      <c r="N923" s="7">
        <f>Cleaned_Data[[#This Row],[Total_sales]]*(Cleaned_Data[[#This Row],[Discount_Percent]]/100)</f>
        <v>360</v>
      </c>
      <c r="O923" s="7">
        <f>Cleaned_Data[[#This Row],[Total_sales]]-Cleaned_Data[[#This Row],[Discount_Amount]]</f>
        <v>6840</v>
      </c>
      <c r="P923" t="str">
        <f>TEXT(Cleaned_Data[[#This Row],[Order_Date]],"MMM-YYYY")</f>
        <v>Apr-2023</v>
      </c>
      <c r="Q923" t="str">
        <f>"Q"&amp;ROUNDUP(MONTH(Cleaned_Data[[#This Row],[Order_Date]])/3,0)&amp;"-2023"</f>
        <v>Q2-2023</v>
      </c>
      <c r="R923" t="str">
        <f>TEXT(Cleaned_Data[[#This Row],[Order_Date]],"DDD")</f>
        <v>Sat</v>
      </c>
      <c r="S923" t="str">
        <f>IF(Cleaned_Data[[#This Row],[Net_Sales]]&gt;=100000,"High",IF(Cleaned_Data[[#This Row],[Net_Sales]]&gt;=50000,"Medium","Low"))</f>
        <v>Low</v>
      </c>
    </row>
    <row r="924" spans="1:19" x14ac:dyDescent="0.3">
      <c r="A924" t="s">
        <v>1072</v>
      </c>
      <c r="B924" s="1">
        <v>45075</v>
      </c>
      <c r="C924" t="s">
        <v>13</v>
      </c>
      <c r="D924" t="s">
        <v>14</v>
      </c>
      <c r="E924" t="s">
        <v>81</v>
      </c>
      <c r="F924" t="s">
        <v>82</v>
      </c>
      <c r="G924" t="s">
        <v>97</v>
      </c>
      <c r="H924" t="s">
        <v>133</v>
      </c>
      <c r="I924">
        <v>1</v>
      </c>
      <c r="J924" s="8">
        <v>51800</v>
      </c>
      <c r="K924">
        <v>10</v>
      </c>
      <c r="L924" t="s">
        <v>62</v>
      </c>
      <c r="M924" s="5">
        <f>Cleaned_Data[[#This Row],[Quantity]]*Cleaned_Data[[#This Row],[Unit_Price]]</f>
        <v>51800</v>
      </c>
      <c r="N924" s="7">
        <f>Cleaned_Data[[#This Row],[Total_sales]]*(Cleaned_Data[[#This Row],[Discount_Percent]]/100)</f>
        <v>5180</v>
      </c>
      <c r="O924" s="7">
        <f>Cleaned_Data[[#This Row],[Total_sales]]-Cleaned_Data[[#This Row],[Discount_Amount]]</f>
        <v>46620</v>
      </c>
      <c r="P924" t="str">
        <f>TEXT(Cleaned_Data[[#This Row],[Order_Date]],"MMM-YYYY")</f>
        <v>May-2023</v>
      </c>
      <c r="Q924" t="str">
        <f>"Q"&amp;ROUNDUP(MONTH(Cleaned_Data[[#This Row],[Order_Date]])/3,0)&amp;"-2023"</f>
        <v>Q2-2023</v>
      </c>
      <c r="R924" t="str">
        <f>TEXT(Cleaned_Data[[#This Row],[Order_Date]],"DDD")</f>
        <v>Mon</v>
      </c>
      <c r="S924" t="str">
        <f>IF(Cleaned_Data[[#This Row],[Net_Sales]]&gt;=100000,"High",IF(Cleaned_Data[[#This Row],[Net_Sales]]&gt;=50000,"Medium","Low"))</f>
        <v>Low</v>
      </c>
    </row>
    <row r="925" spans="1:19" x14ac:dyDescent="0.3">
      <c r="A925" t="s">
        <v>1073</v>
      </c>
      <c r="B925" s="1">
        <v>45075</v>
      </c>
      <c r="C925" t="s">
        <v>21</v>
      </c>
      <c r="D925" t="s">
        <v>22</v>
      </c>
      <c r="E925" t="s">
        <v>23</v>
      </c>
      <c r="F925" t="s">
        <v>44</v>
      </c>
      <c r="G925" t="s">
        <v>39</v>
      </c>
      <c r="H925" t="s">
        <v>68</v>
      </c>
      <c r="I925">
        <v>1</v>
      </c>
      <c r="J925" s="8">
        <v>25700</v>
      </c>
      <c r="K925">
        <v>5</v>
      </c>
      <c r="L925" t="s">
        <v>73</v>
      </c>
      <c r="M925" s="5">
        <f>Cleaned_Data[[#This Row],[Quantity]]*Cleaned_Data[[#This Row],[Unit_Price]]</f>
        <v>25700</v>
      </c>
      <c r="N925" s="7">
        <f>Cleaned_Data[[#This Row],[Total_sales]]*(Cleaned_Data[[#This Row],[Discount_Percent]]/100)</f>
        <v>1285</v>
      </c>
      <c r="O925" s="7">
        <f>Cleaned_Data[[#This Row],[Total_sales]]-Cleaned_Data[[#This Row],[Discount_Amount]]</f>
        <v>24415</v>
      </c>
      <c r="P925" t="str">
        <f>TEXT(Cleaned_Data[[#This Row],[Order_Date]],"MMM-YYYY")</f>
        <v>May-2023</v>
      </c>
      <c r="Q925" t="str">
        <f>"Q"&amp;ROUNDUP(MONTH(Cleaned_Data[[#This Row],[Order_Date]])/3,0)&amp;"-2023"</f>
        <v>Q2-2023</v>
      </c>
      <c r="R925" t="str">
        <f>TEXT(Cleaned_Data[[#This Row],[Order_Date]],"DDD")</f>
        <v>Mon</v>
      </c>
      <c r="S925" t="str">
        <f>IF(Cleaned_Data[[#This Row],[Net_Sales]]&gt;=100000,"High",IF(Cleaned_Data[[#This Row],[Net_Sales]]&gt;=50000,"Medium","Low"))</f>
        <v>Low</v>
      </c>
    </row>
    <row r="926" spans="1:19" x14ac:dyDescent="0.3">
      <c r="A926" t="s">
        <v>1074</v>
      </c>
      <c r="B926" s="1">
        <v>45075</v>
      </c>
      <c r="C926" t="s">
        <v>112</v>
      </c>
      <c r="D926" t="s">
        <v>113</v>
      </c>
      <c r="E926" t="s">
        <v>66</v>
      </c>
      <c r="F926" t="s">
        <v>72</v>
      </c>
      <c r="G926" t="s">
        <v>97</v>
      </c>
      <c r="H926" t="s">
        <v>133</v>
      </c>
      <c r="I926">
        <v>1</v>
      </c>
      <c r="J926" s="8">
        <v>35000</v>
      </c>
      <c r="K926">
        <v>5</v>
      </c>
      <c r="L926" t="s">
        <v>62</v>
      </c>
      <c r="M926" s="5">
        <f>Cleaned_Data[[#This Row],[Quantity]]*Cleaned_Data[[#This Row],[Unit_Price]]</f>
        <v>35000</v>
      </c>
      <c r="N926" s="7">
        <f>Cleaned_Data[[#This Row],[Total_sales]]*(Cleaned_Data[[#This Row],[Discount_Percent]]/100)</f>
        <v>1750</v>
      </c>
      <c r="O926" s="7">
        <f>Cleaned_Data[[#This Row],[Total_sales]]-Cleaned_Data[[#This Row],[Discount_Amount]]</f>
        <v>33250</v>
      </c>
      <c r="P926" t="str">
        <f>TEXT(Cleaned_Data[[#This Row],[Order_Date]],"MMM-YYYY")</f>
        <v>May-2023</v>
      </c>
      <c r="Q926" t="str">
        <f>"Q"&amp;ROUNDUP(MONTH(Cleaned_Data[[#This Row],[Order_Date]])/3,0)&amp;"-2023"</f>
        <v>Q2-2023</v>
      </c>
      <c r="R926" t="str">
        <f>TEXT(Cleaned_Data[[#This Row],[Order_Date]],"DDD")</f>
        <v>Mon</v>
      </c>
      <c r="S926" t="str">
        <f>IF(Cleaned_Data[[#This Row],[Net_Sales]]&gt;=100000,"High",IF(Cleaned_Data[[#This Row],[Net_Sales]]&gt;=50000,"Medium","Low"))</f>
        <v>Low</v>
      </c>
    </row>
    <row r="927" spans="1:19" x14ac:dyDescent="0.3">
      <c r="A927" t="s">
        <v>1075</v>
      </c>
      <c r="B927" s="1">
        <v>45106</v>
      </c>
      <c r="C927" t="s">
        <v>158</v>
      </c>
      <c r="D927" t="s">
        <v>159</v>
      </c>
      <c r="E927" t="s">
        <v>81</v>
      </c>
      <c r="F927" t="s">
        <v>82</v>
      </c>
      <c r="G927" t="s">
        <v>97</v>
      </c>
      <c r="H927" t="s">
        <v>174</v>
      </c>
      <c r="I927">
        <v>1</v>
      </c>
      <c r="J927" s="8">
        <v>60000</v>
      </c>
      <c r="K927">
        <v>10</v>
      </c>
      <c r="L927" t="s">
        <v>27</v>
      </c>
      <c r="M927" s="5">
        <f>Cleaned_Data[[#This Row],[Quantity]]*Cleaned_Data[[#This Row],[Unit_Price]]</f>
        <v>60000</v>
      </c>
      <c r="N927" s="7">
        <f>Cleaned_Data[[#This Row],[Total_sales]]*(Cleaned_Data[[#This Row],[Discount_Percent]]/100)</f>
        <v>6000</v>
      </c>
      <c r="O927" s="7">
        <f>Cleaned_Data[[#This Row],[Total_sales]]-Cleaned_Data[[#This Row],[Discount_Amount]]</f>
        <v>54000</v>
      </c>
      <c r="P927" t="str">
        <f>TEXT(Cleaned_Data[[#This Row],[Order_Date]],"MMM-YYYY")</f>
        <v>Jun-2023</v>
      </c>
      <c r="Q927" t="str">
        <f>"Q"&amp;ROUNDUP(MONTH(Cleaned_Data[[#This Row],[Order_Date]])/3,0)&amp;"-2023"</f>
        <v>Q2-2023</v>
      </c>
      <c r="R927" t="str">
        <f>TEXT(Cleaned_Data[[#This Row],[Order_Date]],"DDD")</f>
        <v>Thu</v>
      </c>
      <c r="S927" t="str">
        <f>IF(Cleaned_Data[[#This Row],[Net_Sales]]&gt;=100000,"High",IF(Cleaned_Data[[#This Row],[Net_Sales]]&gt;=50000,"Medium","Low"))</f>
        <v>Medium</v>
      </c>
    </row>
    <row r="928" spans="1:19" x14ac:dyDescent="0.3">
      <c r="A928" t="s">
        <v>1076</v>
      </c>
      <c r="B928" s="1">
        <v>45106</v>
      </c>
      <c r="C928" t="s">
        <v>29</v>
      </c>
      <c r="D928" t="s">
        <v>30</v>
      </c>
      <c r="E928" t="s">
        <v>37</v>
      </c>
      <c r="F928" t="s">
        <v>101</v>
      </c>
      <c r="G928" t="s">
        <v>97</v>
      </c>
      <c r="H928" t="s">
        <v>174</v>
      </c>
      <c r="I928">
        <v>1</v>
      </c>
      <c r="J928" s="8">
        <v>61400</v>
      </c>
      <c r="K928">
        <v>5</v>
      </c>
      <c r="L928" t="s">
        <v>103</v>
      </c>
      <c r="M928" s="5">
        <f>Cleaned_Data[[#This Row],[Quantity]]*Cleaned_Data[[#This Row],[Unit_Price]]</f>
        <v>61400</v>
      </c>
      <c r="N928" s="7">
        <f>Cleaned_Data[[#This Row],[Total_sales]]*(Cleaned_Data[[#This Row],[Discount_Percent]]/100)</f>
        <v>3070</v>
      </c>
      <c r="O928" s="7">
        <f>Cleaned_Data[[#This Row],[Total_sales]]-Cleaned_Data[[#This Row],[Discount_Amount]]</f>
        <v>58330</v>
      </c>
      <c r="P928" t="str">
        <f>TEXT(Cleaned_Data[[#This Row],[Order_Date]],"MMM-YYYY")</f>
        <v>Jun-2023</v>
      </c>
      <c r="Q928" t="str">
        <f>"Q"&amp;ROUNDUP(MONTH(Cleaned_Data[[#This Row],[Order_Date]])/3,0)&amp;"-2023"</f>
        <v>Q2-2023</v>
      </c>
      <c r="R928" t="str">
        <f>TEXT(Cleaned_Data[[#This Row],[Order_Date]],"DDD")</f>
        <v>Thu</v>
      </c>
      <c r="S928" t="str">
        <f>IF(Cleaned_Data[[#This Row],[Net_Sales]]&gt;=100000,"High",IF(Cleaned_Data[[#This Row],[Net_Sales]]&gt;=50000,"Medium","Low"))</f>
        <v>Medium</v>
      </c>
    </row>
    <row r="929" spans="1:19" x14ac:dyDescent="0.3">
      <c r="A929" t="s">
        <v>1077</v>
      </c>
      <c r="B929" s="1">
        <v>45136</v>
      </c>
      <c r="C929" t="s">
        <v>176</v>
      </c>
      <c r="D929" t="s">
        <v>177</v>
      </c>
      <c r="E929" t="s">
        <v>81</v>
      </c>
      <c r="F929" t="s">
        <v>82</v>
      </c>
      <c r="G929" t="s">
        <v>97</v>
      </c>
      <c r="H929" t="s">
        <v>154</v>
      </c>
      <c r="I929">
        <v>1</v>
      </c>
      <c r="J929" s="8">
        <v>55900</v>
      </c>
      <c r="K929">
        <v>0</v>
      </c>
      <c r="L929" t="s">
        <v>62</v>
      </c>
      <c r="M929" s="5">
        <f>Cleaned_Data[[#This Row],[Quantity]]*Cleaned_Data[[#This Row],[Unit_Price]]</f>
        <v>55900</v>
      </c>
      <c r="N929" s="7">
        <f>Cleaned_Data[[#This Row],[Total_sales]]*(Cleaned_Data[[#This Row],[Discount_Percent]]/100)</f>
        <v>0</v>
      </c>
      <c r="O929" s="7">
        <f>Cleaned_Data[[#This Row],[Total_sales]]-Cleaned_Data[[#This Row],[Discount_Amount]]</f>
        <v>55900</v>
      </c>
      <c r="P929" t="str">
        <f>TEXT(Cleaned_Data[[#This Row],[Order_Date]],"MMM-YYYY")</f>
        <v>Jul-2023</v>
      </c>
      <c r="Q929" t="str">
        <f>"Q"&amp;ROUNDUP(MONTH(Cleaned_Data[[#This Row],[Order_Date]])/3,0)&amp;"-2023"</f>
        <v>Q3-2023</v>
      </c>
      <c r="R929" t="str">
        <f>TEXT(Cleaned_Data[[#This Row],[Order_Date]],"DDD")</f>
        <v>Sat</v>
      </c>
      <c r="S929" t="str">
        <f>IF(Cleaned_Data[[#This Row],[Net_Sales]]&gt;=100000,"High",IF(Cleaned_Data[[#This Row],[Net_Sales]]&gt;=50000,"Medium","Low"))</f>
        <v>Medium</v>
      </c>
    </row>
    <row r="930" spans="1:19" x14ac:dyDescent="0.3">
      <c r="A930" t="s">
        <v>1078</v>
      </c>
      <c r="B930" s="1">
        <v>45136</v>
      </c>
      <c r="C930" t="s">
        <v>183</v>
      </c>
      <c r="D930" t="s">
        <v>27</v>
      </c>
      <c r="E930" t="s">
        <v>15</v>
      </c>
      <c r="F930" t="s">
        <v>16</v>
      </c>
      <c r="G930" t="s">
        <v>45</v>
      </c>
      <c r="H930" t="s">
        <v>52</v>
      </c>
      <c r="I930">
        <v>1</v>
      </c>
      <c r="J930" s="8">
        <v>43300</v>
      </c>
      <c r="K930">
        <v>5</v>
      </c>
      <c r="L930" t="s">
        <v>103</v>
      </c>
      <c r="M930" s="5">
        <f>Cleaned_Data[[#This Row],[Quantity]]*Cleaned_Data[[#This Row],[Unit_Price]]</f>
        <v>43300</v>
      </c>
      <c r="N930" s="7">
        <f>Cleaned_Data[[#This Row],[Total_sales]]*(Cleaned_Data[[#This Row],[Discount_Percent]]/100)</f>
        <v>2165</v>
      </c>
      <c r="O930" s="7">
        <f>Cleaned_Data[[#This Row],[Total_sales]]-Cleaned_Data[[#This Row],[Discount_Amount]]</f>
        <v>41135</v>
      </c>
      <c r="P930" t="str">
        <f>TEXT(Cleaned_Data[[#This Row],[Order_Date]],"MMM-YYYY")</f>
        <v>Jul-2023</v>
      </c>
      <c r="Q930" t="str">
        <f>"Q"&amp;ROUNDUP(MONTH(Cleaned_Data[[#This Row],[Order_Date]])/3,0)&amp;"-2023"</f>
        <v>Q3-2023</v>
      </c>
      <c r="R930" t="str">
        <f>TEXT(Cleaned_Data[[#This Row],[Order_Date]],"DDD")</f>
        <v>Sat</v>
      </c>
      <c r="S930" t="str">
        <f>IF(Cleaned_Data[[#This Row],[Net_Sales]]&gt;=100000,"High",IF(Cleaned_Data[[#This Row],[Net_Sales]]&gt;=50000,"Medium","Low"))</f>
        <v>Low</v>
      </c>
    </row>
    <row r="931" spans="1:19" x14ac:dyDescent="0.3">
      <c r="A931" t="s">
        <v>1079</v>
      </c>
      <c r="B931" s="1">
        <v>45136</v>
      </c>
      <c r="C931" t="s">
        <v>130</v>
      </c>
      <c r="D931" t="s">
        <v>53</v>
      </c>
      <c r="E931" t="s">
        <v>66</v>
      </c>
      <c r="F931" t="s">
        <v>72</v>
      </c>
      <c r="G931" t="s">
        <v>25</v>
      </c>
      <c r="H931" t="s">
        <v>212</v>
      </c>
      <c r="I931">
        <v>2</v>
      </c>
      <c r="J931" s="8">
        <v>1800</v>
      </c>
      <c r="K931">
        <v>0</v>
      </c>
      <c r="L931" t="s">
        <v>103</v>
      </c>
      <c r="M931" s="5">
        <f>Cleaned_Data[[#This Row],[Quantity]]*Cleaned_Data[[#This Row],[Unit_Price]]</f>
        <v>3600</v>
      </c>
      <c r="N931" s="7">
        <f>Cleaned_Data[[#This Row],[Total_sales]]*(Cleaned_Data[[#This Row],[Discount_Percent]]/100)</f>
        <v>0</v>
      </c>
      <c r="O931" s="7">
        <f>Cleaned_Data[[#This Row],[Total_sales]]-Cleaned_Data[[#This Row],[Discount_Amount]]</f>
        <v>3600</v>
      </c>
      <c r="P931" t="str">
        <f>TEXT(Cleaned_Data[[#This Row],[Order_Date]],"MMM-YYYY")</f>
        <v>Jul-2023</v>
      </c>
      <c r="Q931" t="str">
        <f>"Q"&amp;ROUNDUP(MONTH(Cleaned_Data[[#This Row],[Order_Date]])/3,0)&amp;"-2023"</f>
        <v>Q3-2023</v>
      </c>
      <c r="R931" t="str">
        <f>TEXT(Cleaned_Data[[#This Row],[Order_Date]],"DDD")</f>
        <v>Sat</v>
      </c>
      <c r="S931" t="str">
        <f>IF(Cleaned_Data[[#This Row],[Net_Sales]]&gt;=100000,"High",IF(Cleaned_Data[[#This Row],[Net_Sales]]&gt;=50000,"Medium","Low"))</f>
        <v>Low</v>
      </c>
    </row>
    <row r="932" spans="1:19" x14ac:dyDescent="0.3">
      <c r="A932" t="s">
        <v>1080</v>
      </c>
      <c r="B932" s="1">
        <v>45136</v>
      </c>
      <c r="C932" t="s">
        <v>203</v>
      </c>
      <c r="D932" t="s">
        <v>204</v>
      </c>
      <c r="E932" t="s">
        <v>37</v>
      </c>
      <c r="F932" t="s">
        <v>61</v>
      </c>
      <c r="G932" t="s">
        <v>25</v>
      </c>
      <c r="H932" t="s">
        <v>32</v>
      </c>
      <c r="I932">
        <v>2</v>
      </c>
      <c r="J932" s="8">
        <v>1500</v>
      </c>
      <c r="K932">
        <v>20</v>
      </c>
      <c r="L932" t="s">
        <v>33</v>
      </c>
      <c r="M932" s="5">
        <f>Cleaned_Data[[#This Row],[Quantity]]*Cleaned_Data[[#This Row],[Unit_Price]]</f>
        <v>3000</v>
      </c>
      <c r="N932" s="7">
        <f>Cleaned_Data[[#This Row],[Total_sales]]*(Cleaned_Data[[#This Row],[Discount_Percent]]/100)</f>
        <v>600</v>
      </c>
      <c r="O932" s="7">
        <f>Cleaned_Data[[#This Row],[Total_sales]]-Cleaned_Data[[#This Row],[Discount_Amount]]</f>
        <v>2400</v>
      </c>
      <c r="P932" t="str">
        <f>TEXT(Cleaned_Data[[#This Row],[Order_Date]],"MMM-YYYY")</f>
        <v>Jul-2023</v>
      </c>
      <c r="Q932" t="str">
        <f>"Q"&amp;ROUNDUP(MONTH(Cleaned_Data[[#This Row],[Order_Date]])/3,0)&amp;"-2023"</f>
        <v>Q3-2023</v>
      </c>
      <c r="R932" t="str">
        <f>TEXT(Cleaned_Data[[#This Row],[Order_Date]],"DDD")</f>
        <v>Sat</v>
      </c>
      <c r="S932" t="str">
        <f>IF(Cleaned_Data[[#This Row],[Net_Sales]]&gt;=100000,"High",IF(Cleaned_Data[[#This Row],[Net_Sales]]&gt;=50000,"Medium","Low"))</f>
        <v>Low</v>
      </c>
    </row>
    <row r="933" spans="1:19" x14ac:dyDescent="0.3">
      <c r="A933" t="s">
        <v>1081</v>
      </c>
      <c r="B933" s="1">
        <v>45167</v>
      </c>
      <c r="C933" t="s">
        <v>165</v>
      </c>
      <c r="D933" t="s">
        <v>166</v>
      </c>
      <c r="E933" t="s">
        <v>23</v>
      </c>
      <c r="F933" t="s">
        <v>31</v>
      </c>
      <c r="G933" t="s">
        <v>97</v>
      </c>
      <c r="H933" t="s">
        <v>174</v>
      </c>
      <c r="I933">
        <v>1</v>
      </c>
      <c r="J933" s="8">
        <v>72600</v>
      </c>
      <c r="K933">
        <v>5</v>
      </c>
      <c r="L933" t="s">
        <v>19</v>
      </c>
      <c r="M933" s="5">
        <f>Cleaned_Data[[#This Row],[Quantity]]*Cleaned_Data[[#This Row],[Unit_Price]]</f>
        <v>72600</v>
      </c>
      <c r="N933" s="7">
        <f>Cleaned_Data[[#This Row],[Total_sales]]*(Cleaned_Data[[#This Row],[Discount_Percent]]/100)</f>
        <v>3630</v>
      </c>
      <c r="O933" s="7">
        <f>Cleaned_Data[[#This Row],[Total_sales]]-Cleaned_Data[[#This Row],[Discount_Amount]]</f>
        <v>68970</v>
      </c>
      <c r="P933" t="str">
        <f>TEXT(Cleaned_Data[[#This Row],[Order_Date]],"MMM-YYYY")</f>
        <v>Aug-2023</v>
      </c>
      <c r="Q933" t="str">
        <f>"Q"&amp;ROUNDUP(MONTH(Cleaned_Data[[#This Row],[Order_Date]])/3,0)&amp;"-2023"</f>
        <v>Q3-2023</v>
      </c>
      <c r="R933" t="str">
        <f>TEXT(Cleaned_Data[[#This Row],[Order_Date]],"DDD")</f>
        <v>Tue</v>
      </c>
      <c r="S933" t="str">
        <f>IF(Cleaned_Data[[#This Row],[Net_Sales]]&gt;=100000,"High",IF(Cleaned_Data[[#This Row],[Net_Sales]]&gt;=50000,"Medium","Low"))</f>
        <v>Medium</v>
      </c>
    </row>
    <row r="934" spans="1:19" x14ac:dyDescent="0.3">
      <c r="A934" t="s">
        <v>1082</v>
      </c>
      <c r="B934" s="1">
        <v>45167</v>
      </c>
      <c r="C934" t="s">
        <v>147</v>
      </c>
      <c r="D934" t="s">
        <v>148</v>
      </c>
      <c r="E934" t="s">
        <v>37</v>
      </c>
      <c r="F934" t="s">
        <v>61</v>
      </c>
      <c r="G934" t="s">
        <v>39</v>
      </c>
      <c r="H934" t="s">
        <v>68</v>
      </c>
      <c r="I934">
        <v>1</v>
      </c>
      <c r="J934" s="8">
        <v>33900</v>
      </c>
      <c r="K934">
        <v>15</v>
      </c>
      <c r="L934" t="s">
        <v>27</v>
      </c>
      <c r="M934" s="5">
        <f>Cleaned_Data[[#This Row],[Quantity]]*Cleaned_Data[[#This Row],[Unit_Price]]</f>
        <v>33900</v>
      </c>
      <c r="N934" s="7">
        <f>Cleaned_Data[[#This Row],[Total_sales]]*(Cleaned_Data[[#This Row],[Discount_Percent]]/100)</f>
        <v>5085</v>
      </c>
      <c r="O934" s="7">
        <f>Cleaned_Data[[#This Row],[Total_sales]]-Cleaned_Data[[#This Row],[Discount_Amount]]</f>
        <v>28815</v>
      </c>
      <c r="P934" t="str">
        <f>TEXT(Cleaned_Data[[#This Row],[Order_Date]],"MMM-YYYY")</f>
        <v>Aug-2023</v>
      </c>
      <c r="Q934" t="str">
        <f>"Q"&amp;ROUNDUP(MONTH(Cleaned_Data[[#This Row],[Order_Date]])/3,0)&amp;"-2023"</f>
        <v>Q3-2023</v>
      </c>
      <c r="R934" t="str">
        <f>TEXT(Cleaned_Data[[#This Row],[Order_Date]],"DDD")</f>
        <v>Tue</v>
      </c>
      <c r="S934" t="str">
        <f>IF(Cleaned_Data[[#This Row],[Net_Sales]]&gt;=100000,"High",IF(Cleaned_Data[[#This Row],[Net_Sales]]&gt;=50000,"Medium","Low"))</f>
        <v>Low</v>
      </c>
    </row>
    <row r="935" spans="1:19" x14ac:dyDescent="0.3">
      <c r="A935" t="s">
        <v>1083</v>
      </c>
      <c r="B935" s="1">
        <v>45167</v>
      </c>
      <c r="C935" t="s">
        <v>90</v>
      </c>
      <c r="D935" t="s">
        <v>91</v>
      </c>
      <c r="E935" t="s">
        <v>37</v>
      </c>
      <c r="F935" t="s">
        <v>38</v>
      </c>
      <c r="G935" t="s">
        <v>25</v>
      </c>
      <c r="H935" t="s">
        <v>124</v>
      </c>
      <c r="I935">
        <v>2</v>
      </c>
      <c r="J935" s="8">
        <v>1600</v>
      </c>
      <c r="K935">
        <v>5</v>
      </c>
      <c r="L935" t="s">
        <v>33</v>
      </c>
      <c r="M935" s="5">
        <f>Cleaned_Data[[#This Row],[Quantity]]*Cleaned_Data[[#This Row],[Unit_Price]]</f>
        <v>3200</v>
      </c>
      <c r="N935" s="7">
        <f>Cleaned_Data[[#This Row],[Total_sales]]*(Cleaned_Data[[#This Row],[Discount_Percent]]/100)</f>
        <v>160</v>
      </c>
      <c r="O935" s="7">
        <f>Cleaned_Data[[#This Row],[Total_sales]]-Cleaned_Data[[#This Row],[Discount_Amount]]</f>
        <v>3040</v>
      </c>
      <c r="P935" t="str">
        <f>TEXT(Cleaned_Data[[#This Row],[Order_Date]],"MMM-YYYY")</f>
        <v>Aug-2023</v>
      </c>
      <c r="Q935" t="str">
        <f>"Q"&amp;ROUNDUP(MONTH(Cleaned_Data[[#This Row],[Order_Date]])/3,0)&amp;"-2023"</f>
        <v>Q3-2023</v>
      </c>
      <c r="R935" t="str">
        <f>TEXT(Cleaned_Data[[#This Row],[Order_Date]],"DDD")</f>
        <v>Tue</v>
      </c>
      <c r="S935" t="str">
        <f>IF(Cleaned_Data[[#This Row],[Net_Sales]]&gt;=100000,"High",IF(Cleaned_Data[[#This Row],[Net_Sales]]&gt;=50000,"Medium","Low"))</f>
        <v>Low</v>
      </c>
    </row>
    <row r="936" spans="1:19" x14ac:dyDescent="0.3">
      <c r="A936" t="s">
        <v>1084</v>
      </c>
      <c r="B936" s="1">
        <v>45167</v>
      </c>
      <c r="C936" t="s">
        <v>126</v>
      </c>
      <c r="D936" t="s">
        <v>127</v>
      </c>
      <c r="E936" t="s">
        <v>66</v>
      </c>
      <c r="F936" t="s">
        <v>72</v>
      </c>
      <c r="G936" t="s">
        <v>45</v>
      </c>
      <c r="H936" t="s">
        <v>46</v>
      </c>
      <c r="I936">
        <v>1</v>
      </c>
      <c r="J936" s="8">
        <v>23600</v>
      </c>
      <c r="K936">
        <v>0</v>
      </c>
      <c r="L936" t="s">
        <v>73</v>
      </c>
      <c r="M936" s="5">
        <f>Cleaned_Data[[#This Row],[Quantity]]*Cleaned_Data[[#This Row],[Unit_Price]]</f>
        <v>23600</v>
      </c>
      <c r="N936" s="7">
        <f>Cleaned_Data[[#This Row],[Total_sales]]*(Cleaned_Data[[#This Row],[Discount_Percent]]/100)</f>
        <v>0</v>
      </c>
      <c r="O936" s="7">
        <f>Cleaned_Data[[#This Row],[Total_sales]]-Cleaned_Data[[#This Row],[Discount_Amount]]</f>
        <v>23600</v>
      </c>
      <c r="P936" t="str">
        <f>TEXT(Cleaned_Data[[#This Row],[Order_Date]],"MMM-YYYY")</f>
        <v>Aug-2023</v>
      </c>
      <c r="Q936" t="str">
        <f>"Q"&amp;ROUNDUP(MONTH(Cleaned_Data[[#This Row],[Order_Date]])/3,0)&amp;"-2023"</f>
        <v>Q3-2023</v>
      </c>
      <c r="R936" t="str">
        <f>TEXT(Cleaned_Data[[#This Row],[Order_Date]],"DDD")</f>
        <v>Tue</v>
      </c>
      <c r="S936" t="str">
        <f>IF(Cleaned_Data[[#This Row],[Net_Sales]]&gt;=100000,"High",IF(Cleaned_Data[[#This Row],[Net_Sales]]&gt;=50000,"Medium","Low"))</f>
        <v>Low</v>
      </c>
    </row>
    <row r="937" spans="1:19" x14ac:dyDescent="0.3">
      <c r="A937" t="s">
        <v>1085</v>
      </c>
      <c r="B937" s="1">
        <v>45228</v>
      </c>
      <c r="C937" t="s">
        <v>90</v>
      </c>
      <c r="D937" t="s">
        <v>91</v>
      </c>
      <c r="E937" t="s">
        <v>66</v>
      </c>
      <c r="F937" t="s">
        <v>67</v>
      </c>
      <c r="G937" t="s">
        <v>25</v>
      </c>
      <c r="H937" t="s">
        <v>124</v>
      </c>
      <c r="I937">
        <v>2</v>
      </c>
      <c r="J937" s="8">
        <v>1600</v>
      </c>
      <c r="K937">
        <v>10</v>
      </c>
      <c r="L937" t="s">
        <v>53</v>
      </c>
      <c r="M937" s="5">
        <f>Cleaned_Data[[#This Row],[Quantity]]*Cleaned_Data[[#This Row],[Unit_Price]]</f>
        <v>3200</v>
      </c>
      <c r="N937" s="7">
        <f>Cleaned_Data[[#This Row],[Total_sales]]*(Cleaned_Data[[#This Row],[Discount_Percent]]/100)</f>
        <v>320</v>
      </c>
      <c r="O937" s="7">
        <f>Cleaned_Data[[#This Row],[Total_sales]]-Cleaned_Data[[#This Row],[Discount_Amount]]</f>
        <v>2880</v>
      </c>
      <c r="P937" t="str">
        <f>TEXT(Cleaned_Data[[#This Row],[Order_Date]],"MMM-YYYY")</f>
        <v>Oct-2023</v>
      </c>
      <c r="Q937" t="str">
        <f>"Q"&amp;ROUNDUP(MONTH(Cleaned_Data[[#This Row],[Order_Date]])/3,0)&amp;"-2023"</f>
        <v>Q4-2023</v>
      </c>
      <c r="R937" t="str">
        <f>TEXT(Cleaned_Data[[#This Row],[Order_Date]],"DDD")</f>
        <v>Sun</v>
      </c>
      <c r="S937" t="str">
        <f>IF(Cleaned_Data[[#This Row],[Net_Sales]]&gt;=100000,"High",IF(Cleaned_Data[[#This Row],[Net_Sales]]&gt;=50000,"Medium","Low"))</f>
        <v>Low</v>
      </c>
    </row>
    <row r="938" spans="1:19" x14ac:dyDescent="0.3">
      <c r="A938" t="s">
        <v>1086</v>
      </c>
      <c r="B938" s="1">
        <v>45228</v>
      </c>
      <c r="C938" t="s">
        <v>183</v>
      </c>
      <c r="D938" t="s">
        <v>27</v>
      </c>
      <c r="E938" t="s">
        <v>66</v>
      </c>
      <c r="F938" t="s">
        <v>92</v>
      </c>
      <c r="G938" t="s">
        <v>39</v>
      </c>
      <c r="H938" t="s">
        <v>102</v>
      </c>
      <c r="I938">
        <v>1</v>
      </c>
      <c r="J938" s="8">
        <v>23500</v>
      </c>
      <c r="K938">
        <v>25</v>
      </c>
      <c r="L938" t="s">
        <v>33</v>
      </c>
      <c r="M938" s="5">
        <f>Cleaned_Data[[#This Row],[Quantity]]*Cleaned_Data[[#This Row],[Unit_Price]]</f>
        <v>23500</v>
      </c>
      <c r="N938" s="7">
        <f>Cleaned_Data[[#This Row],[Total_sales]]*(Cleaned_Data[[#This Row],[Discount_Percent]]/100)</f>
        <v>5875</v>
      </c>
      <c r="O938" s="7">
        <f>Cleaned_Data[[#This Row],[Total_sales]]-Cleaned_Data[[#This Row],[Discount_Amount]]</f>
        <v>17625</v>
      </c>
      <c r="P938" t="str">
        <f>TEXT(Cleaned_Data[[#This Row],[Order_Date]],"MMM-YYYY")</f>
        <v>Oct-2023</v>
      </c>
      <c r="Q938" t="str">
        <f>"Q"&amp;ROUNDUP(MONTH(Cleaned_Data[[#This Row],[Order_Date]])/3,0)&amp;"-2023"</f>
        <v>Q4-2023</v>
      </c>
      <c r="R938" t="str">
        <f>TEXT(Cleaned_Data[[#This Row],[Order_Date]],"DDD")</f>
        <v>Sun</v>
      </c>
      <c r="S938" t="str">
        <f>IF(Cleaned_Data[[#This Row],[Net_Sales]]&gt;=100000,"High",IF(Cleaned_Data[[#This Row],[Net_Sales]]&gt;=50000,"Medium","Low"))</f>
        <v>Low</v>
      </c>
    </row>
    <row r="939" spans="1:19" x14ac:dyDescent="0.3">
      <c r="A939" t="s">
        <v>1087</v>
      </c>
      <c r="B939" s="1">
        <v>45228</v>
      </c>
      <c r="C939" t="s">
        <v>284</v>
      </c>
      <c r="D939" t="s">
        <v>285</v>
      </c>
      <c r="E939" t="s">
        <v>37</v>
      </c>
      <c r="F939" t="s">
        <v>101</v>
      </c>
      <c r="G939" t="s">
        <v>25</v>
      </c>
      <c r="H939" t="s">
        <v>108</v>
      </c>
      <c r="I939">
        <v>2</v>
      </c>
      <c r="J939" s="8">
        <v>2500</v>
      </c>
      <c r="K939">
        <v>10</v>
      </c>
      <c r="L939" t="s">
        <v>73</v>
      </c>
      <c r="M939" s="5">
        <f>Cleaned_Data[[#This Row],[Quantity]]*Cleaned_Data[[#This Row],[Unit_Price]]</f>
        <v>5000</v>
      </c>
      <c r="N939" s="7">
        <f>Cleaned_Data[[#This Row],[Total_sales]]*(Cleaned_Data[[#This Row],[Discount_Percent]]/100)</f>
        <v>500</v>
      </c>
      <c r="O939" s="7">
        <f>Cleaned_Data[[#This Row],[Total_sales]]-Cleaned_Data[[#This Row],[Discount_Amount]]</f>
        <v>4500</v>
      </c>
      <c r="P939" t="str">
        <f>TEXT(Cleaned_Data[[#This Row],[Order_Date]],"MMM-YYYY")</f>
        <v>Oct-2023</v>
      </c>
      <c r="Q939" t="str">
        <f>"Q"&amp;ROUNDUP(MONTH(Cleaned_Data[[#This Row],[Order_Date]])/3,0)&amp;"-2023"</f>
        <v>Q4-2023</v>
      </c>
      <c r="R939" t="str">
        <f>TEXT(Cleaned_Data[[#This Row],[Order_Date]],"DDD")</f>
        <v>Sun</v>
      </c>
      <c r="S939" t="str">
        <f>IF(Cleaned_Data[[#This Row],[Net_Sales]]&gt;=100000,"High",IF(Cleaned_Data[[#This Row],[Net_Sales]]&gt;=50000,"Medium","Low"))</f>
        <v>Low</v>
      </c>
    </row>
    <row r="940" spans="1:19" x14ac:dyDescent="0.3">
      <c r="A940" t="s">
        <v>1088</v>
      </c>
      <c r="B940" s="1">
        <v>45259</v>
      </c>
      <c r="C940" t="s">
        <v>203</v>
      </c>
      <c r="D940" t="s">
        <v>204</v>
      </c>
      <c r="E940" t="s">
        <v>81</v>
      </c>
      <c r="F940" t="s">
        <v>117</v>
      </c>
      <c r="G940" t="s">
        <v>17</v>
      </c>
      <c r="H940" t="s">
        <v>88</v>
      </c>
      <c r="I940">
        <v>1</v>
      </c>
      <c r="J940" s="8">
        <v>44500</v>
      </c>
      <c r="K940">
        <v>5</v>
      </c>
      <c r="L940" t="s">
        <v>62</v>
      </c>
      <c r="M940" s="5">
        <f>Cleaned_Data[[#This Row],[Quantity]]*Cleaned_Data[[#This Row],[Unit_Price]]</f>
        <v>44500</v>
      </c>
      <c r="N940" s="7">
        <f>Cleaned_Data[[#This Row],[Total_sales]]*(Cleaned_Data[[#This Row],[Discount_Percent]]/100)</f>
        <v>2225</v>
      </c>
      <c r="O940" s="7">
        <f>Cleaned_Data[[#This Row],[Total_sales]]-Cleaned_Data[[#This Row],[Discount_Amount]]</f>
        <v>42275</v>
      </c>
      <c r="P940" t="str">
        <f>TEXT(Cleaned_Data[[#This Row],[Order_Date]],"MMM-YYYY")</f>
        <v>Nov-2023</v>
      </c>
      <c r="Q940" t="str">
        <f>"Q"&amp;ROUNDUP(MONTH(Cleaned_Data[[#This Row],[Order_Date]])/3,0)&amp;"-2023"</f>
        <v>Q4-2023</v>
      </c>
      <c r="R940" t="str">
        <f>TEXT(Cleaned_Data[[#This Row],[Order_Date]],"DDD")</f>
        <v>Wed</v>
      </c>
      <c r="S940" t="str">
        <f>IF(Cleaned_Data[[#This Row],[Net_Sales]]&gt;=100000,"High",IF(Cleaned_Data[[#This Row],[Net_Sales]]&gt;=50000,"Medium","Low"))</f>
        <v>Low</v>
      </c>
    </row>
    <row r="941" spans="1:19" x14ac:dyDescent="0.3">
      <c r="A941" t="s">
        <v>1089</v>
      </c>
      <c r="B941" s="1">
        <v>45259</v>
      </c>
      <c r="C941" t="s">
        <v>13</v>
      </c>
      <c r="D941" t="s">
        <v>14</v>
      </c>
      <c r="E941" t="s">
        <v>15</v>
      </c>
      <c r="F941" t="s">
        <v>16</v>
      </c>
      <c r="G941" t="s">
        <v>25</v>
      </c>
      <c r="H941" t="s">
        <v>32</v>
      </c>
      <c r="I941">
        <v>2</v>
      </c>
      <c r="J941" s="8">
        <v>900</v>
      </c>
      <c r="K941">
        <v>0</v>
      </c>
      <c r="L941" t="s">
        <v>62</v>
      </c>
      <c r="M941" s="5">
        <f>Cleaned_Data[[#This Row],[Quantity]]*Cleaned_Data[[#This Row],[Unit_Price]]</f>
        <v>1800</v>
      </c>
      <c r="N941" s="7">
        <f>Cleaned_Data[[#This Row],[Total_sales]]*(Cleaned_Data[[#This Row],[Discount_Percent]]/100)</f>
        <v>0</v>
      </c>
      <c r="O941" s="7">
        <f>Cleaned_Data[[#This Row],[Total_sales]]-Cleaned_Data[[#This Row],[Discount_Amount]]</f>
        <v>1800</v>
      </c>
      <c r="P941" t="str">
        <f>TEXT(Cleaned_Data[[#This Row],[Order_Date]],"MMM-YYYY")</f>
        <v>Nov-2023</v>
      </c>
      <c r="Q941" t="str">
        <f>"Q"&amp;ROUNDUP(MONTH(Cleaned_Data[[#This Row],[Order_Date]])/3,0)&amp;"-2023"</f>
        <v>Q4-2023</v>
      </c>
      <c r="R941" t="str">
        <f>TEXT(Cleaned_Data[[#This Row],[Order_Date]],"DDD")</f>
        <v>Wed</v>
      </c>
      <c r="S941" t="str">
        <f>IF(Cleaned_Data[[#This Row],[Net_Sales]]&gt;=100000,"High",IF(Cleaned_Data[[#This Row],[Net_Sales]]&gt;=50000,"Medium","Low"))</f>
        <v>Low</v>
      </c>
    </row>
    <row r="942" spans="1:19" x14ac:dyDescent="0.3">
      <c r="A942" t="s">
        <v>1090</v>
      </c>
      <c r="B942" s="1">
        <v>45259</v>
      </c>
      <c r="C942" t="s">
        <v>126</v>
      </c>
      <c r="D942" t="s">
        <v>127</v>
      </c>
      <c r="E942" t="s">
        <v>81</v>
      </c>
      <c r="F942" t="s">
        <v>117</v>
      </c>
      <c r="G942" t="s">
        <v>45</v>
      </c>
      <c r="H942" t="s">
        <v>207</v>
      </c>
      <c r="I942">
        <v>1</v>
      </c>
      <c r="J942" s="8">
        <v>24400</v>
      </c>
      <c r="K942">
        <v>10</v>
      </c>
      <c r="L942" t="s">
        <v>19</v>
      </c>
      <c r="M942" s="5">
        <f>Cleaned_Data[[#This Row],[Quantity]]*Cleaned_Data[[#This Row],[Unit_Price]]</f>
        <v>24400</v>
      </c>
      <c r="N942" s="7">
        <f>Cleaned_Data[[#This Row],[Total_sales]]*(Cleaned_Data[[#This Row],[Discount_Percent]]/100)</f>
        <v>2440</v>
      </c>
      <c r="O942" s="7">
        <f>Cleaned_Data[[#This Row],[Total_sales]]-Cleaned_Data[[#This Row],[Discount_Amount]]</f>
        <v>21960</v>
      </c>
      <c r="P942" t="str">
        <f>TEXT(Cleaned_Data[[#This Row],[Order_Date]],"MMM-YYYY")</f>
        <v>Nov-2023</v>
      </c>
      <c r="Q942" t="str">
        <f>"Q"&amp;ROUNDUP(MONTH(Cleaned_Data[[#This Row],[Order_Date]])/3,0)&amp;"-2023"</f>
        <v>Q4-2023</v>
      </c>
      <c r="R942" t="str">
        <f>TEXT(Cleaned_Data[[#This Row],[Order_Date]],"DDD")</f>
        <v>Wed</v>
      </c>
      <c r="S942" t="str">
        <f>IF(Cleaned_Data[[#This Row],[Net_Sales]]&gt;=100000,"High",IF(Cleaned_Data[[#This Row],[Net_Sales]]&gt;=50000,"Medium","Low"))</f>
        <v>Low</v>
      </c>
    </row>
    <row r="943" spans="1:19" x14ac:dyDescent="0.3">
      <c r="A943" t="s">
        <v>1091</v>
      </c>
      <c r="B943" s="1">
        <v>45259</v>
      </c>
      <c r="C943" t="s">
        <v>122</v>
      </c>
      <c r="D943" t="s">
        <v>123</v>
      </c>
      <c r="E943" t="s">
        <v>66</v>
      </c>
      <c r="F943" t="s">
        <v>67</v>
      </c>
      <c r="G943" t="s">
        <v>17</v>
      </c>
      <c r="H943" t="s">
        <v>88</v>
      </c>
      <c r="I943">
        <v>1</v>
      </c>
      <c r="J943" s="8">
        <v>44900</v>
      </c>
      <c r="K943">
        <v>0</v>
      </c>
      <c r="L943" t="s">
        <v>73</v>
      </c>
      <c r="M943" s="5">
        <f>Cleaned_Data[[#This Row],[Quantity]]*Cleaned_Data[[#This Row],[Unit_Price]]</f>
        <v>44900</v>
      </c>
      <c r="N943" s="7">
        <f>Cleaned_Data[[#This Row],[Total_sales]]*(Cleaned_Data[[#This Row],[Discount_Percent]]/100)</f>
        <v>0</v>
      </c>
      <c r="O943" s="7">
        <f>Cleaned_Data[[#This Row],[Total_sales]]-Cleaned_Data[[#This Row],[Discount_Amount]]</f>
        <v>44900</v>
      </c>
      <c r="P943" t="str">
        <f>TEXT(Cleaned_Data[[#This Row],[Order_Date]],"MMM-YYYY")</f>
        <v>Nov-2023</v>
      </c>
      <c r="Q943" t="str">
        <f>"Q"&amp;ROUNDUP(MONTH(Cleaned_Data[[#This Row],[Order_Date]])/3,0)&amp;"-2023"</f>
        <v>Q4-2023</v>
      </c>
      <c r="R943" t="str">
        <f>TEXT(Cleaned_Data[[#This Row],[Order_Date]],"DDD")</f>
        <v>Wed</v>
      </c>
      <c r="S943" t="str">
        <f>IF(Cleaned_Data[[#This Row],[Net_Sales]]&gt;=100000,"High",IF(Cleaned_Data[[#This Row],[Net_Sales]]&gt;=50000,"Medium","Low"))</f>
        <v>Low</v>
      </c>
    </row>
    <row r="944" spans="1:19" x14ac:dyDescent="0.3">
      <c r="A944" t="s">
        <v>1092</v>
      </c>
      <c r="B944" s="1">
        <v>45289</v>
      </c>
      <c r="C944" t="s">
        <v>143</v>
      </c>
      <c r="D944" t="s">
        <v>144</v>
      </c>
      <c r="E944" t="s">
        <v>81</v>
      </c>
      <c r="F944" t="s">
        <v>110</v>
      </c>
      <c r="G944" t="s">
        <v>97</v>
      </c>
      <c r="H944" t="s">
        <v>98</v>
      </c>
      <c r="I944">
        <v>1</v>
      </c>
      <c r="J944" s="8">
        <v>77700</v>
      </c>
      <c r="K944">
        <v>5</v>
      </c>
      <c r="L944" t="s">
        <v>19</v>
      </c>
      <c r="M944" s="5">
        <f>Cleaned_Data[[#This Row],[Quantity]]*Cleaned_Data[[#This Row],[Unit_Price]]</f>
        <v>77700</v>
      </c>
      <c r="N944" s="7">
        <f>Cleaned_Data[[#This Row],[Total_sales]]*(Cleaned_Data[[#This Row],[Discount_Percent]]/100)</f>
        <v>3885</v>
      </c>
      <c r="O944" s="7">
        <f>Cleaned_Data[[#This Row],[Total_sales]]-Cleaned_Data[[#This Row],[Discount_Amount]]</f>
        <v>73815</v>
      </c>
      <c r="P944" t="str">
        <f>TEXT(Cleaned_Data[[#This Row],[Order_Date]],"MMM-YYYY")</f>
        <v>Dec-2023</v>
      </c>
      <c r="Q944" t="str">
        <f>"Q"&amp;ROUNDUP(MONTH(Cleaned_Data[[#This Row],[Order_Date]])/3,0)&amp;"-2023"</f>
        <v>Q4-2023</v>
      </c>
      <c r="R944" t="str">
        <f>TEXT(Cleaned_Data[[#This Row],[Order_Date]],"DDD")</f>
        <v>Fri</v>
      </c>
      <c r="S944" t="str">
        <f>IF(Cleaned_Data[[#This Row],[Net_Sales]]&gt;=100000,"High",IF(Cleaned_Data[[#This Row],[Net_Sales]]&gt;=50000,"Medium","Low"))</f>
        <v>Medium</v>
      </c>
    </row>
    <row r="945" spans="1:19" x14ac:dyDescent="0.3">
      <c r="A945" t="s">
        <v>1093</v>
      </c>
      <c r="B945" s="1">
        <v>45289</v>
      </c>
      <c r="C945" t="s">
        <v>42</v>
      </c>
      <c r="D945" t="s">
        <v>43</v>
      </c>
      <c r="E945" t="s">
        <v>81</v>
      </c>
      <c r="F945" t="s">
        <v>117</v>
      </c>
      <c r="G945" t="s">
        <v>17</v>
      </c>
      <c r="H945" t="s">
        <v>18</v>
      </c>
      <c r="I945">
        <v>1</v>
      </c>
      <c r="J945" s="8">
        <v>32700</v>
      </c>
      <c r="K945">
        <v>0</v>
      </c>
      <c r="L945" t="s">
        <v>62</v>
      </c>
      <c r="M945" s="5">
        <f>Cleaned_Data[[#This Row],[Quantity]]*Cleaned_Data[[#This Row],[Unit_Price]]</f>
        <v>32700</v>
      </c>
      <c r="N945" s="7">
        <f>Cleaned_Data[[#This Row],[Total_sales]]*(Cleaned_Data[[#This Row],[Discount_Percent]]/100)</f>
        <v>0</v>
      </c>
      <c r="O945" s="7">
        <f>Cleaned_Data[[#This Row],[Total_sales]]-Cleaned_Data[[#This Row],[Discount_Amount]]</f>
        <v>32700</v>
      </c>
      <c r="P945" t="str">
        <f>TEXT(Cleaned_Data[[#This Row],[Order_Date]],"MMM-YYYY")</f>
        <v>Dec-2023</v>
      </c>
      <c r="Q945" t="str">
        <f>"Q"&amp;ROUNDUP(MONTH(Cleaned_Data[[#This Row],[Order_Date]])/3,0)&amp;"-2023"</f>
        <v>Q4-2023</v>
      </c>
      <c r="R945" t="str">
        <f>TEXT(Cleaned_Data[[#This Row],[Order_Date]],"DDD")</f>
        <v>Fri</v>
      </c>
      <c r="S945" t="str">
        <f>IF(Cleaned_Data[[#This Row],[Net_Sales]]&gt;=100000,"High",IF(Cleaned_Data[[#This Row],[Net_Sales]]&gt;=50000,"Medium","Low"))</f>
        <v>Low</v>
      </c>
    </row>
    <row r="946" spans="1:19" x14ac:dyDescent="0.3">
      <c r="A946" t="s">
        <v>1094</v>
      </c>
      <c r="B946" s="1">
        <v>45289</v>
      </c>
      <c r="C946" t="s">
        <v>188</v>
      </c>
      <c r="D946" t="s">
        <v>189</v>
      </c>
      <c r="E946" t="s">
        <v>66</v>
      </c>
      <c r="F946" t="s">
        <v>72</v>
      </c>
      <c r="G946" t="s">
        <v>39</v>
      </c>
      <c r="H946" t="s">
        <v>57</v>
      </c>
      <c r="I946">
        <v>1</v>
      </c>
      <c r="J946" s="8">
        <v>28500</v>
      </c>
      <c r="K946">
        <v>10</v>
      </c>
      <c r="L946" t="s">
        <v>47</v>
      </c>
      <c r="M946" s="5">
        <f>Cleaned_Data[[#This Row],[Quantity]]*Cleaned_Data[[#This Row],[Unit_Price]]</f>
        <v>28500</v>
      </c>
      <c r="N946" s="7">
        <f>Cleaned_Data[[#This Row],[Total_sales]]*(Cleaned_Data[[#This Row],[Discount_Percent]]/100)</f>
        <v>2850</v>
      </c>
      <c r="O946" s="7">
        <f>Cleaned_Data[[#This Row],[Total_sales]]-Cleaned_Data[[#This Row],[Discount_Amount]]</f>
        <v>25650</v>
      </c>
      <c r="P946" t="str">
        <f>TEXT(Cleaned_Data[[#This Row],[Order_Date]],"MMM-YYYY")</f>
        <v>Dec-2023</v>
      </c>
      <c r="Q946" t="str">
        <f>"Q"&amp;ROUNDUP(MONTH(Cleaned_Data[[#This Row],[Order_Date]])/3,0)&amp;"-2023"</f>
        <v>Q4-2023</v>
      </c>
      <c r="R946" t="str">
        <f>TEXT(Cleaned_Data[[#This Row],[Order_Date]],"DDD")</f>
        <v>Fri</v>
      </c>
      <c r="S946" t="str">
        <f>IF(Cleaned_Data[[#This Row],[Net_Sales]]&gt;=100000,"High",IF(Cleaned_Data[[#This Row],[Net_Sales]]&gt;=50000,"Medium","Low"))</f>
        <v>Low</v>
      </c>
    </row>
    <row r="947" spans="1:19" x14ac:dyDescent="0.3">
      <c r="A947" t="s">
        <v>1095</v>
      </c>
      <c r="B947" s="1">
        <v>45289</v>
      </c>
      <c r="C947" t="s">
        <v>115</v>
      </c>
      <c r="D947" t="s">
        <v>116</v>
      </c>
      <c r="E947" t="s">
        <v>66</v>
      </c>
      <c r="F947" t="s">
        <v>67</v>
      </c>
      <c r="G947" t="s">
        <v>39</v>
      </c>
      <c r="H947" t="s">
        <v>57</v>
      </c>
      <c r="I947">
        <v>1</v>
      </c>
      <c r="J947" s="8">
        <v>22000</v>
      </c>
      <c r="K947">
        <v>10</v>
      </c>
      <c r="L947" t="s">
        <v>19</v>
      </c>
      <c r="M947" s="5">
        <f>Cleaned_Data[[#This Row],[Quantity]]*Cleaned_Data[[#This Row],[Unit_Price]]</f>
        <v>22000</v>
      </c>
      <c r="N947" s="7">
        <f>Cleaned_Data[[#This Row],[Total_sales]]*(Cleaned_Data[[#This Row],[Discount_Percent]]/100)</f>
        <v>2200</v>
      </c>
      <c r="O947" s="7">
        <f>Cleaned_Data[[#This Row],[Total_sales]]-Cleaned_Data[[#This Row],[Discount_Amount]]</f>
        <v>19800</v>
      </c>
      <c r="P947" t="str">
        <f>TEXT(Cleaned_Data[[#This Row],[Order_Date]],"MMM-YYYY")</f>
        <v>Dec-2023</v>
      </c>
      <c r="Q947" t="str">
        <f>"Q"&amp;ROUNDUP(MONTH(Cleaned_Data[[#This Row],[Order_Date]])/3,0)&amp;"-2023"</f>
        <v>Q4-2023</v>
      </c>
      <c r="R947" t="str">
        <f>TEXT(Cleaned_Data[[#This Row],[Order_Date]],"DDD")</f>
        <v>Fri</v>
      </c>
      <c r="S947" t="str">
        <f>IF(Cleaned_Data[[#This Row],[Net_Sales]]&gt;=100000,"High",IF(Cleaned_Data[[#This Row],[Net_Sales]]&gt;=50000,"Medium","Low"))</f>
        <v>Low</v>
      </c>
    </row>
    <row r="948" spans="1:19" x14ac:dyDescent="0.3">
      <c r="A948" t="s">
        <v>1096</v>
      </c>
      <c r="B948" s="1">
        <v>45289</v>
      </c>
      <c r="C948" t="s">
        <v>180</v>
      </c>
      <c r="D948" t="s">
        <v>181</v>
      </c>
      <c r="E948" t="s">
        <v>37</v>
      </c>
      <c r="F948" t="s">
        <v>141</v>
      </c>
      <c r="G948" t="s">
        <v>45</v>
      </c>
      <c r="H948" t="s">
        <v>207</v>
      </c>
      <c r="I948">
        <v>1</v>
      </c>
      <c r="J948" s="8">
        <v>32200</v>
      </c>
      <c r="K948">
        <v>10</v>
      </c>
      <c r="L948" t="s">
        <v>62</v>
      </c>
      <c r="M948" s="5">
        <f>Cleaned_Data[[#This Row],[Quantity]]*Cleaned_Data[[#This Row],[Unit_Price]]</f>
        <v>32200</v>
      </c>
      <c r="N948" s="7">
        <f>Cleaned_Data[[#This Row],[Total_sales]]*(Cleaned_Data[[#This Row],[Discount_Percent]]/100)</f>
        <v>3220</v>
      </c>
      <c r="O948" s="7">
        <f>Cleaned_Data[[#This Row],[Total_sales]]-Cleaned_Data[[#This Row],[Discount_Amount]]</f>
        <v>28980</v>
      </c>
      <c r="P948" t="str">
        <f>TEXT(Cleaned_Data[[#This Row],[Order_Date]],"MMM-YYYY")</f>
        <v>Dec-2023</v>
      </c>
      <c r="Q948" t="str">
        <f>"Q"&amp;ROUNDUP(MONTH(Cleaned_Data[[#This Row],[Order_Date]])/3,0)&amp;"-2023"</f>
        <v>Q4-2023</v>
      </c>
      <c r="R948" t="str">
        <f>TEXT(Cleaned_Data[[#This Row],[Order_Date]],"DDD")</f>
        <v>Fri</v>
      </c>
      <c r="S948" t="str">
        <f>IF(Cleaned_Data[[#This Row],[Net_Sales]]&gt;=100000,"High",IF(Cleaned_Data[[#This Row],[Net_Sales]]&gt;=50000,"Medium","Low"))</f>
        <v>Low</v>
      </c>
    </row>
    <row r="949" spans="1:19" x14ac:dyDescent="0.3">
      <c r="A949" t="s">
        <v>1097</v>
      </c>
      <c r="B949" s="1">
        <v>44956</v>
      </c>
      <c r="C949" t="s">
        <v>180</v>
      </c>
      <c r="D949" t="s">
        <v>181</v>
      </c>
      <c r="E949" t="s">
        <v>15</v>
      </c>
      <c r="F949" t="s">
        <v>119</v>
      </c>
      <c r="G949" t="s">
        <v>45</v>
      </c>
      <c r="H949" t="s">
        <v>46</v>
      </c>
      <c r="I949">
        <v>1</v>
      </c>
      <c r="J949" s="8">
        <v>45800</v>
      </c>
      <c r="K949">
        <v>0</v>
      </c>
      <c r="L949" t="s">
        <v>47</v>
      </c>
      <c r="M949" s="5">
        <f>Cleaned_Data[[#This Row],[Quantity]]*Cleaned_Data[[#This Row],[Unit_Price]]</f>
        <v>45800</v>
      </c>
      <c r="N949" s="7">
        <f>Cleaned_Data[[#This Row],[Total_sales]]*(Cleaned_Data[[#This Row],[Discount_Percent]]/100)</f>
        <v>0</v>
      </c>
      <c r="O949" s="7">
        <f>Cleaned_Data[[#This Row],[Total_sales]]-Cleaned_Data[[#This Row],[Discount_Amount]]</f>
        <v>45800</v>
      </c>
      <c r="P949" t="str">
        <f>TEXT(Cleaned_Data[[#This Row],[Order_Date]],"MMM-YYYY")</f>
        <v>Jan-2023</v>
      </c>
      <c r="Q949" t="str">
        <f>"Q"&amp;ROUNDUP(MONTH(Cleaned_Data[[#This Row],[Order_Date]])/3,0)&amp;"-2023"</f>
        <v>Q1-2023</v>
      </c>
      <c r="R949" t="str">
        <f>TEXT(Cleaned_Data[[#This Row],[Order_Date]],"DDD")</f>
        <v>Mon</v>
      </c>
      <c r="S949" t="str">
        <f>IF(Cleaned_Data[[#This Row],[Net_Sales]]&gt;=100000,"High",IF(Cleaned_Data[[#This Row],[Net_Sales]]&gt;=50000,"Medium","Low"))</f>
        <v>Low</v>
      </c>
    </row>
    <row r="950" spans="1:19" x14ac:dyDescent="0.3">
      <c r="A950" t="s">
        <v>1098</v>
      </c>
      <c r="B950" s="1">
        <v>45015</v>
      </c>
      <c r="C950" t="s">
        <v>112</v>
      </c>
      <c r="D950" t="s">
        <v>113</v>
      </c>
      <c r="E950" t="s">
        <v>81</v>
      </c>
      <c r="F950" t="s">
        <v>82</v>
      </c>
      <c r="G950" t="s">
        <v>97</v>
      </c>
      <c r="H950" t="s">
        <v>171</v>
      </c>
      <c r="I950">
        <v>1</v>
      </c>
      <c r="J950" s="8">
        <v>66000</v>
      </c>
      <c r="K950">
        <v>0</v>
      </c>
      <c r="L950" t="s">
        <v>33</v>
      </c>
      <c r="M950" s="5">
        <f>Cleaned_Data[[#This Row],[Quantity]]*Cleaned_Data[[#This Row],[Unit_Price]]</f>
        <v>66000</v>
      </c>
      <c r="N950" s="7">
        <f>Cleaned_Data[[#This Row],[Total_sales]]*(Cleaned_Data[[#This Row],[Discount_Percent]]/100)</f>
        <v>0</v>
      </c>
      <c r="O950" s="7">
        <f>Cleaned_Data[[#This Row],[Total_sales]]-Cleaned_Data[[#This Row],[Discount_Amount]]</f>
        <v>66000</v>
      </c>
      <c r="P950" t="str">
        <f>TEXT(Cleaned_Data[[#This Row],[Order_Date]],"MMM-YYYY")</f>
        <v>Mar-2023</v>
      </c>
      <c r="Q950" t="str">
        <f>"Q"&amp;ROUNDUP(MONTH(Cleaned_Data[[#This Row],[Order_Date]])/3,0)&amp;"-2023"</f>
        <v>Q1-2023</v>
      </c>
      <c r="R950" t="str">
        <f>TEXT(Cleaned_Data[[#This Row],[Order_Date]],"DDD")</f>
        <v>Thu</v>
      </c>
      <c r="S950" t="str">
        <f>IF(Cleaned_Data[[#This Row],[Net_Sales]]&gt;=100000,"High",IF(Cleaned_Data[[#This Row],[Net_Sales]]&gt;=50000,"Medium","Low"))</f>
        <v>Medium</v>
      </c>
    </row>
    <row r="951" spans="1:19" x14ac:dyDescent="0.3">
      <c r="A951" t="s">
        <v>1099</v>
      </c>
      <c r="B951" s="1">
        <v>45015</v>
      </c>
      <c r="C951" t="s">
        <v>55</v>
      </c>
      <c r="D951" t="s">
        <v>56</v>
      </c>
      <c r="E951" t="s">
        <v>23</v>
      </c>
      <c r="F951" t="s">
        <v>44</v>
      </c>
      <c r="G951" t="s">
        <v>97</v>
      </c>
      <c r="H951" t="s">
        <v>154</v>
      </c>
      <c r="I951">
        <v>1</v>
      </c>
      <c r="J951" s="8">
        <v>37600</v>
      </c>
      <c r="K951">
        <v>25</v>
      </c>
      <c r="L951" t="s">
        <v>53</v>
      </c>
      <c r="M951" s="5">
        <f>Cleaned_Data[[#This Row],[Quantity]]*Cleaned_Data[[#This Row],[Unit_Price]]</f>
        <v>37600</v>
      </c>
      <c r="N951" s="7">
        <f>Cleaned_Data[[#This Row],[Total_sales]]*(Cleaned_Data[[#This Row],[Discount_Percent]]/100)</f>
        <v>9400</v>
      </c>
      <c r="O951" s="7">
        <f>Cleaned_Data[[#This Row],[Total_sales]]-Cleaned_Data[[#This Row],[Discount_Amount]]</f>
        <v>28200</v>
      </c>
      <c r="P951" t="str">
        <f>TEXT(Cleaned_Data[[#This Row],[Order_Date]],"MMM-YYYY")</f>
        <v>Mar-2023</v>
      </c>
      <c r="Q951" t="str">
        <f>"Q"&amp;ROUNDUP(MONTH(Cleaned_Data[[#This Row],[Order_Date]])/3,0)&amp;"-2023"</f>
        <v>Q1-2023</v>
      </c>
      <c r="R951" t="str">
        <f>TEXT(Cleaned_Data[[#This Row],[Order_Date]],"DDD")</f>
        <v>Thu</v>
      </c>
      <c r="S951" t="str">
        <f>IF(Cleaned_Data[[#This Row],[Net_Sales]]&gt;=100000,"High",IF(Cleaned_Data[[#This Row],[Net_Sales]]&gt;=50000,"Medium","Low"))</f>
        <v>Low</v>
      </c>
    </row>
    <row r="952" spans="1:19" x14ac:dyDescent="0.3">
      <c r="A952" t="s">
        <v>1100</v>
      </c>
      <c r="B952" s="1">
        <v>45015</v>
      </c>
      <c r="C952" t="s">
        <v>59</v>
      </c>
      <c r="D952" t="s">
        <v>60</v>
      </c>
      <c r="E952" t="s">
        <v>15</v>
      </c>
      <c r="F952" t="s">
        <v>16</v>
      </c>
      <c r="G952" t="s">
        <v>45</v>
      </c>
      <c r="H952" t="s">
        <v>46</v>
      </c>
      <c r="I952">
        <v>1</v>
      </c>
      <c r="J952" s="8">
        <v>26500</v>
      </c>
      <c r="K952">
        <v>0</v>
      </c>
      <c r="L952" t="s">
        <v>53</v>
      </c>
      <c r="M952" s="5">
        <f>Cleaned_Data[[#This Row],[Quantity]]*Cleaned_Data[[#This Row],[Unit_Price]]</f>
        <v>26500</v>
      </c>
      <c r="N952" s="7">
        <f>Cleaned_Data[[#This Row],[Total_sales]]*(Cleaned_Data[[#This Row],[Discount_Percent]]/100)</f>
        <v>0</v>
      </c>
      <c r="O952" s="7">
        <f>Cleaned_Data[[#This Row],[Total_sales]]-Cleaned_Data[[#This Row],[Discount_Amount]]</f>
        <v>26500</v>
      </c>
      <c r="P952" t="str">
        <f>TEXT(Cleaned_Data[[#This Row],[Order_Date]],"MMM-YYYY")</f>
        <v>Mar-2023</v>
      </c>
      <c r="Q952" t="str">
        <f>"Q"&amp;ROUNDUP(MONTH(Cleaned_Data[[#This Row],[Order_Date]])/3,0)&amp;"-2023"</f>
        <v>Q1-2023</v>
      </c>
      <c r="R952" t="str">
        <f>TEXT(Cleaned_Data[[#This Row],[Order_Date]],"DDD")</f>
        <v>Thu</v>
      </c>
      <c r="S952" t="str">
        <f>IF(Cleaned_Data[[#This Row],[Net_Sales]]&gt;=100000,"High",IF(Cleaned_Data[[#This Row],[Net_Sales]]&gt;=50000,"Medium","Low"))</f>
        <v>Low</v>
      </c>
    </row>
    <row r="953" spans="1:19" x14ac:dyDescent="0.3">
      <c r="A953" t="s">
        <v>1101</v>
      </c>
      <c r="B953" s="1">
        <v>45015</v>
      </c>
      <c r="C953" t="s">
        <v>79</v>
      </c>
      <c r="D953" t="s">
        <v>80</v>
      </c>
      <c r="E953" t="s">
        <v>81</v>
      </c>
      <c r="F953" t="s">
        <v>110</v>
      </c>
      <c r="G953" t="s">
        <v>17</v>
      </c>
      <c r="H953" t="s">
        <v>18</v>
      </c>
      <c r="I953">
        <v>1</v>
      </c>
      <c r="J953" s="8">
        <v>39700</v>
      </c>
      <c r="K953">
        <v>25</v>
      </c>
      <c r="L953" t="s">
        <v>103</v>
      </c>
      <c r="M953" s="5">
        <f>Cleaned_Data[[#This Row],[Quantity]]*Cleaned_Data[[#This Row],[Unit_Price]]</f>
        <v>39700</v>
      </c>
      <c r="N953" s="7">
        <f>Cleaned_Data[[#This Row],[Total_sales]]*(Cleaned_Data[[#This Row],[Discount_Percent]]/100)</f>
        <v>9925</v>
      </c>
      <c r="O953" s="7">
        <f>Cleaned_Data[[#This Row],[Total_sales]]-Cleaned_Data[[#This Row],[Discount_Amount]]</f>
        <v>29775</v>
      </c>
      <c r="P953" t="str">
        <f>TEXT(Cleaned_Data[[#This Row],[Order_Date]],"MMM-YYYY")</f>
        <v>Mar-2023</v>
      </c>
      <c r="Q953" t="str">
        <f>"Q"&amp;ROUNDUP(MONTH(Cleaned_Data[[#This Row],[Order_Date]])/3,0)&amp;"-2023"</f>
        <v>Q1-2023</v>
      </c>
      <c r="R953" t="str">
        <f>TEXT(Cleaned_Data[[#This Row],[Order_Date]],"DDD")</f>
        <v>Thu</v>
      </c>
      <c r="S953" t="str">
        <f>IF(Cleaned_Data[[#This Row],[Net_Sales]]&gt;=100000,"High",IF(Cleaned_Data[[#This Row],[Net_Sales]]&gt;=50000,"Medium","Low"))</f>
        <v>Low</v>
      </c>
    </row>
    <row r="954" spans="1:19" x14ac:dyDescent="0.3">
      <c r="A954" t="s">
        <v>1102</v>
      </c>
      <c r="B954" s="1">
        <v>45046</v>
      </c>
      <c r="C954" t="s">
        <v>236</v>
      </c>
      <c r="D954" t="s">
        <v>237</v>
      </c>
      <c r="E954" t="s">
        <v>66</v>
      </c>
      <c r="F954" t="s">
        <v>67</v>
      </c>
      <c r="G954" t="s">
        <v>45</v>
      </c>
      <c r="H954" t="s">
        <v>156</v>
      </c>
      <c r="I954">
        <v>1</v>
      </c>
      <c r="J954" s="8">
        <v>41400</v>
      </c>
      <c r="K954">
        <v>10</v>
      </c>
      <c r="L954" t="s">
        <v>62</v>
      </c>
      <c r="M954" s="5">
        <f>Cleaned_Data[[#This Row],[Quantity]]*Cleaned_Data[[#This Row],[Unit_Price]]</f>
        <v>41400</v>
      </c>
      <c r="N954" s="7">
        <f>Cleaned_Data[[#This Row],[Total_sales]]*(Cleaned_Data[[#This Row],[Discount_Percent]]/100)</f>
        <v>4140</v>
      </c>
      <c r="O954" s="7">
        <f>Cleaned_Data[[#This Row],[Total_sales]]-Cleaned_Data[[#This Row],[Discount_Amount]]</f>
        <v>37260</v>
      </c>
      <c r="P954" t="str">
        <f>TEXT(Cleaned_Data[[#This Row],[Order_Date]],"MMM-YYYY")</f>
        <v>Apr-2023</v>
      </c>
      <c r="Q954" t="str">
        <f>"Q"&amp;ROUNDUP(MONTH(Cleaned_Data[[#This Row],[Order_Date]])/3,0)&amp;"-2023"</f>
        <v>Q2-2023</v>
      </c>
      <c r="R954" t="str">
        <f>TEXT(Cleaned_Data[[#This Row],[Order_Date]],"DDD")</f>
        <v>Sun</v>
      </c>
      <c r="S954" t="str">
        <f>IF(Cleaned_Data[[#This Row],[Net_Sales]]&gt;=100000,"High",IF(Cleaned_Data[[#This Row],[Net_Sales]]&gt;=50000,"Medium","Low"))</f>
        <v>Low</v>
      </c>
    </row>
    <row r="955" spans="1:19" x14ac:dyDescent="0.3">
      <c r="A955" t="s">
        <v>1103</v>
      </c>
      <c r="B955" s="1">
        <v>45046</v>
      </c>
      <c r="C955" t="s">
        <v>112</v>
      </c>
      <c r="D955" t="s">
        <v>113</v>
      </c>
      <c r="E955" t="s">
        <v>23</v>
      </c>
      <c r="F955" t="s">
        <v>51</v>
      </c>
      <c r="G955" t="s">
        <v>17</v>
      </c>
      <c r="H955" t="s">
        <v>18</v>
      </c>
      <c r="I955">
        <v>1</v>
      </c>
      <c r="J955" s="8">
        <v>49500</v>
      </c>
      <c r="K955">
        <v>0</v>
      </c>
      <c r="L955" t="s">
        <v>19</v>
      </c>
      <c r="M955" s="5">
        <f>Cleaned_Data[[#This Row],[Quantity]]*Cleaned_Data[[#This Row],[Unit_Price]]</f>
        <v>49500</v>
      </c>
      <c r="N955" s="7">
        <f>Cleaned_Data[[#This Row],[Total_sales]]*(Cleaned_Data[[#This Row],[Discount_Percent]]/100)</f>
        <v>0</v>
      </c>
      <c r="O955" s="7">
        <f>Cleaned_Data[[#This Row],[Total_sales]]-Cleaned_Data[[#This Row],[Discount_Amount]]</f>
        <v>49500</v>
      </c>
      <c r="P955" t="str">
        <f>TEXT(Cleaned_Data[[#This Row],[Order_Date]],"MMM-YYYY")</f>
        <v>Apr-2023</v>
      </c>
      <c r="Q955" t="str">
        <f>"Q"&amp;ROUNDUP(MONTH(Cleaned_Data[[#This Row],[Order_Date]])/3,0)&amp;"-2023"</f>
        <v>Q2-2023</v>
      </c>
      <c r="R955" t="str">
        <f>TEXT(Cleaned_Data[[#This Row],[Order_Date]],"DDD")</f>
        <v>Sun</v>
      </c>
      <c r="S955" t="str">
        <f>IF(Cleaned_Data[[#This Row],[Net_Sales]]&gt;=100000,"High",IF(Cleaned_Data[[#This Row],[Net_Sales]]&gt;=50000,"Medium","Low"))</f>
        <v>Low</v>
      </c>
    </row>
    <row r="956" spans="1:19" x14ac:dyDescent="0.3">
      <c r="A956" t="s">
        <v>1104</v>
      </c>
      <c r="B956" s="1">
        <v>45076</v>
      </c>
      <c r="C956" t="s">
        <v>70</v>
      </c>
      <c r="D956" t="s">
        <v>71</v>
      </c>
      <c r="E956" t="s">
        <v>66</v>
      </c>
      <c r="F956" t="s">
        <v>87</v>
      </c>
      <c r="G956" t="s">
        <v>25</v>
      </c>
      <c r="H956" t="s">
        <v>108</v>
      </c>
      <c r="I956">
        <v>2</v>
      </c>
      <c r="J956" s="8">
        <v>1900</v>
      </c>
      <c r="K956">
        <v>0</v>
      </c>
      <c r="L956" t="s">
        <v>73</v>
      </c>
      <c r="M956" s="5">
        <f>Cleaned_Data[[#This Row],[Quantity]]*Cleaned_Data[[#This Row],[Unit_Price]]</f>
        <v>3800</v>
      </c>
      <c r="N956" s="7">
        <f>Cleaned_Data[[#This Row],[Total_sales]]*(Cleaned_Data[[#This Row],[Discount_Percent]]/100)</f>
        <v>0</v>
      </c>
      <c r="O956" s="7">
        <f>Cleaned_Data[[#This Row],[Total_sales]]-Cleaned_Data[[#This Row],[Discount_Amount]]</f>
        <v>3800</v>
      </c>
      <c r="P956" t="str">
        <f>TEXT(Cleaned_Data[[#This Row],[Order_Date]],"MMM-YYYY")</f>
        <v>May-2023</v>
      </c>
      <c r="Q956" t="str">
        <f>"Q"&amp;ROUNDUP(MONTH(Cleaned_Data[[#This Row],[Order_Date]])/3,0)&amp;"-2023"</f>
        <v>Q2-2023</v>
      </c>
      <c r="R956" t="str">
        <f>TEXT(Cleaned_Data[[#This Row],[Order_Date]],"DDD")</f>
        <v>Tue</v>
      </c>
      <c r="S956" t="str">
        <f>IF(Cleaned_Data[[#This Row],[Net_Sales]]&gt;=100000,"High",IF(Cleaned_Data[[#This Row],[Net_Sales]]&gt;=50000,"Medium","Low"))</f>
        <v>Low</v>
      </c>
    </row>
    <row r="957" spans="1:19" x14ac:dyDescent="0.3">
      <c r="A957" t="s">
        <v>1105</v>
      </c>
      <c r="B957" s="1">
        <v>45076</v>
      </c>
      <c r="C957" t="s">
        <v>29</v>
      </c>
      <c r="D957" t="s">
        <v>30</v>
      </c>
      <c r="E957" t="s">
        <v>15</v>
      </c>
      <c r="F957" t="s">
        <v>128</v>
      </c>
      <c r="G957" t="s">
        <v>97</v>
      </c>
      <c r="H957" t="s">
        <v>154</v>
      </c>
      <c r="I957">
        <v>1</v>
      </c>
      <c r="J957" s="8">
        <v>54000</v>
      </c>
      <c r="K957">
        <v>10</v>
      </c>
      <c r="L957" t="s">
        <v>27</v>
      </c>
      <c r="M957" s="5">
        <f>Cleaned_Data[[#This Row],[Quantity]]*Cleaned_Data[[#This Row],[Unit_Price]]</f>
        <v>54000</v>
      </c>
      <c r="N957" s="7">
        <f>Cleaned_Data[[#This Row],[Total_sales]]*(Cleaned_Data[[#This Row],[Discount_Percent]]/100)</f>
        <v>5400</v>
      </c>
      <c r="O957" s="7">
        <f>Cleaned_Data[[#This Row],[Total_sales]]-Cleaned_Data[[#This Row],[Discount_Amount]]</f>
        <v>48600</v>
      </c>
      <c r="P957" t="str">
        <f>TEXT(Cleaned_Data[[#This Row],[Order_Date]],"MMM-YYYY")</f>
        <v>May-2023</v>
      </c>
      <c r="Q957" t="str">
        <f>"Q"&amp;ROUNDUP(MONTH(Cleaned_Data[[#This Row],[Order_Date]])/3,0)&amp;"-2023"</f>
        <v>Q2-2023</v>
      </c>
      <c r="R957" t="str">
        <f>TEXT(Cleaned_Data[[#This Row],[Order_Date]],"DDD")</f>
        <v>Tue</v>
      </c>
      <c r="S957" t="str">
        <f>IF(Cleaned_Data[[#This Row],[Net_Sales]]&gt;=100000,"High",IF(Cleaned_Data[[#This Row],[Net_Sales]]&gt;=50000,"Medium","Low"))</f>
        <v>Low</v>
      </c>
    </row>
    <row r="958" spans="1:19" x14ac:dyDescent="0.3">
      <c r="A958" t="s">
        <v>1106</v>
      </c>
      <c r="B958" s="1">
        <v>45076</v>
      </c>
      <c r="C958" t="s">
        <v>158</v>
      </c>
      <c r="D958" t="s">
        <v>159</v>
      </c>
      <c r="E958" t="s">
        <v>81</v>
      </c>
      <c r="F958" t="s">
        <v>160</v>
      </c>
      <c r="G958" t="s">
        <v>25</v>
      </c>
      <c r="H958" t="s">
        <v>124</v>
      </c>
      <c r="I958">
        <v>2</v>
      </c>
      <c r="J958" s="8">
        <v>2300</v>
      </c>
      <c r="K958">
        <v>10</v>
      </c>
      <c r="L958" t="s">
        <v>47</v>
      </c>
      <c r="M958" s="5">
        <f>Cleaned_Data[[#This Row],[Quantity]]*Cleaned_Data[[#This Row],[Unit_Price]]</f>
        <v>4600</v>
      </c>
      <c r="N958" s="7">
        <f>Cleaned_Data[[#This Row],[Total_sales]]*(Cleaned_Data[[#This Row],[Discount_Percent]]/100)</f>
        <v>460</v>
      </c>
      <c r="O958" s="7">
        <f>Cleaned_Data[[#This Row],[Total_sales]]-Cleaned_Data[[#This Row],[Discount_Amount]]</f>
        <v>4140</v>
      </c>
      <c r="P958" t="str">
        <f>TEXT(Cleaned_Data[[#This Row],[Order_Date]],"MMM-YYYY")</f>
        <v>May-2023</v>
      </c>
      <c r="Q958" t="str">
        <f>"Q"&amp;ROUNDUP(MONTH(Cleaned_Data[[#This Row],[Order_Date]])/3,0)&amp;"-2023"</f>
        <v>Q2-2023</v>
      </c>
      <c r="R958" t="str">
        <f>TEXT(Cleaned_Data[[#This Row],[Order_Date]],"DDD")</f>
        <v>Tue</v>
      </c>
      <c r="S958" t="str">
        <f>IF(Cleaned_Data[[#This Row],[Net_Sales]]&gt;=100000,"High",IF(Cleaned_Data[[#This Row],[Net_Sales]]&gt;=50000,"Medium","Low"))</f>
        <v>Low</v>
      </c>
    </row>
    <row r="959" spans="1:19" x14ac:dyDescent="0.3">
      <c r="A959" t="s">
        <v>1107</v>
      </c>
      <c r="B959" s="1">
        <v>45107</v>
      </c>
      <c r="C959" t="s">
        <v>284</v>
      </c>
      <c r="D959" t="s">
        <v>285</v>
      </c>
      <c r="E959" t="s">
        <v>37</v>
      </c>
      <c r="F959" t="s">
        <v>38</v>
      </c>
      <c r="G959" t="s">
        <v>39</v>
      </c>
      <c r="H959" t="s">
        <v>68</v>
      </c>
      <c r="I959">
        <v>2</v>
      </c>
      <c r="J959" s="8">
        <v>23300</v>
      </c>
      <c r="K959">
        <v>0</v>
      </c>
      <c r="L959" t="s">
        <v>103</v>
      </c>
      <c r="M959" s="5">
        <f>Cleaned_Data[[#This Row],[Quantity]]*Cleaned_Data[[#This Row],[Unit_Price]]</f>
        <v>46600</v>
      </c>
      <c r="N959" s="7">
        <f>Cleaned_Data[[#This Row],[Total_sales]]*(Cleaned_Data[[#This Row],[Discount_Percent]]/100)</f>
        <v>0</v>
      </c>
      <c r="O959" s="7">
        <f>Cleaned_Data[[#This Row],[Total_sales]]-Cleaned_Data[[#This Row],[Discount_Amount]]</f>
        <v>46600</v>
      </c>
      <c r="P959" t="str">
        <f>TEXT(Cleaned_Data[[#This Row],[Order_Date]],"MMM-YYYY")</f>
        <v>Jun-2023</v>
      </c>
      <c r="Q959" t="str">
        <f>"Q"&amp;ROUNDUP(MONTH(Cleaned_Data[[#This Row],[Order_Date]])/3,0)&amp;"-2023"</f>
        <v>Q2-2023</v>
      </c>
      <c r="R959" t="str">
        <f>TEXT(Cleaned_Data[[#This Row],[Order_Date]],"DDD")</f>
        <v>Fri</v>
      </c>
      <c r="S959" t="str">
        <f>IF(Cleaned_Data[[#This Row],[Net_Sales]]&gt;=100000,"High",IF(Cleaned_Data[[#This Row],[Net_Sales]]&gt;=50000,"Medium","Low"))</f>
        <v>Low</v>
      </c>
    </row>
    <row r="960" spans="1:19" x14ac:dyDescent="0.3">
      <c r="A960" t="s">
        <v>1108</v>
      </c>
      <c r="B960" s="1">
        <v>45107</v>
      </c>
      <c r="C960" t="s">
        <v>284</v>
      </c>
      <c r="D960" t="s">
        <v>285</v>
      </c>
      <c r="E960" t="s">
        <v>81</v>
      </c>
      <c r="F960" t="s">
        <v>110</v>
      </c>
      <c r="G960" t="s">
        <v>17</v>
      </c>
      <c r="H960" t="s">
        <v>18</v>
      </c>
      <c r="I960">
        <v>1</v>
      </c>
      <c r="J960" s="8">
        <v>44400</v>
      </c>
      <c r="K960">
        <v>0</v>
      </c>
      <c r="L960" t="s">
        <v>47</v>
      </c>
      <c r="M960" s="5">
        <f>Cleaned_Data[[#This Row],[Quantity]]*Cleaned_Data[[#This Row],[Unit_Price]]</f>
        <v>44400</v>
      </c>
      <c r="N960" s="7">
        <f>Cleaned_Data[[#This Row],[Total_sales]]*(Cleaned_Data[[#This Row],[Discount_Percent]]/100)</f>
        <v>0</v>
      </c>
      <c r="O960" s="7">
        <f>Cleaned_Data[[#This Row],[Total_sales]]-Cleaned_Data[[#This Row],[Discount_Amount]]</f>
        <v>44400</v>
      </c>
      <c r="P960" t="str">
        <f>TEXT(Cleaned_Data[[#This Row],[Order_Date]],"MMM-YYYY")</f>
        <v>Jun-2023</v>
      </c>
      <c r="Q960" t="str">
        <f>"Q"&amp;ROUNDUP(MONTH(Cleaned_Data[[#This Row],[Order_Date]])/3,0)&amp;"-2023"</f>
        <v>Q2-2023</v>
      </c>
      <c r="R960" t="str">
        <f>TEXT(Cleaned_Data[[#This Row],[Order_Date]],"DDD")</f>
        <v>Fri</v>
      </c>
      <c r="S960" t="str">
        <f>IF(Cleaned_Data[[#This Row],[Net_Sales]]&gt;=100000,"High",IF(Cleaned_Data[[#This Row],[Net_Sales]]&gt;=50000,"Medium","Low"))</f>
        <v>Low</v>
      </c>
    </row>
    <row r="961" spans="1:19" x14ac:dyDescent="0.3">
      <c r="A961" t="s">
        <v>1109</v>
      </c>
      <c r="B961" s="1">
        <v>45137</v>
      </c>
      <c r="C961" t="s">
        <v>203</v>
      </c>
      <c r="D961" t="s">
        <v>204</v>
      </c>
      <c r="E961" t="s">
        <v>81</v>
      </c>
      <c r="F961" t="s">
        <v>110</v>
      </c>
      <c r="G961" t="s">
        <v>25</v>
      </c>
      <c r="H961" t="s">
        <v>108</v>
      </c>
      <c r="I961">
        <v>2</v>
      </c>
      <c r="J961" s="8">
        <v>1900</v>
      </c>
      <c r="K961">
        <v>25</v>
      </c>
      <c r="L961" t="s">
        <v>103</v>
      </c>
      <c r="M961" s="5">
        <f>Cleaned_Data[[#This Row],[Quantity]]*Cleaned_Data[[#This Row],[Unit_Price]]</f>
        <v>3800</v>
      </c>
      <c r="N961" s="7">
        <f>Cleaned_Data[[#This Row],[Total_sales]]*(Cleaned_Data[[#This Row],[Discount_Percent]]/100)</f>
        <v>950</v>
      </c>
      <c r="O961" s="7">
        <f>Cleaned_Data[[#This Row],[Total_sales]]-Cleaned_Data[[#This Row],[Discount_Amount]]</f>
        <v>2850</v>
      </c>
      <c r="P961" t="str">
        <f>TEXT(Cleaned_Data[[#This Row],[Order_Date]],"MMM-YYYY")</f>
        <v>Jul-2023</v>
      </c>
      <c r="Q961" t="str">
        <f>"Q"&amp;ROUNDUP(MONTH(Cleaned_Data[[#This Row],[Order_Date]])/3,0)&amp;"-2023"</f>
        <v>Q3-2023</v>
      </c>
      <c r="R961" t="str">
        <f>TEXT(Cleaned_Data[[#This Row],[Order_Date]],"DDD")</f>
        <v>Sun</v>
      </c>
      <c r="S961" t="str">
        <f>IF(Cleaned_Data[[#This Row],[Net_Sales]]&gt;=100000,"High",IF(Cleaned_Data[[#This Row],[Net_Sales]]&gt;=50000,"Medium","Low"))</f>
        <v>Low</v>
      </c>
    </row>
    <row r="962" spans="1:19" x14ac:dyDescent="0.3">
      <c r="A962" t="s">
        <v>1110</v>
      </c>
      <c r="B962" s="1">
        <v>45137</v>
      </c>
      <c r="C962" t="s">
        <v>13</v>
      </c>
      <c r="D962" t="s">
        <v>14</v>
      </c>
      <c r="E962" t="s">
        <v>37</v>
      </c>
      <c r="F962" t="s">
        <v>38</v>
      </c>
      <c r="G962" t="s">
        <v>39</v>
      </c>
      <c r="H962" t="s">
        <v>102</v>
      </c>
      <c r="I962">
        <v>1</v>
      </c>
      <c r="J962" s="8">
        <v>20300</v>
      </c>
      <c r="K962">
        <v>25</v>
      </c>
      <c r="L962" t="s">
        <v>73</v>
      </c>
      <c r="M962" s="5">
        <f>Cleaned_Data[[#This Row],[Quantity]]*Cleaned_Data[[#This Row],[Unit_Price]]</f>
        <v>20300</v>
      </c>
      <c r="N962" s="7">
        <f>Cleaned_Data[[#This Row],[Total_sales]]*(Cleaned_Data[[#This Row],[Discount_Percent]]/100)</f>
        <v>5075</v>
      </c>
      <c r="O962" s="7">
        <f>Cleaned_Data[[#This Row],[Total_sales]]-Cleaned_Data[[#This Row],[Discount_Amount]]</f>
        <v>15225</v>
      </c>
      <c r="P962" t="str">
        <f>TEXT(Cleaned_Data[[#This Row],[Order_Date]],"MMM-YYYY")</f>
        <v>Jul-2023</v>
      </c>
      <c r="Q962" t="str">
        <f>"Q"&amp;ROUNDUP(MONTH(Cleaned_Data[[#This Row],[Order_Date]])/3,0)&amp;"-2023"</f>
        <v>Q3-2023</v>
      </c>
      <c r="R962" t="str">
        <f>TEXT(Cleaned_Data[[#This Row],[Order_Date]],"DDD")</f>
        <v>Sun</v>
      </c>
      <c r="S962" t="str">
        <f>IF(Cleaned_Data[[#This Row],[Net_Sales]]&gt;=100000,"High",IF(Cleaned_Data[[#This Row],[Net_Sales]]&gt;=50000,"Medium","Low"))</f>
        <v>Low</v>
      </c>
    </row>
    <row r="963" spans="1:19" x14ac:dyDescent="0.3">
      <c r="A963" t="s">
        <v>1111</v>
      </c>
      <c r="B963" s="1">
        <v>45137</v>
      </c>
      <c r="C963" t="s">
        <v>147</v>
      </c>
      <c r="D963" t="s">
        <v>148</v>
      </c>
      <c r="E963" t="s">
        <v>23</v>
      </c>
      <c r="F963" t="s">
        <v>24</v>
      </c>
      <c r="G963" t="s">
        <v>25</v>
      </c>
      <c r="H963" t="s">
        <v>124</v>
      </c>
      <c r="I963">
        <v>2</v>
      </c>
      <c r="J963" s="8">
        <v>3000</v>
      </c>
      <c r="K963">
        <v>5</v>
      </c>
      <c r="L963" t="s">
        <v>47</v>
      </c>
      <c r="M963" s="5">
        <f>Cleaned_Data[[#This Row],[Quantity]]*Cleaned_Data[[#This Row],[Unit_Price]]</f>
        <v>6000</v>
      </c>
      <c r="N963" s="7">
        <f>Cleaned_Data[[#This Row],[Total_sales]]*(Cleaned_Data[[#This Row],[Discount_Percent]]/100)</f>
        <v>300</v>
      </c>
      <c r="O963" s="7">
        <f>Cleaned_Data[[#This Row],[Total_sales]]-Cleaned_Data[[#This Row],[Discount_Amount]]</f>
        <v>5700</v>
      </c>
      <c r="P963" t="str">
        <f>TEXT(Cleaned_Data[[#This Row],[Order_Date]],"MMM-YYYY")</f>
        <v>Jul-2023</v>
      </c>
      <c r="Q963" t="str">
        <f>"Q"&amp;ROUNDUP(MONTH(Cleaned_Data[[#This Row],[Order_Date]])/3,0)&amp;"-2023"</f>
        <v>Q3-2023</v>
      </c>
      <c r="R963" t="str">
        <f>TEXT(Cleaned_Data[[#This Row],[Order_Date]],"DDD")</f>
        <v>Sun</v>
      </c>
      <c r="S963" t="str">
        <f>IF(Cleaned_Data[[#This Row],[Net_Sales]]&gt;=100000,"High",IF(Cleaned_Data[[#This Row],[Net_Sales]]&gt;=50000,"Medium","Low"))</f>
        <v>Low</v>
      </c>
    </row>
    <row r="964" spans="1:19" x14ac:dyDescent="0.3">
      <c r="A964" t="s">
        <v>1112</v>
      </c>
      <c r="B964" s="1">
        <v>45168</v>
      </c>
      <c r="C964" t="s">
        <v>55</v>
      </c>
      <c r="D964" t="s">
        <v>56</v>
      </c>
      <c r="E964" t="s">
        <v>23</v>
      </c>
      <c r="F964" t="s">
        <v>31</v>
      </c>
      <c r="G964" t="s">
        <v>39</v>
      </c>
      <c r="H964" t="s">
        <v>57</v>
      </c>
      <c r="I964">
        <v>1</v>
      </c>
      <c r="J964" s="8">
        <v>20100</v>
      </c>
      <c r="K964">
        <v>0</v>
      </c>
      <c r="L964" t="s">
        <v>47</v>
      </c>
      <c r="M964" s="5">
        <f>Cleaned_Data[[#This Row],[Quantity]]*Cleaned_Data[[#This Row],[Unit_Price]]</f>
        <v>20100</v>
      </c>
      <c r="N964" s="7">
        <f>Cleaned_Data[[#This Row],[Total_sales]]*(Cleaned_Data[[#This Row],[Discount_Percent]]/100)</f>
        <v>0</v>
      </c>
      <c r="O964" s="7">
        <f>Cleaned_Data[[#This Row],[Total_sales]]-Cleaned_Data[[#This Row],[Discount_Amount]]</f>
        <v>20100</v>
      </c>
      <c r="P964" t="str">
        <f>TEXT(Cleaned_Data[[#This Row],[Order_Date]],"MMM-YYYY")</f>
        <v>Aug-2023</v>
      </c>
      <c r="Q964" t="str">
        <f>"Q"&amp;ROUNDUP(MONTH(Cleaned_Data[[#This Row],[Order_Date]])/3,0)&amp;"-2023"</f>
        <v>Q3-2023</v>
      </c>
      <c r="R964" t="str">
        <f>TEXT(Cleaned_Data[[#This Row],[Order_Date]],"DDD")</f>
        <v>Wed</v>
      </c>
      <c r="S964" t="str">
        <f>IF(Cleaned_Data[[#This Row],[Net_Sales]]&gt;=100000,"High",IF(Cleaned_Data[[#This Row],[Net_Sales]]&gt;=50000,"Medium","Low"))</f>
        <v>Low</v>
      </c>
    </row>
    <row r="965" spans="1:19" x14ac:dyDescent="0.3">
      <c r="A965" t="s">
        <v>1113</v>
      </c>
      <c r="B965" s="1">
        <v>45168</v>
      </c>
      <c r="C965" t="s">
        <v>59</v>
      </c>
      <c r="D965" t="s">
        <v>60</v>
      </c>
      <c r="E965" t="s">
        <v>23</v>
      </c>
      <c r="F965" t="s">
        <v>51</v>
      </c>
      <c r="G965" t="s">
        <v>97</v>
      </c>
      <c r="H965" t="s">
        <v>154</v>
      </c>
      <c r="I965">
        <v>1</v>
      </c>
      <c r="J965" s="8">
        <v>38800</v>
      </c>
      <c r="K965">
        <v>0</v>
      </c>
      <c r="L965" t="s">
        <v>73</v>
      </c>
      <c r="M965" s="5">
        <f>Cleaned_Data[[#This Row],[Quantity]]*Cleaned_Data[[#This Row],[Unit_Price]]</f>
        <v>38800</v>
      </c>
      <c r="N965" s="7">
        <f>Cleaned_Data[[#This Row],[Total_sales]]*(Cleaned_Data[[#This Row],[Discount_Percent]]/100)</f>
        <v>0</v>
      </c>
      <c r="O965" s="7">
        <f>Cleaned_Data[[#This Row],[Total_sales]]-Cleaned_Data[[#This Row],[Discount_Amount]]</f>
        <v>38800</v>
      </c>
      <c r="P965" t="str">
        <f>TEXT(Cleaned_Data[[#This Row],[Order_Date]],"MMM-YYYY")</f>
        <v>Aug-2023</v>
      </c>
      <c r="Q965" t="str">
        <f>"Q"&amp;ROUNDUP(MONTH(Cleaned_Data[[#This Row],[Order_Date]])/3,0)&amp;"-2023"</f>
        <v>Q3-2023</v>
      </c>
      <c r="R965" t="str">
        <f>TEXT(Cleaned_Data[[#This Row],[Order_Date]],"DDD")</f>
        <v>Wed</v>
      </c>
      <c r="S965" t="str">
        <f>IF(Cleaned_Data[[#This Row],[Net_Sales]]&gt;=100000,"High",IF(Cleaned_Data[[#This Row],[Net_Sales]]&gt;=50000,"Medium","Low"))</f>
        <v>Low</v>
      </c>
    </row>
    <row r="966" spans="1:19" x14ac:dyDescent="0.3">
      <c r="A966" t="s">
        <v>1114</v>
      </c>
      <c r="B966" s="1">
        <v>45168</v>
      </c>
      <c r="C966" t="s">
        <v>90</v>
      </c>
      <c r="D966" t="s">
        <v>91</v>
      </c>
      <c r="E966" t="s">
        <v>15</v>
      </c>
      <c r="F966" t="s">
        <v>119</v>
      </c>
      <c r="G966" t="s">
        <v>97</v>
      </c>
      <c r="H966" t="s">
        <v>174</v>
      </c>
      <c r="I966">
        <v>1</v>
      </c>
      <c r="J966" s="8">
        <v>46600</v>
      </c>
      <c r="K966">
        <v>5</v>
      </c>
      <c r="L966" t="s">
        <v>53</v>
      </c>
      <c r="M966" s="5">
        <f>Cleaned_Data[[#This Row],[Quantity]]*Cleaned_Data[[#This Row],[Unit_Price]]</f>
        <v>46600</v>
      </c>
      <c r="N966" s="7">
        <f>Cleaned_Data[[#This Row],[Total_sales]]*(Cleaned_Data[[#This Row],[Discount_Percent]]/100)</f>
        <v>2330</v>
      </c>
      <c r="O966" s="7">
        <f>Cleaned_Data[[#This Row],[Total_sales]]-Cleaned_Data[[#This Row],[Discount_Amount]]</f>
        <v>44270</v>
      </c>
      <c r="P966" t="str">
        <f>TEXT(Cleaned_Data[[#This Row],[Order_Date]],"MMM-YYYY")</f>
        <v>Aug-2023</v>
      </c>
      <c r="Q966" t="str">
        <f>"Q"&amp;ROUNDUP(MONTH(Cleaned_Data[[#This Row],[Order_Date]])/3,0)&amp;"-2023"</f>
        <v>Q3-2023</v>
      </c>
      <c r="R966" t="str">
        <f>TEXT(Cleaned_Data[[#This Row],[Order_Date]],"DDD")</f>
        <v>Wed</v>
      </c>
      <c r="S966" t="str">
        <f>IF(Cleaned_Data[[#This Row],[Net_Sales]]&gt;=100000,"High",IF(Cleaned_Data[[#This Row],[Net_Sales]]&gt;=50000,"Medium","Low"))</f>
        <v>Low</v>
      </c>
    </row>
    <row r="967" spans="1:19" x14ac:dyDescent="0.3">
      <c r="A967" t="s">
        <v>1115</v>
      </c>
      <c r="B967" s="1">
        <v>45168</v>
      </c>
      <c r="C967" t="s">
        <v>59</v>
      </c>
      <c r="D967" t="s">
        <v>60</v>
      </c>
      <c r="E967" t="s">
        <v>37</v>
      </c>
      <c r="F967" t="s">
        <v>101</v>
      </c>
      <c r="G967" t="s">
        <v>25</v>
      </c>
      <c r="H967" t="s">
        <v>108</v>
      </c>
      <c r="I967">
        <v>2</v>
      </c>
      <c r="J967" s="8">
        <v>2600</v>
      </c>
      <c r="K967">
        <v>5</v>
      </c>
      <c r="L967" t="s">
        <v>103</v>
      </c>
      <c r="M967" s="5">
        <f>Cleaned_Data[[#This Row],[Quantity]]*Cleaned_Data[[#This Row],[Unit_Price]]</f>
        <v>5200</v>
      </c>
      <c r="N967" s="7">
        <f>Cleaned_Data[[#This Row],[Total_sales]]*(Cleaned_Data[[#This Row],[Discount_Percent]]/100)</f>
        <v>260</v>
      </c>
      <c r="O967" s="7">
        <f>Cleaned_Data[[#This Row],[Total_sales]]-Cleaned_Data[[#This Row],[Discount_Amount]]</f>
        <v>4940</v>
      </c>
      <c r="P967" t="str">
        <f>TEXT(Cleaned_Data[[#This Row],[Order_Date]],"MMM-YYYY")</f>
        <v>Aug-2023</v>
      </c>
      <c r="Q967" t="str">
        <f>"Q"&amp;ROUNDUP(MONTH(Cleaned_Data[[#This Row],[Order_Date]])/3,0)&amp;"-2023"</f>
        <v>Q3-2023</v>
      </c>
      <c r="R967" t="str">
        <f>TEXT(Cleaned_Data[[#This Row],[Order_Date]],"DDD")</f>
        <v>Wed</v>
      </c>
      <c r="S967" t="str">
        <f>IF(Cleaned_Data[[#This Row],[Net_Sales]]&gt;=100000,"High",IF(Cleaned_Data[[#This Row],[Net_Sales]]&gt;=50000,"Medium","Low"))</f>
        <v>Low</v>
      </c>
    </row>
    <row r="968" spans="1:19" x14ac:dyDescent="0.3">
      <c r="A968" t="s">
        <v>1116</v>
      </c>
      <c r="B968" s="1">
        <v>45199</v>
      </c>
      <c r="C968" t="s">
        <v>165</v>
      </c>
      <c r="D968" t="s">
        <v>166</v>
      </c>
      <c r="E968" t="s">
        <v>66</v>
      </c>
      <c r="F968" t="s">
        <v>92</v>
      </c>
      <c r="G968" t="s">
        <v>97</v>
      </c>
      <c r="H968" t="s">
        <v>154</v>
      </c>
      <c r="I968">
        <v>1</v>
      </c>
      <c r="J968" s="8">
        <v>66400</v>
      </c>
      <c r="K968">
        <v>10</v>
      </c>
      <c r="L968" t="s">
        <v>27</v>
      </c>
      <c r="M968" s="5">
        <f>Cleaned_Data[[#This Row],[Quantity]]*Cleaned_Data[[#This Row],[Unit_Price]]</f>
        <v>66400</v>
      </c>
      <c r="N968" s="7">
        <f>Cleaned_Data[[#This Row],[Total_sales]]*(Cleaned_Data[[#This Row],[Discount_Percent]]/100)</f>
        <v>6640</v>
      </c>
      <c r="O968" s="7">
        <f>Cleaned_Data[[#This Row],[Total_sales]]-Cleaned_Data[[#This Row],[Discount_Amount]]</f>
        <v>59760</v>
      </c>
      <c r="P968" t="str">
        <f>TEXT(Cleaned_Data[[#This Row],[Order_Date]],"MMM-YYYY")</f>
        <v>Sep-2023</v>
      </c>
      <c r="Q968" t="str">
        <f>"Q"&amp;ROUNDUP(MONTH(Cleaned_Data[[#This Row],[Order_Date]])/3,0)&amp;"-2023"</f>
        <v>Q3-2023</v>
      </c>
      <c r="R968" t="str">
        <f>TEXT(Cleaned_Data[[#This Row],[Order_Date]],"DDD")</f>
        <v>Sat</v>
      </c>
      <c r="S968" t="str">
        <f>IF(Cleaned_Data[[#This Row],[Net_Sales]]&gt;=100000,"High",IF(Cleaned_Data[[#This Row],[Net_Sales]]&gt;=50000,"Medium","Low"))</f>
        <v>Medium</v>
      </c>
    </row>
    <row r="969" spans="1:19" x14ac:dyDescent="0.3">
      <c r="A969" t="s">
        <v>1117</v>
      </c>
      <c r="B969" s="1">
        <v>45199</v>
      </c>
      <c r="C969" t="s">
        <v>105</v>
      </c>
      <c r="D969" t="s">
        <v>106</v>
      </c>
      <c r="E969" t="s">
        <v>66</v>
      </c>
      <c r="F969" t="s">
        <v>87</v>
      </c>
      <c r="G969" t="s">
        <v>17</v>
      </c>
      <c r="H969" t="s">
        <v>18</v>
      </c>
      <c r="I969">
        <v>1</v>
      </c>
      <c r="J969" s="8">
        <v>39400</v>
      </c>
      <c r="K969">
        <v>5</v>
      </c>
      <c r="L969" t="s">
        <v>62</v>
      </c>
      <c r="M969" s="5">
        <f>Cleaned_Data[[#This Row],[Quantity]]*Cleaned_Data[[#This Row],[Unit_Price]]</f>
        <v>39400</v>
      </c>
      <c r="N969" s="7">
        <f>Cleaned_Data[[#This Row],[Total_sales]]*(Cleaned_Data[[#This Row],[Discount_Percent]]/100)</f>
        <v>1970</v>
      </c>
      <c r="O969" s="7">
        <f>Cleaned_Data[[#This Row],[Total_sales]]-Cleaned_Data[[#This Row],[Discount_Amount]]</f>
        <v>37430</v>
      </c>
      <c r="P969" t="str">
        <f>TEXT(Cleaned_Data[[#This Row],[Order_Date]],"MMM-YYYY")</f>
        <v>Sep-2023</v>
      </c>
      <c r="Q969" t="str">
        <f>"Q"&amp;ROUNDUP(MONTH(Cleaned_Data[[#This Row],[Order_Date]])/3,0)&amp;"-2023"</f>
        <v>Q3-2023</v>
      </c>
      <c r="R969" t="str">
        <f>TEXT(Cleaned_Data[[#This Row],[Order_Date]],"DDD")</f>
        <v>Sat</v>
      </c>
      <c r="S969" t="str">
        <f>IF(Cleaned_Data[[#This Row],[Net_Sales]]&gt;=100000,"High",IF(Cleaned_Data[[#This Row],[Net_Sales]]&gt;=50000,"Medium","Low"))</f>
        <v>Low</v>
      </c>
    </row>
    <row r="970" spans="1:19" x14ac:dyDescent="0.3">
      <c r="A970" t="s">
        <v>1118</v>
      </c>
      <c r="B970" s="1">
        <v>45199</v>
      </c>
      <c r="C970" t="s">
        <v>105</v>
      </c>
      <c r="D970" t="s">
        <v>106</v>
      </c>
      <c r="E970" t="s">
        <v>81</v>
      </c>
      <c r="F970" t="s">
        <v>117</v>
      </c>
      <c r="G970" t="s">
        <v>45</v>
      </c>
      <c r="H970" t="s">
        <v>52</v>
      </c>
      <c r="I970">
        <v>1</v>
      </c>
      <c r="J970" s="8">
        <v>27700</v>
      </c>
      <c r="K970">
        <v>5</v>
      </c>
      <c r="L970" t="s">
        <v>47</v>
      </c>
      <c r="M970" s="5">
        <f>Cleaned_Data[[#This Row],[Quantity]]*Cleaned_Data[[#This Row],[Unit_Price]]</f>
        <v>27700</v>
      </c>
      <c r="N970" s="7">
        <f>Cleaned_Data[[#This Row],[Total_sales]]*(Cleaned_Data[[#This Row],[Discount_Percent]]/100)</f>
        <v>1385</v>
      </c>
      <c r="O970" s="7">
        <f>Cleaned_Data[[#This Row],[Total_sales]]-Cleaned_Data[[#This Row],[Discount_Amount]]</f>
        <v>26315</v>
      </c>
      <c r="P970" t="str">
        <f>TEXT(Cleaned_Data[[#This Row],[Order_Date]],"MMM-YYYY")</f>
        <v>Sep-2023</v>
      </c>
      <c r="Q970" t="str">
        <f>"Q"&amp;ROUNDUP(MONTH(Cleaned_Data[[#This Row],[Order_Date]])/3,0)&amp;"-2023"</f>
        <v>Q3-2023</v>
      </c>
      <c r="R970" t="str">
        <f>TEXT(Cleaned_Data[[#This Row],[Order_Date]],"DDD")</f>
        <v>Sat</v>
      </c>
      <c r="S970" t="str">
        <f>IF(Cleaned_Data[[#This Row],[Net_Sales]]&gt;=100000,"High",IF(Cleaned_Data[[#This Row],[Net_Sales]]&gt;=50000,"Medium","Low"))</f>
        <v>Low</v>
      </c>
    </row>
    <row r="971" spans="1:19" x14ac:dyDescent="0.3">
      <c r="A971" t="s">
        <v>1119</v>
      </c>
      <c r="B971" s="1">
        <v>45229</v>
      </c>
      <c r="C971" t="s">
        <v>284</v>
      </c>
      <c r="D971" t="s">
        <v>285</v>
      </c>
      <c r="E971" t="s">
        <v>37</v>
      </c>
      <c r="F971" t="s">
        <v>101</v>
      </c>
      <c r="G971" t="s">
        <v>39</v>
      </c>
      <c r="H971" t="s">
        <v>40</v>
      </c>
      <c r="I971">
        <v>1</v>
      </c>
      <c r="J971" s="8">
        <v>24600</v>
      </c>
      <c r="K971">
        <v>20</v>
      </c>
      <c r="L971" t="s">
        <v>73</v>
      </c>
      <c r="M971" s="5">
        <f>Cleaned_Data[[#This Row],[Quantity]]*Cleaned_Data[[#This Row],[Unit_Price]]</f>
        <v>24600</v>
      </c>
      <c r="N971" s="7">
        <f>Cleaned_Data[[#This Row],[Total_sales]]*(Cleaned_Data[[#This Row],[Discount_Percent]]/100)</f>
        <v>4920</v>
      </c>
      <c r="O971" s="7">
        <f>Cleaned_Data[[#This Row],[Total_sales]]-Cleaned_Data[[#This Row],[Discount_Amount]]</f>
        <v>19680</v>
      </c>
      <c r="P971" t="str">
        <f>TEXT(Cleaned_Data[[#This Row],[Order_Date]],"MMM-YYYY")</f>
        <v>Oct-2023</v>
      </c>
      <c r="Q971" t="str">
        <f>"Q"&amp;ROUNDUP(MONTH(Cleaned_Data[[#This Row],[Order_Date]])/3,0)&amp;"-2023"</f>
        <v>Q4-2023</v>
      </c>
      <c r="R971" t="str">
        <f>TEXT(Cleaned_Data[[#This Row],[Order_Date]],"DDD")</f>
        <v>Mon</v>
      </c>
      <c r="S971" t="str">
        <f>IF(Cleaned_Data[[#This Row],[Net_Sales]]&gt;=100000,"High",IF(Cleaned_Data[[#This Row],[Net_Sales]]&gt;=50000,"Medium","Low"))</f>
        <v>Low</v>
      </c>
    </row>
    <row r="972" spans="1:19" x14ac:dyDescent="0.3">
      <c r="A972" t="s">
        <v>1120</v>
      </c>
      <c r="B972" s="1">
        <v>45229</v>
      </c>
      <c r="C972" t="s">
        <v>135</v>
      </c>
      <c r="D972" t="s">
        <v>136</v>
      </c>
      <c r="E972" t="s">
        <v>66</v>
      </c>
      <c r="F972" t="s">
        <v>92</v>
      </c>
      <c r="G972" t="s">
        <v>45</v>
      </c>
      <c r="H972" t="s">
        <v>52</v>
      </c>
      <c r="I972">
        <v>1</v>
      </c>
      <c r="J972" s="8">
        <v>35800</v>
      </c>
      <c r="K972">
        <v>0</v>
      </c>
      <c r="L972" t="s">
        <v>103</v>
      </c>
      <c r="M972" s="5">
        <f>Cleaned_Data[[#This Row],[Quantity]]*Cleaned_Data[[#This Row],[Unit_Price]]</f>
        <v>35800</v>
      </c>
      <c r="N972" s="7">
        <f>Cleaned_Data[[#This Row],[Total_sales]]*(Cleaned_Data[[#This Row],[Discount_Percent]]/100)</f>
        <v>0</v>
      </c>
      <c r="O972" s="7">
        <f>Cleaned_Data[[#This Row],[Total_sales]]-Cleaned_Data[[#This Row],[Discount_Amount]]</f>
        <v>35800</v>
      </c>
      <c r="P972" t="str">
        <f>TEXT(Cleaned_Data[[#This Row],[Order_Date]],"MMM-YYYY")</f>
        <v>Oct-2023</v>
      </c>
      <c r="Q972" t="str">
        <f>"Q"&amp;ROUNDUP(MONTH(Cleaned_Data[[#This Row],[Order_Date]])/3,0)&amp;"-2023"</f>
        <v>Q4-2023</v>
      </c>
      <c r="R972" t="str">
        <f>TEXT(Cleaned_Data[[#This Row],[Order_Date]],"DDD")</f>
        <v>Mon</v>
      </c>
      <c r="S972" t="str">
        <f>IF(Cleaned_Data[[#This Row],[Net_Sales]]&gt;=100000,"High",IF(Cleaned_Data[[#This Row],[Net_Sales]]&gt;=50000,"Medium","Low"))</f>
        <v>Low</v>
      </c>
    </row>
    <row r="973" spans="1:19" x14ac:dyDescent="0.3">
      <c r="A973" t="s">
        <v>1121</v>
      </c>
      <c r="B973" s="1">
        <v>45229</v>
      </c>
      <c r="C973" t="s">
        <v>284</v>
      </c>
      <c r="D973" t="s">
        <v>285</v>
      </c>
      <c r="E973" t="s">
        <v>15</v>
      </c>
      <c r="F973" t="s">
        <v>119</v>
      </c>
      <c r="G973" t="s">
        <v>39</v>
      </c>
      <c r="H973" t="s">
        <v>68</v>
      </c>
      <c r="I973">
        <v>1</v>
      </c>
      <c r="J973" s="8">
        <v>26300</v>
      </c>
      <c r="K973">
        <v>20</v>
      </c>
      <c r="L973" t="s">
        <v>47</v>
      </c>
      <c r="M973" s="5">
        <f>Cleaned_Data[[#This Row],[Quantity]]*Cleaned_Data[[#This Row],[Unit_Price]]</f>
        <v>26300</v>
      </c>
      <c r="N973" s="7">
        <f>Cleaned_Data[[#This Row],[Total_sales]]*(Cleaned_Data[[#This Row],[Discount_Percent]]/100)</f>
        <v>5260</v>
      </c>
      <c r="O973" s="7">
        <f>Cleaned_Data[[#This Row],[Total_sales]]-Cleaned_Data[[#This Row],[Discount_Amount]]</f>
        <v>21040</v>
      </c>
      <c r="P973" t="str">
        <f>TEXT(Cleaned_Data[[#This Row],[Order_Date]],"MMM-YYYY")</f>
        <v>Oct-2023</v>
      </c>
      <c r="Q973" t="str">
        <f>"Q"&amp;ROUNDUP(MONTH(Cleaned_Data[[#This Row],[Order_Date]])/3,0)&amp;"-2023"</f>
        <v>Q4-2023</v>
      </c>
      <c r="R973" t="str">
        <f>TEXT(Cleaned_Data[[#This Row],[Order_Date]],"DDD")</f>
        <v>Mon</v>
      </c>
      <c r="S973" t="str">
        <f>IF(Cleaned_Data[[#This Row],[Net_Sales]]&gt;=100000,"High",IF(Cleaned_Data[[#This Row],[Net_Sales]]&gt;=50000,"Medium","Low"))</f>
        <v>Low</v>
      </c>
    </row>
    <row r="974" spans="1:19" x14ac:dyDescent="0.3">
      <c r="A974" t="s">
        <v>1122</v>
      </c>
      <c r="B974" s="1">
        <v>45260</v>
      </c>
      <c r="C974" t="s">
        <v>185</v>
      </c>
      <c r="D974" t="s">
        <v>186</v>
      </c>
      <c r="E974" t="s">
        <v>37</v>
      </c>
      <c r="F974" t="s">
        <v>61</v>
      </c>
      <c r="G974" t="s">
        <v>39</v>
      </c>
      <c r="H974" t="s">
        <v>102</v>
      </c>
      <c r="I974">
        <v>1</v>
      </c>
      <c r="J974" s="8">
        <v>21300</v>
      </c>
      <c r="K974">
        <v>0</v>
      </c>
      <c r="L974" t="s">
        <v>103</v>
      </c>
      <c r="M974" s="5">
        <f>Cleaned_Data[[#This Row],[Quantity]]*Cleaned_Data[[#This Row],[Unit_Price]]</f>
        <v>21300</v>
      </c>
      <c r="N974" s="7">
        <f>Cleaned_Data[[#This Row],[Total_sales]]*(Cleaned_Data[[#This Row],[Discount_Percent]]/100)</f>
        <v>0</v>
      </c>
      <c r="O974" s="7">
        <f>Cleaned_Data[[#This Row],[Total_sales]]-Cleaned_Data[[#This Row],[Discount_Amount]]</f>
        <v>21300</v>
      </c>
      <c r="P974" t="str">
        <f>TEXT(Cleaned_Data[[#This Row],[Order_Date]],"MMM-YYYY")</f>
        <v>Nov-2023</v>
      </c>
      <c r="Q974" t="str">
        <f>"Q"&amp;ROUNDUP(MONTH(Cleaned_Data[[#This Row],[Order_Date]])/3,0)&amp;"-2023"</f>
        <v>Q4-2023</v>
      </c>
      <c r="R974" t="str">
        <f>TEXT(Cleaned_Data[[#This Row],[Order_Date]],"DDD")</f>
        <v>Thu</v>
      </c>
      <c r="S974" t="str">
        <f>IF(Cleaned_Data[[#This Row],[Net_Sales]]&gt;=100000,"High",IF(Cleaned_Data[[#This Row],[Net_Sales]]&gt;=50000,"Medium","Low"))</f>
        <v>Low</v>
      </c>
    </row>
    <row r="975" spans="1:19" x14ac:dyDescent="0.3">
      <c r="A975" t="s">
        <v>1123</v>
      </c>
      <c r="B975" s="1">
        <v>45260</v>
      </c>
      <c r="C975" t="s">
        <v>188</v>
      </c>
      <c r="D975" t="s">
        <v>189</v>
      </c>
      <c r="E975" t="s">
        <v>15</v>
      </c>
      <c r="F975" t="s">
        <v>16</v>
      </c>
      <c r="G975" t="s">
        <v>45</v>
      </c>
      <c r="H975" t="s">
        <v>156</v>
      </c>
      <c r="I975">
        <v>1</v>
      </c>
      <c r="J975" s="8">
        <v>26700</v>
      </c>
      <c r="K975">
        <v>25</v>
      </c>
      <c r="L975" t="s">
        <v>47</v>
      </c>
      <c r="M975" s="5">
        <f>Cleaned_Data[[#This Row],[Quantity]]*Cleaned_Data[[#This Row],[Unit_Price]]</f>
        <v>26700</v>
      </c>
      <c r="N975" s="7">
        <f>Cleaned_Data[[#This Row],[Total_sales]]*(Cleaned_Data[[#This Row],[Discount_Percent]]/100)</f>
        <v>6675</v>
      </c>
      <c r="O975" s="7">
        <f>Cleaned_Data[[#This Row],[Total_sales]]-Cleaned_Data[[#This Row],[Discount_Amount]]</f>
        <v>20025</v>
      </c>
      <c r="P975" t="str">
        <f>TEXT(Cleaned_Data[[#This Row],[Order_Date]],"MMM-YYYY")</f>
        <v>Nov-2023</v>
      </c>
      <c r="Q975" t="str">
        <f>"Q"&amp;ROUNDUP(MONTH(Cleaned_Data[[#This Row],[Order_Date]])/3,0)&amp;"-2023"</f>
        <v>Q4-2023</v>
      </c>
      <c r="R975" t="str">
        <f>TEXT(Cleaned_Data[[#This Row],[Order_Date]],"DDD")</f>
        <v>Thu</v>
      </c>
      <c r="S975" t="str">
        <f>IF(Cleaned_Data[[#This Row],[Net_Sales]]&gt;=100000,"High",IF(Cleaned_Data[[#This Row],[Net_Sales]]&gt;=50000,"Medium","Low"))</f>
        <v>Low</v>
      </c>
    </row>
    <row r="976" spans="1:19" x14ac:dyDescent="0.3">
      <c r="A976" t="s">
        <v>1124</v>
      </c>
      <c r="B976" s="1">
        <v>45290</v>
      </c>
      <c r="C976" t="s">
        <v>70</v>
      </c>
      <c r="D976" t="s">
        <v>71</v>
      </c>
      <c r="E976" t="s">
        <v>66</v>
      </c>
      <c r="F976" t="s">
        <v>92</v>
      </c>
      <c r="G976" t="s">
        <v>97</v>
      </c>
      <c r="H976" t="s">
        <v>133</v>
      </c>
      <c r="I976">
        <v>1</v>
      </c>
      <c r="J976" s="8">
        <v>55100</v>
      </c>
      <c r="K976">
        <v>0</v>
      </c>
      <c r="L976" t="s">
        <v>62</v>
      </c>
      <c r="M976" s="5">
        <f>Cleaned_Data[[#This Row],[Quantity]]*Cleaned_Data[[#This Row],[Unit_Price]]</f>
        <v>55100</v>
      </c>
      <c r="N976" s="7">
        <f>Cleaned_Data[[#This Row],[Total_sales]]*(Cleaned_Data[[#This Row],[Discount_Percent]]/100)</f>
        <v>0</v>
      </c>
      <c r="O976" s="7">
        <f>Cleaned_Data[[#This Row],[Total_sales]]-Cleaned_Data[[#This Row],[Discount_Amount]]</f>
        <v>55100</v>
      </c>
      <c r="P976" t="str">
        <f>TEXT(Cleaned_Data[[#This Row],[Order_Date]],"MMM-YYYY")</f>
        <v>Dec-2023</v>
      </c>
      <c r="Q976" t="str">
        <f>"Q"&amp;ROUNDUP(MONTH(Cleaned_Data[[#This Row],[Order_Date]])/3,0)&amp;"-2023"</f>
        <v>Q4-2023</v>
      </c>
      <c r="R976" t="str">
        <f>TEXT(Cleaned_Data[[#This Row],[Order_Date]],"DDD")</f>
        <v>Sat</v>
      </c>
      <c r="S976" t="str">
        <f>IF(Cleaned_Data[[#This Row],[Net_Sales]]&gt;=100000,"High",IF(Cleaned_Data[[#This Row],[Net_Sales]]&gt;=50000,"Medium","Low"))</f>
        <v>Medium</v>
      </c>
    </row>
    <row r="977" spans="1:19" x14ac:dyDescent="0.3">
      <c r="A977" t="s">
        <v>1125</v>
      </c>
      <c r="B977" s="1">
        <v>45290</v>
      </c>
      <c r="C977" t="s">
        <v>147</v>
      </c>
      <c r="D977" t="s">
        <v>148</v>
      </c>
      <c r="E977" t="s">
        <v>15</v>
      </c>
      <c r="F977" t="s">
        <v>128</v>
      </c>
      <c r="G977" t="s">
        <v>17</v>
      </c>
      <c r="H977" t="s">
        <v>196</v>
      </c>
      <c r="I977">
        <v>1</v>
      </c>
      <c r="J977" s="8">
        <v>53000</v>
      </c>
      <c r="K977">
        <v>10</v>
      </c>
      <c r="L977" t="s">
        <v>73</v>
      </c>
      <c r="M977" s="5">
        <f>Cleaned_Data[[#This Row],[Quantity]]*Cleaned_Data[[#This Row],[Unit_Price]]</f>
        <v>53000</v>
      </c>
      <c r="N977" s="7">
        <f>Cleaned_Data[[#This Row],[Total_sales]]*(Cleaned_Data[[#This Row],[Discount_Percent]]/100)</f>
        <v>5300</v>
      </c>
      <c r="O977" s="7">
        <f>Cleaned_Data[[#This Row],[Total_sales]]-Cleaned_Data[[#This Row],[Discount_Amount]]</f>
        <v>47700</v>
      </c>
      <c r="P977" t="str">
        <f>TEXT(Cleaned_Data[[#This Row],[Order_Date]],"MMM-YYYY")</f>
        <v>Dec-2023</v>
      </c>
      <c r="Q977" t="str">
        <f>"Q"&amp;ROUNDUP(MONTH(Cleaned_Data[[#This Row],[Order_Date]])/3,0)&amp;"-2023"</f>
        <v>Q4-2023</v>
      </c>
      <c r="R977" t="str">
        <f>TEXT(Cleaned_Data[[#This Row],[Order_Date]],"DDD")</f>
        <v>Sat</v>
      </c>
      <c r="S977" t="str">
        <f>IF(Cleaned_Data[[#This Row],[Net_Sales]]&gt;=100000,"High",IF(Cleaned_Data[[#This Row],[Net_Sales]]&gt;=50000,"Medium","Low"))</f>
        <v>Low</v>
      </c>
    </row>
    <row r="978" spans="1:19" x14ac:dyDescent="0.3">
      <c r="A978" t="s">
        <v>1126</v>
      </c>
      <c r="B978" s="1">
        <v>45290</v>
      </c>
      <c r="C978" t="s">
        <v>143</v>
      </c>
      <c r="D978" t="s">
        <v>144</v>
      </c>
      <c r="E978" t="s">
        <v>23</v>
      </c>
      <c r="F978" t="s">
        <v>24</v>
      </c>
      <c r="G978" t="s">
        <v>45</v>
      </c>
      <c r="H978" t="s">
        <v>207</v>
      </c>
      <c r="I978">
        <v>1</v>
      </c>
      <c r="J978" s="8">
        <v>39600</v>
      </c>
      <c r="K978">
        <v>0</v>
      </c>
      <c r="L978" t="s">
        <v>62</v>
      </c>
      <c r="M978" s="5">
        <f>Cleaned_Data[[#This Row],[Quantity]]*Cleaned_Data[[#This Row],[Unit_Price]]</f>
        <v>39600</v>
      </c>
      <c r="N978" s="7">
        <f>Cleaned_Data[[#This Row],[Total_sales]]*(Cleaned_Data[[#This Row],[Discount_Percent]]/100)</f>
        <v>0</v>
      </c>
      <c r="O978" s="7">
        <f>Cleaned_Data[[#This Row],[Total_sales]]-Cleaned_Data[[#This Row],[Discount_Amount]]</f>
        <v>39600</v>
      </c>
      <c r="P978" t="str">
        <f>TEXT(Cleaned_Data[[#This Row],[Order_Date]],"MMM-YYYY")</f>
        <v>Dec-2023</v>
      </c>
      <c r="Q978" t="str">
        <f>"Q"&amp;ROUNDUP(MONTH(Cleaned_Data[[#This Row],[Order_Date]])/3,0)&amp;"-2023"</f>
        <v>Q4-2023</v>
      </c>
      <c r="R978" t="str">
        <f>TEXT(Cleaned_Data[[#This Row],[Order_Date]],"DDD")</f>
        <v>Sat</v>
      </c>
      <c r="S978" t="str">
        <f>IF(Cleaned_Data[[#This Row],[Net_Sales]]&gt;=100000,"High",IF(Cleaned_Data[[#This Row],[Net_Sales]]&gt;=50000,"Medium","Low"))</f>
        <v>Low</v>
      </c>
    </row>
    <row r="979" spans="1:19" x14ac:dyDescent="0.3">
      <c r="A979" t="s">
        <v>1127</v>
      </c>
      <c r="B979" s="1">
        <v>45290</v>
      </c>
      <c r="C979" t="s">
        <v>210</v>
      </c>
      <c r="D979" t="s">
        <v>211</v>
      </c>
      <c r="E979" t="s">
        <v>81</v>
      </c>
      <c r="F979" t="s">
        <v>110</v>
      </c>
      <c r="G979" t="s">
        <v>45</v>
      </c>
      <c r="H979" t="s">
        <v>156</v>
      </c>
      <c r="I979">
        <v>2</v>
      </c>
      <c r="J979" s="8">
        <v>38100</v>
      </c>
      <c r="K979">
        <v>10</v>
      </c>
      <c r="L979" t="s">
        <v>73</v>
      </c>
      <c r="M979" s="5">
        <f>Cleaned_Data[[#This Row],[Quantity]]*Cleaned_Data[[#This Row],[Unit_Price]]</f>
        <v>76200</v>
      </c>
      <c r="N979" s="7">
        <f>Cleaned_Data[[#This Row],[Total_sales]]*(Cleaned_Data[[#This Row],[Discount_Percent]]/100)</f>
        <v>7620</v>
      </c>
      <c r="O979" s="7">
        <f>Cleaned_Data[[#This Row],[Total_sales]]-Cleaned_Data[[#This Row],[Discount_Amount]]</f>
        <v>68580</v>
      </c>
      <c r="P979" t="str">
        <f>TEXT(Cleaned_Data[[#This Row],[Order_Date]],"MMM-YYYY")</f>
        <v>Dec-2023</v>
      </c>
      <c r="Q979" t="str">
        <f>"Q"&amp;ROUNDUP(MONTH(Cleaned_Data[[#This Row],[Order_Date]])/3,0)&amp;"-2023"</f>
        <v>Q4-2023</v>
      </c>
      <c r="R979" t="str">
        <f>TEXT(Cleaned_Data[[#This Row],[Order_Date]],"DDD")</f>
        <v>Sat</v>
      </c>
      <c r="S979" t="str">
        <f>IF(Cleaned_Data[[#This Row],[Net_Sales]]&gt;=100000,"High",IF(Cleaned_Data[[#This Row],[Net_Sales]]&gt;=50000,"Medium","Low"))</f>
        <v>Medium</v>
      </c>
    </row>
    <row r="980" spans="1:19" x14ac:dyDescent="0.3">
      <c r="A980" t="s">
        <v>1128</v>
      </c>
      <c r="B980" s="1">
        <v>45290</v>
      </c>
      <c r="C980" t="s">
        <v>105</v>
      </c>
      <c r="D980" t="s">
        <v>106</v>
      </c>
      <c r="E980" t="s">
        <v>23</v>
      </c>
      <c r="F980" t="s">
        <v>31</v>
      </c>
      <c r="G980" t="s">
        <v>39</v>
      </c>
      <c r="H980" t="s">
        <v>68</v>
      </c>
      <c r="I980">
        <v>1</v>
      </c>
      <c r="J980" s="8">
        <v>18300</v>
      </c>
      <c r="K980">
        <v>25</v>
      </c>
      <c r="L980" t="s">
        <v>27</v>
      </c>
      <c r="M980" s="5">
        <f>Cleaned_Data[[#This Row],[Quantity]]*Cleaned_Data[[#This Row],[Unit_Price]]</f>
        <v>18300</v>
      </c>
      <c r="N980" s="7">
        <f>Cleaned_Data[[#This Row],[Total_sales]]*(Cleaned_Data[[#This Row],[Discount_Percent]]/100)</f>
        <v>4575</v>
      </c>
      <c r="O980" s="7">
        <f>Cleaned_Data[[#This Row],[Total_sales]]-Cleaned_Data[[#This Row],[Discount_Amount]]</f>
        <v>13725</v>
      </c>
      <c r="P980" t="str">
        <f>TEXT(Cleaned_Data[[#This Row],[Order_Date]],"MMM-YYYY")</f>
        <v>Dec-2023</v>
      </c>
      <c r="Q980" t="str">
        <f>"Q"&amp;ROUNDUP(MONTH(Cleaned_Data[[#This Row],[Order_Date]])/3,0)&amp;"-2023"</f>
        <v>Q4-2023</v>
      </c>
      <c r="R980" t="str">
        <f>TEXT(Cleaned_Data[[#This Row],[Order_Date]],"DDD")</f>
        <v>Sat</v>
      </c>
      <c r="S980" t="str">
        <f>IF(Cleaned_Data[[#This Row],[Net_Sales]]&gt;=100000,"High",IF(Cleaned_Data[[#This Row],[Net_Sales]]&gt;=50000,"Medium","Low"))</f>
        <v>Low</v>
      </c>
    </row>
    <row r="981" spans="1:19" x14ac:dyDescent="0.3">
      <c r="A981" t="s">
        <v>1129</v>
      </c>
      <c r="B981" s="1">
        <v>45016</v>
      </c>
      <c r="C981" t="s">
        <v>163</v>
      </c>
      <c r="D981" t="s">
        <v>73</v>
      </c>
      <c r="E981" t="s">
        <v>23</v>
      </c>
      <c r="F981" t="s">
        <v>31</v>
      </c>
      <c r="G981" t="s">
        <v>45</v>
      </c>
      <c r="H981" t="s">
        <v>52</v>
      </c>
      <c r="I981">
        <v>1</v>
      </c>
      <c r="J981" s="8">
        <v>38000</v>
      </c>
      <c r="K981">
        <v>10</v>
      </c>
      <c r="L981" t="s">
        <v>19</v>
      </c>
      <c r="M981" s="5">
        <f>Cleaned_Data[[#This Row],[Quantity]]*Cleaned_Data[[#This Row],[Unit_Price]]</f>
        <v>38000</v>
      </c>
      <c r="N981" s="7">
        <f>Cleaned_Data[[#This Row],[Total_sales]]*(Cleaned_Data[[#This Row],[Discount_Percent]]/100)</f>
        <v>3800</v>
      </c>
      <c r="O981" s="7">
        <f>Cleaned_Data[[#This Row],[Total_sales]]-Cleaned_Data[[#This Row],[Discount_Amount]]</f>
        <v>34200</v>
      </c>
      <c r="P981" t="str">
        <f>TEXT(Cleaned_Data[[#This Row],[Order_Date]],"MMM-YYYY")</f>
        <v>Mar-2023</v>
      </c>
      <c r="Q981" t="str">
        <f>"Q"&amp;ROUNDUP(MONTH(Cleaned_Data[[#This Row],[Order_Date]])/3,0)&amp;"-2023"</f>
        <v>Q1-2023</v>
      </c>
      <c r="R981" t="str">
        <f>TEXT(Cleaned_Data[[#This Row],[Order_Date]],"DDD")</f>
        <v>Fri</v>
      </c>
      <c r="S981" t="str">
        <f>IF(Cleaned_Data[[#This Row],[Net_Sales]]&gt;=100000,"High",IF(Cleaned_Data[[#This Row],[Net_Sales]]&gt;=50000,"Medium","Low"))</f>
        <v>Low</v>
      </c>
    </row>
    <row r="982" spans="1:19" x14ac:dyDescent="0.3">
      <c r="A982" t="s">
        <v>1130</v>
      </c>
      <c r="B982" s="1">
        <v>45016</v>
      </c>
      <c r="C982" t="s">
        <v>236</v>
      </c>
      <c r="D982" t="s">
        <v>237</v>
      </c>
      <c r="E982" t="s">
        <v>15</v>
      </c>
      <c r="F982" t="s">
        <v>16</v>
      </c>
      <c r="G982" t="s">
        <v>17</v>
      </c>
      <c r="H982" t="s">
        <v>18</v>
      </c>
      <c r="I982">
        <v>1</v>
      </c>
      <c r="J982" s="8">
        <v>41300</v>
      </c>
      <c r="K982">
        <v>0</v>
      </c>
      <c r="L982" t="s">
        <v>47</v>
      </c>
      <c r="M982" s="5">
        <f>Cleaned_Data[[#This Row],[Quantity]]*Cleaned_Data[[#This Row],[Unit_Price]]</f>
        <v>41300</v>
      </c>
      <c r="N982" s="7">
        <f>Cleaned_Data[[#This Row],[Total_sales]]*(Cleaned_Data[[#This Row],[Discount_Percent]]/100)</f>
        <v>0</v>
      </c>
      <c r="O982" s="7">
        <f>Cleaned_Data[[#This Row],[Total_sales]]-Cleaned_Data[[#This Row],[Discount_Amount]]</f>
        <v>41300</v>
      </c>
      <c r="P982" t="str">
        <f>TEXT(Cleaned_Data[[#This Row],[Order_Date]],"MMM-YYYY")</f>
        <v>Mar-2023</v>
      </c>
      <c r="Q982" t="str">
        <f>"Q"&amp;ROUNDUP(MONTH(Cleaned_Data[[#This Row],[Order_Date]])/3,0)&amp;"-2023"</f>
        <v>Q1-2023</v>
      </c>
      <c r="R982" t="str">
        <f>TEXT(Cleaned_Data[[#This Row],[Order_Date]],"DDD")</f>
        <v>Fri</v>
      </c>
      <c r="S982" t="str">
        <f>IF(Cleaned_Data[[#This Row],[Net_Sales]]&gt;=100000,"High",IF(Cleaned_Data[[#This Row],[Net_Sales]]&gt;=50000,"Medium","Low"))</f>
        <v>Low</v>
      </c>
    </row>
    <row r="983" spans="1:19" x14ac:dyDescent="0.3">
      <c r="A983" t="s">
        <v>1131</v>
      </c>
      <c r="B983" s="1">
        <v>45077</v>
      </c>
      <c r="C983" t="s">
        <v>13</v>
      </c>
      <c r="D983" t="s">
        <v>14</v>
      </c>
      <c r="E983" t="s">
        <v>23</v>
      </c>
      <c r="F983" t="s">
        <v>44</v>
      </c>
      <c r="G983" t="s">
        <v>17</v>
      </c>
      <c r="H983" t="s">
        <v>168</v>
      </c>
      <c r="I983">
        <v>1</v>
      </c>
      <c r="J983" s="8">
        <v>42500</v>
      </c>
      <c r="K983">
        <v>20</v>
      </c>
      <c r="L983" t="s">
        <v>53</v>
      </c>
      <c r="M983" s="5">
        <f>Cleaned_Data[[#This Row],[Quantity]]*Cleaned_Data[[#This Row],[Unit_Price]]</f>
        <v>42500</v>
      </c>
      <c r="N983" s="7">
        <f>Cleaned_Data[[#This Row],[Total_sales]]*(Cleaned_Data[[#This Row],[Discount_Percent]]/100)</f>
        <v>8500</v>
      </c>
      <c r="O983" s="7">
        <f>Cleaned_Data[[#This Row],[Total_sales]]-Cleaned_Data[[#This Row],[Discount_Amount]]</f>
        <v>34000</v>
      </c>
      <c r="P983" t="str">
        <f>TEXT(Cleaned_Data[[#This Row],[Order_Date]],"MMM-YYYY")</f>
        <v>May-2023</v>
      </c>
      <c r="Q983" t="str">
        <f>"Q"&amp;ROUNDUP(MONTH(Cleaned_Data[[#This Row],[Order_Date]])/3,0)&amp;"-2023"</f>
        <v>Q2-2023</v>
      </c>
      <c r="R983" t="str">
        <f>TEXT(Cleaned_Data[[#This Row],[Order_Date]],"DDD")</f>
        <v>Wed</v>
      </c>
      <c r="S983" t="str">
        <f>IF(Cleaned_Data[[#This Row],[Net_Sales]]&gt;=100000,"High",IF(Cleaned_Data[[#This Row],[Net_Sales]]&gt;=50000,"Medium","Low"))</f>
        <v>Low</v>
      </c>
    </row>
    <row r="984" spans="1:19" x14ac:dyDescent="0.3">
      <c r="A984" t="s">
        <v>1132</v>
      </c>
      <c r="B984" s="1">
        <v>45077</v>
      </c>
      <c r="C984" t="s">
        <v>42</v>
      </c>
      <c r="D984" t="s">
        <v>43</v>
      </c>
      <c r="E984" t="s">
        <v>66</v>
      </c>
      <c r="F984" t="s">
        <v>87</v>
      </c>
      <c r="G984" t="s">
        <v>25</v>
      </c>
      <c r="H984" t="s">
        <v>26</v>
      </c>
      <c r="I984">
        <v>2</v>
      </c>
      <c r="J984" s="8">
        <v>1100</v>
      </c>
      <c r="K984">
        <v>5</v>
      </c>
      <c r="L984" t="s">
        <v>62</v>
      </c>
      <c r="M984" s="5">
        <f>Cleaned_Data[[#This Row],[Quantity]]*Cleaned_Data[[#This Row],[Unit_Price]]</f>
        <v>2200</v>
      </c>
      <c r="N984" s="7">
        <f>Cleaned_Data[[#This Row],[Total_sales]]*(Cleaned_Data[[#This Row],[Discount_Percent]]/100)</f>
        <v>110</v>
      </c>
      <c r="O984" s="7">
        <f>Cleaned_Data[[#This Row],[Total_sales]]-Cleaned_Data[[#This Row],[Discount_Amount]]</f>
        <v>2090</v>
      </c>
      <c r="P984" t="str">
        <f>TEXT(Cleaned_Data[[#This Row],[Order_Date]],"MMM-YYYY")</f>
        <v>May-2023</v>
      </c>
      <c r="Q984" t="str">
        <f>"Q"&amp;ROUNDUP(MONTH(Cleaned_Data[[#This Row],[Order_Date]])/3,0)&amp;"-2023"</f>
        <v>Q2-2023</v>
      </c>
      <c r="R984" t="str">
        <f>TEXT(Cleaned_Data[[#This Row],[Order_Date]],"DDD")</f>
        <v>Wed</v>
      </c>
      <c r="S984" t="str">
        <f>IF(Cleaned_Data[[#This Row],[Net_Sales]]&gt;=100000,"High",IF(Cleaned_Data[[#This Row],[Net_Sales]]&gt;=50000,"Medium","Low"))</f>
        <v>Low</v>
      </c>
    </row>
    <row r="985" spans="1:19" x14ac:dyDescent="0.3">
      <c r="A985" t="s">
        <v>1133</v>
      </c>
      <c r="B985" s="1">
        <v>45138</v>
      </c>
      <c r="C985" t="s">
        <v>29</v>
      </c>
      <c r="D985" t="s">
        <v>30</v>
      </c>
      <c r="E985" t="s">
        <v>23</v>
      </c>
      <c r="F985" t="s">
        <v>31</v>
      </c>
      <c r="G985" t="s">
        <v>45</v>
      </c>
      <c r="H985" t="s">
        <v>46</v>
      </c>
      <c r="I985">
        <v>1</v>
      </c>
      <c r="J985" s="8">
        <v>39900</v>
      </c>
      <c r="K985">
        <v>0</v>
      </c>
      <c r="L985" t="s">
        <v>47</v>
      </c>
      <c r="M985" s="5">
        <f>Cleaned_Data[[#This Row],[Quantity]]*Cleaned_Data[[#This Row],[Unit_Price]]</f>
        <v>39900</v>
      </c>
      <c r="N985" s="7">
        <f>Cleaned_Data[[#This Row],[Total_sales]]*(Cleaned_Data[[#This Row],[Discount_Percent]]/100)</f>
        <v>0</v>
      </c>
      <c r="O985" s="7">
        <f>Cleaned_Data[[#This Row],[Total_sales]]-Cleaned_Data[[#This Row],[Discount_Amount]]</f>
        <v>39900</v>
      </c>
      <c r="P985" t="str">
        <f>TEXT(Cleaned_Data[[#This Row],[Order_Date]],"MMM-YYYY")</f>
        <v>Jul-2023</v>
      </c>
      <c r="Q985" t="str">
        <f>"Q"&amp;ROUNDUP(MONTH(Cleaned_Data[[#This Row],[Order_Date]])/3,0)&amp;"-2023"</f>
        <v>Q3-2023</v>
      </c>
      <c r="R985" t="str">
        <f>TEXT(Cleaned_Data[[#This Row],[Order_Date]],"DDD")</f>
        <v>Mon</v>
      </c>
      <c r="S985" t="str">
        <f>IF(Cleaned_Data[[#This Row],[Net_Sales]]&gt;=100000,"High",IF(Cleaned_Data[[#This Row],[Net_Sales]]&gt;=50000,"Medium","Low"))</f>
        <v>Low</v>
      </c>
    </row>
    <row r="986" spans="1:19" x14ac:dyDescent="0.3">
      <c r="A986" t="s">
        <v>1134</v>
      </c>
      <c r="B986" s="1">
        <v>45138</v>
      </c>
      <c r="C986" t="s">
        <v>158</v>
      </c>
      <c r="D986" t="s">
        <v>159</v>
      </c>
      <c r="E986" t="s">
        <v>37</v>
      </c>
      <c r="F986" t="s">
        <v>38</v>
      </c>
      <c r="G986" t="s">
        <v>17</v>
      </c>
      <c r="H986" t="s">
        <v>88</v>
      </c>
      <c r="I986">
        <v>1</v>
      </c>
      <c r="J986" s="8">
        <v>15400</v>
      </c>
      <c r="K986">
        <v>0</v>
      </c>
      <c r="L986" t="s">
        <v>73</v>
      </c>
      <c r="M986" s="5">
        <f>Cleaned_Data[[#This Row],[Quantity]]*Cleaned_Data[[#This Row],[Unit_Price]]</f>
        <v>15400</v>
      </c>
      <c r="N986" s="7">
        <f>Cleaned_Data[[#This Row],[Total_sales]]*(Cleaned_Data[[#This Row],[Discount_Percent]]/100)</f>
        <v>0</v>
      </c>
      <c r="O986" s="7">
        <f>Cleaned_Data[[#This Row],[Total_sales]]-Cleaned_Data[[#This Row],[Discount_Amount]]</f>
        <v>15400</v>
      </c>
      <c r="P986" t="str">
        <f>TEXT(Cleaned_Data[[#This Row],[Order_Date]],"MMM-YYYY")</f>
        <v>Jul-2023</v>
      </c>
      <c r="Q986" t="str">
        <f>"Q"&amp;ROUNDUP(MONTH(Cleaned_Data[[#This Row],[Order_Date]])/3,0)&amp;"-2023"</f>
        <v>Q3-2023</v>
      </c>
      <c r="R986" t="str">
        <f>TEXT(Cleaned_Data[[#This Row],[Order_Date]],"DDD")</f>
        <v>Mon</v>
      </c>
      <c r="S986" t="str">
        <f>IF(Cleaned_Data[[#This Row],[Net_Sales]]&gt;=100000,"High",IF(Cleaned_Data[[#This Row],[Net_Sales]]&gt;=50000,"Medium","Low"))</f>
        <v>Low</v>
      </c>
    </row>
    <row r="987" spans="1:19" x14ac:dyDescent="0.3">
      <c r="A987" t="s">
        <v>1135</v>
      </c>
      <c r="B987" s="1">
        <v>45138</v>
      </c>
      <c r="C987" t="s">
        <v>29</v>
      </c>
      <c r="D987" t="s">
        <v>30</v>
      </c>
      <c r="E987" t="s">
        <v>66</v>
      </c>
      <c r="F987" t="s">
        <v>92</v>
      </c>
      <c r="G987" t="s">
        <v>25</v>
      </c>
      <c r="H987" t="s">
        <v>124</v>
      </c>
      <c r="I987">
        <v>2</v>
      </c>
      <c r="J987" s="8">
        <v>2300</v>
      </c>
      <c r="K987">
        <v>0</v>
      </c>
      <c r="L987" t="s">
        <v>19</v>
      </c>
      <c r="M987" s="5">
        <f>Cleaned_Data[[#This Row],[Quantity]]*Cleaned_Data[[#This Row],[Unit_Price]]</f>
        <v>4600</v>
      </c>
      <c r="N987" s="7">
        <f>Cleaned_Data[[#This Row],[Total_sales]]*(Cleaned_Data[[#This Row],[Discount_Percent]]/100)</f>
        <v>0</v>
      </c>
      <c r="O987" s="7">
        <f>Cleaned_Data[[#This Row],[Total_sales]]-Cleaned_Data[[#This Row],[Discount_Amount]]</f>
        <v>4600</v>
      </c>
      <c r="P987" t="str">
        <f>TEXT(Cleaned_Data[[#This Row],[Order_Date]],"MMM-YYYY")</f>
        <v>Jul-2023</v>
      </c>
      <c r="Q987" t="str">
        <f>"Q"&amp;ROUNDUP(MONTH(Cleaned_Data[[#This Row],[Order_Date]])/3,0)&amp;"-2023"</f>
        <v>Q3-2023</v>
      </c>
      <c r="R987" t="str">
        <f>TEXT(Cleaned_Data[[#This Row],[Order_Date]],"DDD")</f>
        <v>Mon</v>
      </c>
      <c r="S987" t="str">
        <f>IF(Cleaned_Data[[#This Row],[Net_Sales]]&gt;=100000,"High",IF(Cleaned_Data[[#This Row],[Net_Sales]]&gt;=50000,"Medium","Low"))</f>
        <v>Low</v>
      </c>
    </row>
    <row r="988" spans="1:19" x14ac:dyDescent="0.3">
      <c r="A988" t="s">
        <v>1136</v>
      </c>
      <c r="B988" s="1">
        <v>45138</v>
      </c>
      <c r="C988" t="s">
        <v>126</v>
      </c>
      <c r="D988" t="s">
        <v>127</v>
      </c>
      <c r="E988" t="s">
        <v>37</v>
      </c>
      <c r="F988" t="s">
        <v>38</v>
      </c>
      <c r="G988" t="s">
        <v>97</v>
      </c>
      <c r="H988" t="s">
        <v>171</v>
      </c>
      <c r="I988">
        <v>1</v>
      </c>
      <c r="J988" s="8">
        <v>56900</v>
      </c>
      <c r="K988">
        <v>5</v>
      </c>
      <c r="L988" t="s">
        <v>19</v>
      </c>
      <c r="M988" s="5">
        <f>Cleaned_Data[[#This Row],[Quantity]]*Cleaned_Data[[#This Row],[Unit_Price]]</f>
        <v>56900</v>
      </c>
      <c r="N988" s="7">
        <f>Cleaned_Data[[#This Row],[Total_sales]]*(Cleaned_Data[[#This Row],[Discount_Percent]]/100)</f>
        <v>2845</v>
      </c>
      <c r="O988" s="7">
        <f>Cleaned_Data[[#This Row],[Total_sales]]-Cleaned_Data[[#This Row],[Discount_Amount]]</f>
        <v>54055</v>
      </c>
      <c r="P988" t="str">
        <f>TEXT(Cleaned_Data[[#This Row],[Order_Date]],"MMM-YYYY")</f>
        <v>Jul-2023</v>
      </c>
      <c r="Q988" t="str">
        <f>"Q"&amp;ROUNDUP(MONTH(Cleaned_Data[[#This Row],[Order_Date]])/3,0)&amp;"-2023"</f>
        <v>Q3-2023</v>
      </c>
      <c r="R988" t="str">
        <f>TEXT(Cleaned_Data[[#This Row],[Order_Date]],"DDD")</f>
        <v>Mon</v>
      </c>
      <c r="S988" t="str">
        <f>IF(Cleaned_Data[[#This Row],[Net_Sales]]&gt;=100000,"High",IF(Cleaned_Data[[#This Row],[Net_Sales]]&gt;=50000,"Medium","Low"))</f>
        <v>Medium</v>
      </c>
    </row>
    <row r="989" spans="1:19" x14ac:dyDescent="0.3">
      <c r="A989" t="s">
        <v>1137</v>
      </c>
      <c r="B989" s="1">
        <v>45138</v>
      </c>
      <c r="C989" t="s">
        <v>13</v>
      </c>
      <c r="D989" t="s">
        <v>14</v>
      </c>
      <c r="E989" t="s">
        <v>81</v>
      </c>
      <c r="F989" t="s">
        <v>160</v>
      </c>
      <c r="G989" t="s">
        <v>97</v>
      </c>
      <c r="H989" t="s">
        <v>154</v>
      </c>
      <c r="I989">
        <v>1</v>
      </c>
      <c r="J989" s="8">
        <v>47900</v>
      </c>
      <c r="K989">
        <v>25</v>
      </c>
      <c r="L989" t="s">
        <v>27</v>
      </c>
      <c r="M989" s="5">
        <f>Cleaned_Data[[#This Row],[Quantity]]*Cleaned_Data[[#This Row],[Unit_Price]]</f>
        <v>47900</v>
      </c>
      <c r="N989" s="7">
        <f>Cleaned_Data[[#This Row],[Total_sales]]*(Cleaned_Data[[#This Row],[Discount_Percent]]/100)</f>
        <v>11975</v>
      </c>
      <c r="O989" s="7">
        <f>Cleaned_Data[[#This Row],[Total_sales]]-Cleaned_Data[[#This Row],[Discount_Amount]]</f>
        <v>35925</v>
      </c>
      <c r="P989" t="str">
        <f>TEXT(Cleaned_Data[[#This Row],[Order_Date]],"MMM-YYYY")</f>
        <v>Jul-2023</v>
      </c>
      <c r="Q989" t="str">
        <f>"Q"&amp;ROUNDUP(MONTH(Cleaned_Data[[#This Row],[Order_Date]])/3,0)&amp;"-2023"</f>
        <v>Q3-2023</v>
      </c>
      <c r="R989" t="str">
        <f>TEXT(Cleaned_Data[[#This Row],[Order_Date]],"DDD")</f>
        <v>Mon</v>
      </c>
      <c r="S989" t="str">
        <f>IF(Cleaned_Data[[#This Row],[Net_Sales]]&gt;=100000,"High",IF(Cleaned_Data[[#This Row],[Net_Sales]]&gt;=50000,"Medium","Low"))</f>
        <v>Low</v>
      </c>
    </row>
    <row r="990" spans="1:19" x14ac:dyDescent="0.3">
      <c r="A990" t="s">
        <v>1138</v>
      </c>
      <c r="B990" s="1">
        <v>45138</v>
      </c>
      <c r="C990" t="s">
        <v>284</v>
      </c>
      <c r="D990" t="s">
        <v>285</v>
      </c>
      <c r="E990" t="s">
        <v>66</v>
      </c>
      <c r="F990" t="s">
        <v>92</v>
      </c>
      <c r="G990" t="s">
        <v>39</v>
      </c>
      <c r="H990" t="s">
        <v>57</v>
      </c>
      <c r="I990">
        <v>1</v>
      </c>
      <c r="J990" s="8">
        <v>28300</v>
      </c>
      <c r="K990">
        <v>25</v>
      </c>
      <c r="L990" t="s">
        <v>33</v>
      </c>
      <c r="M990" s="5">
        <f>Cleaned_Data[[#This Row],[Quantity]]*Cleaned_Data[[#This Row],[Unit_Price]]</f>
        <v>28300</v>
      </c>
      <c r="N990" s="7">
        <f>Cleaned_Data[[#This Row],[Total_sales]]*(Cleaned_Data[[#This Row],[Discount_Percent]]/100)</f>
        <v>7075</v>
      </c>
      <c r="O990" s="7">
        <f>Cleaned_Data[[#This Row],[Total_sales]]-Cleaned_Data[[#This Row],[Discount_Amount]]</f>
        <v>21225</v>
      </c>
      <c r="P990" t="str">
        <f>TEXT(Cleaned_Data[[#This Row],[Order_Date]],"MMM-YYYY")</f>
        <v>Jul-2023</v>
      </c>
      <c r="Q990" t="str">
        <f>"Q"&amp;ROUNDUP(MONTH(Cleaned_Data[[#This Row],[Order_Date]])/3,0)&amp;"-2023"</f>
        <v>Q3-2023</v>
      </c>
      <c r="R990" t="str">
        <f>TEXT(Cleaned_Data[[#This Row],[Order_Date]],"DDD")</f>
        <v>Mon</v>
      </c>
      <c r="S990" t="str">
        <f>IF(Cleaned_Data[[#This Row],[Net_Sales]]&gt;=100000,"High",IF(Cleaned_Data[[#This Row],[Net_Sales]]&gt;=50000,"Medium","Low"))</f>
        <v>Low</v>
      </c>
    </row>
    <row r="991" spans="1:19" x14ac:dyDescent="0.3">
      <c r="A991" t="s">
        <v>1139</v>
      </c>
      <c r="B991" s="1">
        <v>45169</v>
      </c>
      <c r="C991" t="s">
        <v>130</v>
      </c>
      <c r="D991" t="s">
        <v>53</v>
      </c>
      <c r="E991" t="s">
        <v>15</v>
      </c>
      <c r="F991" t="s">
        <v>16</v>
      </c>
      <c r="G991" t="s">
        <v>45</v>
      </c>
      <c r="H991" t="s">
        <v>46</v>
      </c>
      <c r="I991">
        <v>1</v>
      </c>
      <c r="J991" s="8">
        <v>40300</v>
      </c>
      <c r="K991">
        <v>5</v>
      </c>
      <c r="L991" t="s">
        <v>47</v>
      </c>
      <c r="M991" s="5">
        <f>Cleaned_Data[[#This Row],[Quantity]]*Cleaned_Data[[#This Row],[Unit_Price]]</f>
        <v>40300</v>
      </c>
      <c r="N991" s="7">
        <f>Cleaned_Data[[#This Row],[Total_sales]]*(Cleaned_Data[[#This Row],[Discount_Percent]]/100)</f>
        <v>2015</v>
      </c>
      <c r="O991" s="7">
        <f>Cleaned_Data[[#This Row],[Total_sales]]-Cleaned_Data[[#This Row],[Discount_Amount]]</f>
        <v>38285</v>
      </c>
      <c r="P991" t="str">
        <f>TEXT(Cleaned_Data[[#This Row],[Order_Date]],"MMM-YYYY")</f>
        <v>Aug-2023</v>
      </c>
      <c r="Q991" t="str">
        <f>"Q"&amp;ROUNDUP(MONTH(Cleaned_Data[[#This Row],[Order_Date]])/3,0)&amp;"-2023"</f>
        <v>Q3-2023</v>
      </c>
      <c r="R991" t="str">
        <f>TEXT(Cleaned_Data[[#This Row],[Order_Date]],"DDD")</f>
        <v>Thu</v>
      </c>
      <c r="S991" t="str">
        <f>IF(Cleaned_Data[[#This Row],[Net_Sales]]&gt;=100000,"High",IF(Cleaned_Data[[#This Row],[Net_Sales]]&gt;=50000,"Medium","Low"))</f>
        <v>Low</v>
      </c>
    </row>
    <row r="992" spans="1:19" x14ac:dyDescent="0.3">
      <c r="A992" t="s">
        <v>1140</v>
      </c>
      <c r="B992" s="1">
        <v>45169</v>
      </c>
      <c r="C992" t="s">
        <v>183</v>
      </c>
      <c r="D992" t="s">
        <v>27</v>
      </c>
      <c r="E992" t="s">
        <v>37</v>
      </c>
      <c r="F992" t="s">
        <v>38</v>
      </c>
      <c r="G992" t="s">
        <v>97</v>
      </c>
      <c r="H992" t="s">
        <v>98</v>
      </c>
      <c r="I992">
        <v>1</v>
      </c>
      <c r="J992" s="8">
        <v>35000</v>
      </c>
      <c r="K992">
        <v>10</v>
      </c>
      <c r="L992" t="s">
        <v>47</v>
      </c>
      <c r="M992" s="5">
        <f>Cleaned_Data[[#This Row],[Quantity]]*Cleaned_Data[[#This Row],[Unit_Price]]</f>
        <v>35000</v>
      </c>
      <c r="N992" s="7">
        <f>Cleaned_Data[[#This Row],[Total_sales]]*(Cleaned_Data[[#This Row],[Discount_Percent]]/100)</f>
        <v>3500</v>
      </c>
      <c r="O992" s="7">
        <f>Cleaned_Data[[#This Row],[Total_sales]]-Cleaned_Data[[#This Row],[Discount_Amount]]</f>
        <v>31500</v>
      </c>
      <c r="P992" t="str">
        <f>TEXT(Cleaned_Data[[#This Row],[Order_Date]],"MMM-YYYY")</f>
        <v>Aug-2023</v>
      </c>
      <c r="Q992" t="str">
        <f>"Q"&amp;ROUNDUP(MONTH(Cleaned_Data[[#This Row],[Order_Date]])/3,0)&amp;"-2023"</f>
        <v>Q3-2023</v>
      </c>
      <c r="R992" t="str">
        <f>TEXT(Cleaned_Data[[#This Row],[Order_Date]],"DDD")</f>
        <v>Thu</v>
      </c>
      <c r="S992" t="str">
        <f>IF(Cleaned_Data[[#This Row],[Net_Sales]]&gt;=100000,"High",IF(Cleaned_Data[[#This Row],[Net_Sales]]&gt;=50000,"Medium","Low"))</f>
        <v>Low</v>
      </c>
    </row>
    <row r="993" spans="1:19" x14ac:dyDescent="0.3">
      <c r="A993" t="s">
        <v>1141</v>
      </c>
      <c r="B993" s="1">
        <v>45169</v>
      </c>
      <c r="C993" t="s">
        <v>284</v>
      </c>
      <c r="D993" t="s">
        <v>285</v>
      </c>
      <c r="E993" t="s">
        <v>23</v>
      </c>
      <c r="F993" t="s">
        <v>51</v>
      </c>
      <c r="G993" t="s">
        <v>25</v>
      </c>
      <c r="H993" t="s">
        <v>32</v>
      </c>
      <c r="I993">
        <v>2</v>
      </c>
      <c r="J993" s="8">
        <v>1500</v>
      </c>
      <c r="K993">
        <v>15</v>
      </c>
      <c r="L993" t="s">
        <v>53</v>
      </c>
      <c r="M993" s="5">
        <f>Cleaned_Data[[#This Row],[Quantity]]*Cleaned_Data[[#This Row],[Unit_Price]]</f>
        <v>3000</v>
      </c>
      <c r="N993" s="7">
        <f>Cleaned_Data[[#This Row],[Total_sales]]*(Cleaned_Data[[#This Row],[Discount_Percent]]/100)</f>
        <v>450</v>
      </c>
      <c r="O993" s="7">
        <f>Cleaned_Data[[#This Row],[Total_sales]]-Cleaned_Data[[#This Row],[Discount_Amount]]</f>
        <v>2550</v>
      </c>
      <c r="P993" t="str">
        <f>TEXT(Cleaned_Data[[#This Row],[Order_Date]],"MMM-YYYY")</f>
        <v>Aug-2023</v>
      </c>
      <c r="Q993" t="str">
        <f>"Q"&amp;ROUNDUP(MONTH(Cleaned_Data[[#This Row],[Order_Date]])/3,0)&amp;"-2023"</f>
        <v>Q3-2023</v>
      </c>
      <c r="R993" t="str">
        <f>TEXT(Cleaned_Data[[#This Row],[Order_Date]],"DDD")</f>
        <v>Thu</v>
      </c>
      <c r="S993" t="str">
        <f>IF(Cleaned_Data[[#This Row],[Net_Sales]]&gt;=100000,"High",IF(Cleaned_Data[[#This Row],[Net_Sales]]&gt;=50000,"Medium","Low"))</f>
        <v>Low</v>
      </c>
    </row>
    <row r="994" spans="1:19" x14ac:dyDescent="0.3">
      <c r="A994" t="s">
        <v>1142</v>
      </c>
      <c r="B994" s="1">
        <v>45169</v>
      </c>
      <c r="C994" t="s">
        <v>29</v>
      </c>
      <c r="D994" t="s">
        <v>30</v>
      </c>
      <c r="E994" t="s">
        <v>81</v>
      </c>
      <c r="F994" t="s">
        <v>110</v>
      </c>
      <c r="G994" t="s">
        <v>25</v>
      </c>
      <c r="H994" t="s">
        <v>26</v>
      </c>
      <c r="I994">
        <v>2</v>
      </c>
      <c r="J994" s="8">
        <v>1700</v>
      </c>
      <c r="K994">
        <v>5</v>
      </c>
      <c r="L994" t="s">
        <v>19</v>
      </c>
      <c r="M994" s="5">
        <f>Cleaned_Data[[#This Row],[Quantity]]*Cleaned_Data[[#This Row],[Unit_Price]]</f>
        <v>3400</v>
      </c>
      <c r="N994" s="7">
        <f>Cleaned_Data[[#This Row],[Total_sales]]*(Cleaned_Data[[#This Row],[Discount_Percent]]/100)</f>
        <v>170</v>
      </c>
      <c r="O994" s="7">
        <f>Cleaned_Data[[#This Row],[Total_sales]]-Cleaned_Data[[#This Row],[Discount_Amount]]</f>
        <v>3230</v>
      </c>
      <c r="P994" t="str">
        <f>TEXT(Cleaned_Data[[#This Row],[Order_Date]],"MMM-YYYY")</f>
        <v>Aug-2023</v>
      </c>
      <c r="Q994" t="str">
        <f>"Q"&amp;ROUNDUP(MONTH(Cleaned_Data[[#This Row],[Order_Date]])/3,0)&amp;"-2023"</f>
        <v>Q3-2023</v>
      </c>
      <c r="R994" t="str">
        <f>TEXT(Cleaned_Data[[#This Row],[Order_Date]],"DDD")</f>
        <v>Thu</v>
      </c>
      <c r="S994" t="str">
        <f>IF(Cleaned_Data[[#This Row],[Net_Sales]]&gt;=100000,"High",IF(Cleaned_Data[[#This Row],[Net_Sales]]&gt;=50000,"Medium","Low"))</f>
        <v>Low</v>
      </c>
    </row>
    <row r="995" spans="1:19" x14ac:dyDescent="0.3">
      <c r="A995" t="s">
        <v>1143</v>
      </c>
      <c r="B995" s="1">
        <v>45230</v>
      </c>
      <c r="C995" t="s">
        <v>176</v>
      </c>
      <c r="D995" t="s">
        <v>177</v>
      </c>
      <c r="E995" t="s">
        <v>37</v>
      </c>
      <c r="F995" t="s">
        <v>101</v>
      </c>
      <c r="G995" t="s">
        <v>45</v>
      </c>
      <c r="H995" t="s">
        <v>207</v>
      </c>
      <c r="I995">
        <v>1</v>
      </c>
      <c r="J995" s="8">
        <v>39900</v>
      </c>
      <c r="K995">
        <v>25</v>
      </c>
      <c r="L995" t="s">
        <v>53</v>
      </c>
      <c r="M995" s="5">
        <f>Cleaned_Data[[#This Row],[Quantity]]*Cleaned_Data[[#This Row],[Unit_Price]]</f>
        <v>39900</v>
      </c>
      <c r="N995" s="7">
        <f>Cleaned_Data[[#This Row],[Total_sales]]*(Cleaned_Data[[#This Row],[Discount_Percent]]/100)</f>
        <v>9975</v>
      </c>
      <c r="O995" s="7">
        <f>Cleaned_Data[[#This Row],[Total_sales]]-Cleaned_Data[[#This Row],[Discount_Amount]]</f>
        <v>29925</v>
      </c>
      <c r="P995" t="str">
        <f>TEXT(Cleaned_Data[[#This Row],[Order_Date]],"MMM-YYYY")</f>
        <v>Oct-2023</v>
      </c>
      <c r="Q995" t="str">
        <f>"Q"&amp;ROUNDUP(MONTH(Cleaned_Data[[#This Row],[Order_Date]])/3,0)&amp;"-2023"</f>
        <v>Q4-2023</v>
      </c>
      <c r="R995" t="str">
        <f>TEXT(Cleaned_Data[[#This Row],[Order_Date]],"DDD")</f>
        <v>Tue</v>
      </c>
      <c r="S995" t="str">
        <f>IF(Cleaned_Data[[#This Row],[Net_Sales]]&gt;=100000,"High",IF(Cleaned_Data[[#This Row],[Net_Sales]]&gt;=50000,"Medium","Low"))</f>
        <v>Low</v>
      </c>
    </row>
    <row r="996" spans="1:19" x14ac:dyDescent="0.3">
      <c r="A996" t="s">
        <v>1144</v>
      </c>
      <c r="B996" s="1">
        <v>45230</v>
      </c>
      <c r="C996" t="s">
        <v>135</v>
      </c>
      <c r="D996" t="s">
        <v>136</v>
      </c>
      <c r="E996" t="s">
        <v>81</v>
      </c>
      <c r="F996" t="s">
        <v>110</v>
      </c>
      <c r="G996" t="s">
        <v>39</v>
      </c>
      <c r="H996" t="s">
        <v>40</v>
      </c>
      <c r="I996">
        <v>1</v>
      </c>
      <c r="J996" s="8">
        <v>19500</v>
      </c>
      <c r="K996">
        <v>15</v>
      </c>
      <c r="L996" t="s">
        <v>53</v>
      </c>
      <c r="M996" s="5">
        <f>Cleaned_Data[[#This Row],[Quantity]]*Cleaned_Data[[#This Row],[Unit_Price]]</f>
        <v>19500</v>
      </c>
      <c r="N996" s="7">
        <f>Cleaned_Data[[#This Row],[Total_sales]]*(Cleaned_Data[[#This Row],[Discount_Percent]]/100)</f>
        <v>2925</v>
      </c>
      <c r="O996" s="7">
        <f>Cleaned_Data[[#This Row],[Total_sales]]-Cleaned_Data[[#This Row],[Discount_Amount]]</f>
        <v>16575</v>
      </c>
      <c r="P996" t="str">
        <f>TEXT(Cleaned_Data[[#This Row],[Order_Date]],"MMM-YYYY")</f>
        <v>Oct-2023</v>
      </c>
      <c r="Q996" t="str">
        <f>"Q"&amp;ROUNDUP(MONTH(Cleaned_Data[[#This Row],[Order_Date]])/3,0)&amp;"-2023"</f>
        <v>Q4-2023</v>
      </c>
      <c r="R996" t="str">
        <f>TEXT(Cleaned_Data[[#This Row],[Order_Date]],"DDD")</f>
        <v>Tue</v>
      </c>
      <c r="S996" t="str">
        <f>IF(Cleaned_Data[[#This Row],[Net_Sales]]&gt;=100000,"High",IF(Cleaned_Data[[#This Row],[Net_Sales]]&gt;=50000,"Medium","Low"))</f>
        <v>Low</v>
      </c>
    </row>
    <row r="997" spans="1:19" x14ac:dyDescent="0.3">
      <c r="A997" t="s">
        <v>1145</v>
      </c>
      <c r="B997" s="1">
        <v>45230</v>
      </c>
      <c r="C997" t="s">
        <v>75</v>
      </c>
      <c r="D997" t="s">
        <v>76</v>
      </c>
      <c r="E997" t="s">
        <v>15</v>
      </c>
      <c r="F997" t="s">
        <v>119</v>
      </c>
      <c r="G997" t="s">
        <v>25</v>
      </c>
      <c r="H997" t="s">
        <v>124</v>
      </c>
      <c r="I997">
        <v>2</v>
      </c>
      <c r="J997" s="8">
        <v>1500</v>
      </c>
      <c r="K997">
        <v>25</v>
      </c>
      <c r="L997" t="s">
        <v>47</v>
      </c>
      <c r="M997" s="5">
        <f>Cleaned_Data[[#This Row],[Quantity]]*Cleaned_Data[[#This Row],[Unit_Price]]</f>
        <v>3000</v>
      </c>
      <c r="N997" s="7">
        <f>Cleaned_Data[[#This Row],[Total_sales]]*(Cleaned_Data[[#This Row],[Discount_Percent]]/100)</f>
        <v>750</v>
      </c>
      <c r="O997" s="7">
        <f>Cleaned_Data[[#This Row],[Total_sales]]-Cleaned_Data[[#This Row],[Discount_Amount]]</f>
        <v>2250</v>
      </c>
      <c r="P997" t="str">
        <f>TEXT(Cleaned_Data[[#This Row],[Order_Date]],"MMM-YYYY")</f>
        <v>Oct-2023</v>
      </c>
      <c r="Q997" t="str">
        <f>"Q"&amp;ROUNDUP(MONTH(Cleaned_Data[[#This Row],[Order_Date]])/3,0)&amp;"-2023"</f>
        <v>Q4-2023</v>
      </c>
      <c r="R997" t="str">
        <f>TEXT(Cleaned_Data[[#This Row],[Order_Date]],"DDD")</f>
        <v>Tue</v>
      </c>
      <c r="S997" t="str">
        <f>IF(Cleaned_Data[[#This Row],[Net_Sales]]&gt;=100000,"High",IF(Cleaned_Data[[#This Row],[Net_Sales]]&gt;=50000,"Medium","Low"))</f>
        <v>Low</v>
      </c>
    </row>
    <row r="998" spans="1:19" x14ac:dyDescent="0.3">
      <c r="A998" t="s">
        <v>1146</v>
      </c>
      <c r="B998" s="1">
        <v>45291</v>
      </c>
      <c r="C998" t="s">
        <v>147</v>
      </c>
      <c r="D998" t="s">
        <v>148</v>
      </c>
      <c r="E998" t="s">
        <v>23</v>
      </c>
      <c r="F998" t="s">
        <v>44</v>
      </c>
      <c r="G998" t="s">
        <v>45</v>
      </c>
      <c r="H998" t="s">
        <v>52</v>
      </c>
      <c r="I998">
        <v>1</v>
      </c>
      <c r="J998" s="8">
        <v>39400</v>
      </c>
      <c r="K998">
        <v>15</v>
      </c>
      <c r="L998" t="s">
        <v>62</v>
      </c>
      <c r="M998" s="5">
        <f>Cleaned_Data[[#This Row],[Quantity]]*Cleaned_Data[[#This Row],[Unit_Price]]</f>
        <v>39400</v>
      </c>
      <c r="N998" s="7">
        <f>Cleaned_Data[[#This Row],[Total_sales]]*(Cleaned_Data[[#This Row],[Discount_Percent]]/100)</f>
        <v>5910</v>
      </c>
      <c r="O998" s="7">
        <f>Cleaned_Data[[#This Row],[Total_sales]]-Cleaned_Data[[#This Row],[Discount_Amount]]</f>
        <v>33490</v>
      </c>
      <c r="P998" t="str">
        <f>TEXT(Cleaned_Data[[#This Row],[Order_Date]],"MMM-YYYY")</f>
        <v>Dec-2023</v>
      </c>
      <c r="Q998" t="str">
        <f>"Q"&amp;ROUNDUP(MONTH(Cleaned_Data[[#This Row],[Order_Date]])/3,0)&amp;"-2023"</f>
        <v>Q4-2023</v>
      </c>
      <c r="R998" t="str">
        <f>TEXT(Cleaned_Data[[#This Row],[Order_Date]],"DDD")</f>
        <v>Sun</v>
      </c>
      <c r="S998" t="str">
        <f>IF(Cleaned_Data[[#This Row],[Net_Sales]]&gt;=100000,"High",IF(Cleaned_Data[[#This Row],[Net_Sales]]&gt;=50000,"Medium","Low"))</f>
        <v>Low</v>
      </c>
    </row>
    <row r="999" spans="1:19" x14ac:dyDescent="0.3">
      <c r="A999" t="s">
        <v>1147</v>
      </c>
      <c r="B999" s="1">
        <v>45291</v>
      </c>
      <c r="C999" t="s">
        <v>112</v>
      </c>
      <c r="D999" t="s">
        <v>113</v>
      </c>
      <c r="E999" t="s">
        <v>66</v>
      </c>
      <c r="F999" t="s">
        <v>67</v>
      </c>
      <c r="G999" t="s">
        <v>97</v>
      </c>
      <c r="H999" t="s">
        <v>98</v>
      </c>
      <c r="I999">
        <v>2</v>
      </c>
      <c r="J999" s="8">
        <v>50800</v>
      </c>
      <c r="K999">
        <v>25</v>
      </c>
      <c r="L999" t="s">
        <v>19</v>
      </c>
      <c r="M999" s="5">
        <f>Cleaned_Data[[#This Row],[Quantity]]*Cleaned_Data[[#This Row],[Unit_Price]]</f>
        <v>101600</v>
      </c>
      <c r="N999" s="7">
        <f>Cleaned_Data[[#This Row],[Total_sales]]*(Cleaned_Data[[#This Row],[Discount_Percent]]/100)</f>
        <v>25400</v>
      </c>
      <c r="O999" s="7">
        <f>Cleaned_Data[[#This Row],[Total_sales]]-Cleaned_Data[[#This Row],[Discount_Amount]]</f>
        <v>76200</v>
      </c>
      <c r="P999" t="str">
        <f>TEXT(Cleaned_Data[[#This Row],[Order_Date]],"MMM-YYYY")</f>
        <v>Dec-2023</v>
      </c>
      <c r="Q999" t="str">
        <f>"Q"&amp;ROUNDUP(MONTH(Cleaned_Data[[#This Row],[Order_Date]])/3,0)&amp;"-2023"</f>
        <v>Q4-2023</v>
      </c>
      <c r="R999" t="str">
        <f>TEXT(Cleaned_Data[[#This Row],[Order_Date]],"DDD")</f>
        <v>Sun</v>
      </c>
      <c r="S999" t="str">
        <f>IF(Cleaned_Data[[#This Row],[Net_Sales]]&gt;=100000,"High",IF(Cleaned_Data[[#This Row],[Net_Sales]]&gt;=50000,"Medium","Low"))</f>
        <v>Medium</v>
      </c>
    </row>
    <row r="1000" spans="1:19" x14ac:dyDescent="0.3">
      <c r="A1000" t="s">
        <v>1148</v>
      </c>
      <c r="B1000" s="1">
        <v>45291</v>
      </c>
      <c r="C1000" t="s">
        <v>165</v>
      </c>
      <c r="D1000" t="s">
        <v>166</v>
      </c>
      <c r="E1000" t="s">
        <v>15</v>
      </c>
      <c r="F1000" t="s">
        <v>131</v>
      </c>
      <c r="G1000" t="s">
        <v>17</v>
      </c>
      <c r="H1000" t="s">
        <v>77</v>
      </c>
      <c r="I1000">
        <v>1</v>
      </c>
      <c r="J1000" s="8">
        <v>41100</v>
      </c>
      <c r="K1000">
        <v>15</v>
      </c>
      <c r="L1000" t="s">
        <v>33</v>
      </c>
      <c r="M1000" s="5">
        <f>Cleaned_Data[[#This Row],[Quantity]]*Cleaned_Data[[#This Row],[Unit_Price]]</f>
        <v>41100</v>
      </c>
      <c r="N1000" s="7">
        <f>Cleaned_Data[[#This Row],[Total_sales]]*(Cleaned_Data[[#This Row],[Discount_Percent]]/100)</f>
        <v>6165</v>
      </c>
      <c r="O1000" s="7">
        <f>Cleaned_Data[[#This Row],[Total_sales]]-Cleaned_Data[[#This Row],[Discount_Amount]]</f>
        <v>34935</v>
      </c>
      <c r="P1000" t="str">
        <f>TEXT(Cleaned_Data[[#This Row],[Order_Date]],"MMM-YYYY")</f>
        <v>Dec-2023</v>
      </c>
      <c r="Q1000" t="str">
        <f>"Q"&amp;ROUNDUP(MONTH(Cleaned_Data[[#This Row],[Order_Date]])/3,0)&amp;"-2023"</f>
        <v>Q4-2023</v>
      </c>
      <c r="R1000" t="str">
        <f>TEXT(Cleaned_Data[[#This Row],[Order_Date]],"DDD")</f>
        <v>Sun</v>
      </c>
      <c r="S1000" t="str">
        <f>IF(Cleaned_Data[[#This Row],[Net_Sales]]&gt;=100000,"High",IF(Cleaned_Data[[#This Row],[Net_Sales]]&gt;=50000,"Medium","Low"))</f>
        <v>Low</v>
      </c>
    </row>
    <row r="1001" spans="1:19" x14ac:dyDescent="0.3">
      <c r="A1001" t="s">
        <v>1149</v>
      </c>
      <c r="B1001" s="1">
        <v>45291</v>
      </c>
      <c r="C1001" t="s">
        <v>49</v>
      </c>
      <c r="D1001" t="s">
        <v>50</v>
      </c>
      <c r="E1001" t="s">
        <v>66</v>
      </c>
      <c r="F1001" t="s">
        <v>72</v>
      </c>
      <c r="G1001" t="s">
        <v>25</v>
      </c>
      <c r="H1001" t="s">
        <v>212</v>
      </c>
      <c r="I1001">
        <v>2</v>
      </c>
      <c r="J1001" s="8">
        <v>1900</v>
      </c>
      <c r="K1001">
        <v>20</v>
      </c>
      <c r="L1001" t="s">
        <v>62</v>
      </c>
      <c r="M1001" s="5">
        <f>Cleaned_Data[[#This Row],[Quantity]]*Cleaned_Data[[#This Row],[Unit_Price]]</f>
        <v>3800</v>
      </c>
      <c r="N1001" s="7">
        <f>Cleaned_Data[[#This Row],[Total_sales]]*(Cleaned_Data[[#This Row],[Discount_Percent]]/100)</f>
        <v>760</v>
      </c>
      <c r="O1001" s="7">
        <f>Cleaned_Data[[#This Row],[Total_sales]]-Cleaned_Data[[#This Row],[Discount_Amount]]</f>
        <v>3040</v>
      </c>
      <c r="P1001" t="str">
        <f>TEXT(Cleaned_Data[[#This Row],[Order_Date]],"MMM-YYYY")</f>
        <v>Dec-2023</v>
      </c>
      <c r="Q1001" t="str">
        <f>"Q"&amp;ROUNDUP(MONTH(Cleaned_Data[[#This Row],[Order_Date]])/3,0)&amp;"-2023"</f>
        <v>Q4-2023</v>
      </c>
      <c r="R1001" t="str">
        <f>TEXT(Cleaned_Data[[#This Row],[Order_Date]],"DDD")</f>
        <v>Sun</v>
      </c>
      <c r="S1001" t="str">
        <f>IF(Cleaned_Data[[#This Row],[Net_Sales]]&gt;=100000,"High",IF(Cleaned_Data[[#This Row],[Net_Sales]]&gt;=50000,"Medium","Low"))</f>
        <v>Low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6500A-46FF-4CD1-92C9-86DE6F953905}">
  <dimension ref="A1:P20"/>
  <sheetViews>
    <sheetView workbookViewId="0">
      <selection activeCell="D11" sqref="D11"/>
    </sheetView>
  </sheetViews>
  <sheetFormatPr defaultRowHeight="14.4" x14ac:dyDescent="0.3"/>
  <cols>
    <col min="1" max="1" width="19.88671875" bestFit="1" customWidth="1"/>
    <col min="2" max="2" width="14.44140625" bestFit="1" customWidth="1"/>
  </cols>
  <sheetData>
    <row r="1" spans="1:16" x14ac:dyDescent="0.3">
      <c r="A1" s="9" t="s">
        <v>1157</v>
      </c>
    </row>
    <row r="3" spans="1:16" x14ac:dyDescent="0.3">
      <c r="A3" t="s">
        <v>1158</v>
      </c>
      <c r="B3" s="11" t="s">
        <v>1159</v>
      </c>
    </row>
    <row r="4" spans="1:16" x14ac:dyDescent="0.3">
      <c r="A4" t="s">
        <v>1160</v>
      </c>
      <c r="B4" s="13">
        <f>SUM(Cleaned_Data[Net_Sales])</f>
        <v>30205420</v>
      </c>
    </row>
    <row r="5" spans="1:16" x14ac:dyDescent="0.3">
      <c r="A5" t="s">
        <v>1161</v>
      </c>
      <c r="B5" s="14">
        <f>COUNTA(Cleaned_Data[Order_ID])</f>
        <v>1000</v>
      </c>
    </row>
    <row r="6" spans="1:16" x14ac:dyDescent="0.3">
      <c r="A6" t="s">
        <v>1162</v>
      </c>
      <c r="B6" s="11">
        <f>B4/B5</f>
        <v>30205.42</v>
      </c>
    </row>
    <row r="7" spans="1:16" x14ac:dyDescent="0.3">
      <c r="A7" s="15" t="s">
        <v>1163</v>
      </c>
      <c r="B7" s="13">
        <f>SUM(Cleaned_Data[Discount_Amount])</f>
        <v>3029480</v>
      </c>
    </row>
    <row r="8" spans="1:16" x14ac:dyDescent="0.3">
      <c r="A8" s="15" t="s">
        <v>1164</v>
      </c>
      <c r="B8" s="16">
        <f>B7/(B4+B7)</f>
        <v>9.1153576511438281E-2</v>
      </c>
    </row>
    <row r="9" spans="1:16" x14ac:dyDescent="0.3">
      <c r="A9" t="s">
        <v>1165</v>
      </c>
      <c r="B9" s="14">
        <f>COUNTA(_xlfn.UNIQUE(Cleaned_Data[Customer_ID]))</f>
        <v>40</v>
      </c>
    </row>
    <row r="10" spans="1:16" x14ac:dyDescent="0.3">
      <c r="A10" t="s">
        <v>1166</v>
      </c>
      <c r="B10" s="14">
        <f>SUM(Cleaned_Data[Quantity])</f>
        <v>1292</v>
      </c>
    </row>
    <row r="11" spans="1:16" x14ac:dyDescent="0.3">
      <c r="A11" s="15" t="s">
        <v>1167</v>
      </c>
      <c r="B11" s="11">
        <f>AVERAGE(Cleaned_Data[Discount_Percent])</f>
        <v>9.4350000000000005</v>
      </c>
      <c r="P11" s="10"/>
    </row>
    <row r="12" spans="1:16" x14ac:dyDescent="0.3">
      <c r="B12" s="11"/>
    </row>
    <row r="13" spans="1:16" x14ac:dyDescent="0.3">
      <c r="B13" s="11"/>
    </row>
    <row r="14" spans="1:16" x14ac:dyDescent="0.3">
      <c r="B14" s="11"/>
    </row>
    <row r="15" spans="1:16" x14ac:dyDescent="0.3">
      <c r="B15" s="11"/>
    </row>
    <row r="16" spans="1:16" x14ac:dyDescent="0.3">
      <c r="B16" s="11"/>
    </row>
    <row r="17" spans="2:2" x14ac:dyDescent="0.3">
      <c r="B17" s="11"/>
    </row>
    <row r="18" spans="2:2" x14ac:dyDescent="0.3">
      <c r="B18" s="11"/>
    </row>
    <row r="19" spans="2:2" x14ac:dyDescent="0.3">
      <c r="B19" s="11"/>
    </row>
    <row r="20" spans="2:2" x14ac:dyDescent="0.3">
      <c r="B20" s="1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113FC-FF0E-4D54-AA94-84FF25F70961}">
  <dimension ref="A3:C9"/>
  <sheetViews>
    <sheetView tabSelected="1" workbookViewId="0"/>
  </sheetViews>
  <sheetFormatPr defaultRowHeight="14.4" x14ac:dyDescent="0.3"/>
  <cols>
    <col min="1" max="1" width="12.5546875" bestFit="1" customWidth="1"/>
    <col min="2" max="2" width="16.44140625" bestFit="1" customWidth="1"/>
    <col min="3" max="3" width="15.77734375" bestFit="1" customWidth="1"/>
  </cols>
  <sheetData>
    <row r="3" spans="1:3" x14ac:dyDescent="0.3">
      <c r="A3" s="17" t="s">
        <v>1168</v>
      </c>
      <c r="B3" t="s">
        <v>1171</v>
      </c>
      <c r="C3" s="12" t="s">
        <v>1170</v>
      </c>
    </row>
    <row r="4" spans="1:3" x14ac:dyDescent="0.3">
      <c r="A4" s="18" t="s">
        <v>97</v>
      </c>
      <c r="B4" s="19">
        <v>180</v>
      </c>
      <c r="C4" s="10">
        <v>11074910</v>
      </c>
    </row>
    <row r="5" spans="1:3" x14ac:dyDescent="0.3">
      <c r="A5" s="18" t="s">
        <v>17</v>
      </c>
      <c r="B5" s="19">
        <v>192</v>
      </c>
      <c r="C5" s="10">
        <v>7187835</v>
      </c>
    </row>
    <row r="6" spans="1:3" x14ac:dyDescent="0.3">
      <c r="A6" s="18" t="s">
        <v>45</v>
      </c>
      <c r="B6" s="19">
        <v>200</v>
      </c>
      <c r="C6" s="10">
        <v>6737480</v>
      </c>
    </row>
    <row r="7" spans="1:3" x14ac:dyDescent="0.3">
      <c r="A7" s="18" t="s">
        <v>39</v>
      </c>
      <c r="B7" s="19">
        <v>209</v>
      </c>
      <c r="C7" s="10">
        <v>4477980</v>
      </c>
    </row>
    <row r="8" spans="1:3" x14ac:dyDescent="0.3">
      <c r="A8" s="18" t="s">
        <v>25</v>
      </c>
      <c r="B8" s="19">
        <v>219</v>
      </c>
      <c r="C8" s="10">
        <v>727215</v>
      </c>
    </row>
    <row r="9" spans="1:3" x14ac:dyDescent="0.3">
      <c r="A9" s="18" t="s">
        <v>1169</v>
      </c>
      <c r="B9" s="19">
        <v>1000</v>
      </c>
      <c r="C9" s="10">
        <v>30205420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D054C6-AD16-4ABF-8335-E03C88DAF8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retail_sales_data</vt:lpstr>
      <vt:lpstr>Cleaned_data</vt:lpstr>
      <vt:lpstr>Summary_Analysis</vt:lpstr>
      <vt:lpstr>Pivot_Analysis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sumant j</dc:creator>
  <cp:lastModifiedBy>sumant j</cp:lastModifiedBy>
  <dcterms:created xsi:type="dcterms:W3CDTF">2026-04-13T09:21:06Z</dcterms:created>
  <dcterms:modified xsi:type="dcterms:W3CDTF">2026-04-13T13:55:15Z</dcterms:modified>
</cp:coreProperties>
</file>